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辆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808080"/>
      <sz val="10"/>
    </font>
    <font>
      <b val="1"/>
      <color rgb="00FFFFFF"/>
      <sz val="11"/>
    </font>
    <font>
      <b val="1"/>
      <color rgb="001F4E78"/>
      <sz val="14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1" fontId="6" fillId="4" borderId="1" pivotButton="0" quotePrefix="0" xfId="0"/>
    <xf numFmtId="4" fontId="6" fillId="4" borderId="1" pivotButton="0" quotePrefix="0" xfId="0"/>
    <xf numFmtId="16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0" customWidth="1" min="5" max="5"/>
    <col width="14" customWidth="1" min="6" max="6"/>
    <col width="11" customWidth="1" min="7" max="7"/>
    <col width="12" customWidth="1" min="8" max="8"/>
    <col width="12" customWidth="1" min="9" max="9"/>
    <col width="12" customWidth="1" min="10" max="10"/>
    <col width="10" customWidth="1" min="11" max="11"/>
    <col width="11" customWidth="1" min="12" max="12"/>
    <col width="10" customWidth="1" min="13" max="13"/>
  </cols>
  <sheetData>
    <row r="1" ht="26" customHeight="1">
      <c r="A1" s="1" t="inlineStr">
        <is>
          <t>🚗 车辆买卖利润表</t>
        </is>
      </c>
    </row>
    <row r="2">
      <c r="A2" s="2" t="inlineStr">
        <is>
          <t>黄色格子=自己填  |  绿色格子=自动算  |  卖出价留空表示还没卖出（在售）</t>
        </is>
      </c>
    </row>
    <row r="4" ht="30" customHeight="1">
      <c r="A4" s="3" t="inlineStr">
        <is>
          <t>编号</t>
        </is>
      </c>
      <c r="B4" s="3" t="inlineStr">
        <is>
          <t>车型 / 描述</t>
        </is>
      </c>
      <c r="C4" s="3" t="inlineStr">
        <is>
          <t>进车价</t>
        </is>
      </c>
      <c r="D4" s="3" t="inlineStr">
        <is>
          <t>修车/翻新</t>
        </is>
      </c>
      <c r="E4" s="3" t="inlineStr">
        <is>
          <t>运费</t>
        </is>
      </c>
      <c r="F4" s="3" t="inlineStr">
        <is>
          <t>过户/上牌/检测</t>
        </is>
      </c>
      <c r="G4" s="3" t="inlineStr">
        <is>
          <t>其他杂费</t>
        </is>
      </c>
      <c r="H4" s="3" t="inlineStr">
        <is>
          <t>总成本</t>
        </is>
      </c>
      <c r="I4" s="3" t="inlineStr">
        <is>
          <t>卖出价</t>
        </is>
      </c>
      <c r="J4" s="3" t="inlineStr">
        <is>
          <t>利润</t>
        </is>
      </c>
      <c r="K4" s="3" t="inlineStr">
        <is>
          <t>利润率</t>
        </is>
      </c>
      <c r="L4" s="3" t="inlineStr">
        <is>
          <t>回报率 ROI</t>
        </is>
      </c>
      <c r="M4" s="3" t="inlineStr">
        <is>
          <t>状态</t>
        </is>
      </c>
    </row>
    <row r="5">
      <c r="A5" s="4" t="inlineStr">
        <is>
          <t>示例</t>
        </is>
      </c>
      <c r="B5" s="4" t="inlineStr">
        <is>
          <t>2018 起亚 K5</t>
        </is>
      </c>
      <c r="C5" s="5" t="n">
        <v>8000</v>
      </c>
      <c r="D5" s="5" t="n">
        <v>1200</v>
      </c>
      <c r="E5" s="5" t="n">
        <v>300</v>
      </c>
      <c r="F5" s="5" t="n">
        <v>400</v>
      </c>
      <c r="G5" s="5" t="n">
        <v>200</v>
      </c>
      <c r="H5" s="6">
        <f>IF(COUNT(C5:G5)=0,"",SUM(C5:G5))</f>
        <v/>
      </c>
      <c r="I5" s="5" t="n">
        <v>12500</v>
      </c>
      <c r="J5" s="6">
        <f>IF(OR(I5="",H5=""),"",I5-H5)</f>
        <v/>
      </c>
      <c r="K5" s="7">
        <f>IF(OR(I5="",I5=0),"",J5/I5)</f>
        <v/>
      </c>
      <c r="L5" s="7">
        <f>IF(OR(H5="",H5=0),"",J5/H5)</f>
        <v/>
      </c>
      <c r="M5" s="8">
        <f>IF(H5="","",IF(I5="","在售","已售"))</f>
        <v/>
      </c>
    </row>
    <row r="6">
      <c r="A6" s="4" t="n"/>
      <c r="B6" s="4" t="n"/>
      <c r="C6" s="5" t="n"/>
      <c r="D6" s="5" t="n"/>
      <c r="E6" s="5" t="n"/>
      <c r="F6" s="5" t="n"/>
      <c r="G6" s="5" t="n"/>
      <c r="H6" s="6">
        <f>IF(COUNT(C6:G6)=0,"",SUM(C6:G6))</f>
        <v/>
      </c>
      <c r="I6" s="5" t="n"/>
      <c r="J6" s="6">
        <f>IF(OR(I6="",H6=""),"",I6-H6)</f>
        <v/>
      </c>
      <c r="K6" s="7">
        <f>IF(OR(I6="",I6=0),"",J6/I6)</f>
        <v/>
      </c>
      <c r="L6" s="7">
        <f>IF(OR(H6="",H6=0),"",J6/H6)</f>
        <v/>
      </c>
      <c r="M6" s="8">
        <f>IF(H6="","",IF(I6="","在售","已售"))</f>
        <v/>
      </c>
    </row>
    <row r="7">
      <c r="A7" s="4" t="n"/>
      <c r="B7" s="4" t="n"/>
      <c r="C7" s="5" t="n"/>
      <c r="D7" s="5" t="n"/>
      <c r="E7" s="5" t="n"/>
      <c r="F7" s="5" t="n"/>
      <c r="G7" s="5" t="n"/>
      <c r="H7" s="6">
        <f>IF(COUNT(C7:G7)=0,"",SUM(C7:G7))</f>
        <v/>
      </c>
      <c r="I7" s="5" t="n"/>
      <c r="J7" s="6">
        <f>IF(OR(I7="",H7=""),"",I7-H7)</f>
        <v/>
      </c>
      <c r="K7" s="7">
        <f>IF(OR(I7="",I7=0),"",J7/I7)</f>
        <v/>
      </c>
      <c r="L7" s="7">
        <f>IF(OR(H7="",H7=0),"",J7/H7)</f>
        <v/>
      </c>
      <c r="M7" s="8">
        <f>IF(H7="","",IF(I7="","在售","已售"))</f>
        <v/>
      </c>
    </row>
    <row r="8">
      <c r="A8" s="4" t="n"/>
      <c r="B8" s="4" t="n"/>
      <c r="C8" s="5" t="n"/>
      <c r="D8" s="5" t="n"/>
      <c r="E8" s="5" t="n"/>
      <c r="F8" s="5" t="n"/>
      <c r="G8" s="5" t="n"/>
      <c r="H8" s="6">
        <f>IF(COUNT(C8:G8)=0,"",SUM(C8:G8))</f>
        <v/>
      </c>
      <c r="I8" s="5" t="n"/>
      <c r="J8" s="6">
        <f>IF(OR(I8="",H8=""),"",I8-H8)</f>
        <v/>
      </c>
      <c r="K8" s="7">
        <f>IF(OR(I8="",I8=0),"",J8/I8)</f>
        <v/>
      </c>
      <c r="L8" s="7">
        <f>IF(OR(H8="",H8=0),"",J8/H8)</f>
        <v/>
      </c>
      <c r="M8" s="8">
        <f>IF(H8="","",IF(I8="","在售","已售"))</f>
        <v/>
      </c>
    </row>
    <row r="9">
      <c r="A9" s="4" t="n"/>
      <c r="B9" s="4" t="n"/>
      <c r="C9" s="5" t="n"/>
      <c r="D9" s="5" t="n"/>
      <c r="E9" s="5" t="n"/>
      <c r="F9" s="5" t="n"/>
      <c r="G9" s="5" t="n"/>
      <c r="H9" s="6">
        <f>IF(COUNT(C9:G9)=0,"",SUM(C9:G9))</f>
        <v/>
      </c>
      <c r="I9" s="5" t="n"/>
      <c r="J9" s="6">
        <f>IF(OR(I9="",H9=""),"",I9-H9)</f>
        <v/>
      </c>
      <c r="K9" s="7">
        <f>IF(OR(I9="",I9=0),"",J9/I9)</f>
        <v/>
      </c>
      <c r="L9" s="7">
        <f>IF(OR(H9="",H9=0),"",J9/H9)</f>
        <v/>
      </c>
      <c r="M9" s="8">
        <f>IF(H9="","",IF(I9="","在售","已售"))</f>
        <v/>
      </c>
    </row>
    <row r="10">
      <c r="A10" s="4" t="n"/>
      <c r="B10" s="4" t="n"/>
      <c r="C10" s="5" t="n"/>
      <c r="D10" s="5" t="n"/>
      <c r="E10" s="5" t="n"/>
      <c r="F10" s="5" t="n"/>
      <c r="G10" s="5" t="n"/>
      <c r="H10" s="6">
        <f>IF(COUNT(C10:G10)=0,"",SUM(C10:G10))</f>
        <v/>
      </c>
      <c r="I10" s="5" t="n"/>
      <c r="J10" s="6">
        <f>IF(OR(I10="",H10=""),"",I10-H10)</f>
        <v/>
      </c>
      <c r="K10" s="7">
        <f>IF(OR(I10="",I10=0),"",J10/I10)</f>
        <v/>
      </c>
      <c r="L10" s="7">
        <f>IF(OR(H10="",H10=0),"",J10/H10)</f>
        <v/>
      </c>
      <c r="M10" s="8">
        <f>IF(H10="","",IF(I10="","在售","已售"))</f>
        <v/>
      </c>
    </row>
    <row r="11">
      <c r="A11" s="4" t="n"/>
      <c r="B11" s="4" t="n"/>
      <c r="C11" s="5" t="n"/>
      <c r="D11" s="5" t="n"/>
      <c r="E11" s="5" t="n"/>
      <c r="F11" s="5" t="n"/>
      <c r="G11" s="5" t="n"/>
      <c r="H11" s="6">
        <f>IF(COUNT(C11:G11)=0,"",SUM(C11:G11))</f>
        <v/>
      </c>
      <c r="I11" s="5" t="n"/>
      <c r="J11" s="6">
        <f>IF(OR(I11="",H11=""),"",I11-H11)</f>
        <v/>
      </c>
      <c r="K11" s="7">
        <f>IF(OR(I11="",I11=0),"",J11/I11)</f>
        <v/>
      </c>
      <c r="L11" s="7">
        <f>IF(OR(H11="",H11=0),"",J11/H11)</f>
        <v/>
      </c>
      <c r="M11" s="8">
        <f>IF(H11="","",IF(I11="","在售","已售"))</f>
        <v/>
      </c>
    </row>
    <row r="12">
      <c r="A12" s="4" t="n"/>
      <c r="B12" s="4" t="n"/>
      <c r="C12" s="5" t="n"/>
      <c r="D12" s="5" t="n"/>
      <c r="E12" s="5" t="n"/>
      <c r="F12" s="5" t="n"/>
      <c r="G12" s="5" t="n"/>
      <c r="H12" s="6">
        <f>IF(COUNT(C12:G12)=0,"",SUM(C12:G12))</f>
        <v/>
      </c>
      <c r="I12" s="5" t="n"/>
      <c r="J12" s="6">
        <f>IF(OR(I12="",H12=""),"",I12-H12)</f>
        <v/>
      </c>
      <c r="K12" s="7">
        <f>IF(OR(I12="",I12=0),"",J12/I12)</f>
        <v/>
      </c>
      <c r="L12" s="7">
        <f>IF(OR(H12="",H12=0),"",J12/H12)</f>
        <v/>
      </c>
      <c r="M12" s="8">
        <f>IF(H12="","",IF(I12="","在售","已售"))</f>
        <v/>
      </c>
    </row>
    <row r="13">
      <c r="A13" s="4" t="n"/>
      <c r="B13" s="4" t="n"/>
      <c r="C13" s="5" t="n"/>
      <c r="D13" s="5" t="n"/>
      <c r="E13" s="5" t="n"/>
      <c r="F13" s="5" t="n"/>
      <c r="G13" s="5" t="n"/>
      <c r="H13" s="6">
        <f>IF(COUNT(C13:G13)=0,"",SUM(C13:G13))</f>
        <v/>
      </c>
      <c r="I13" s="5" t="n"/>
      <c r="J13" s="6">
        <f>IF(OR(I13="",H13=""),"",I13-H13)</f>
        <v/>
      </c>
      <c r="K13" s="7">
        <f>IF(OR(I13="",I13=0),"",J13/I13)</f>
        <v/>
      </c>
      <c r="L13" s="7">
        <f>IF(OR(H13="",H13=0),"",J13/H13)</f>
        <v/>
      </c>
      <c r="M13" s="8">
        <f>IF(H13="","",IF(I13="","在售","已售"))</f>
        <v/>
      </c>
    </row>
    <row r="14">
      <c r="A14" s="4" t="n"/>
      <c r="B14" s="4" t="n"/>
      <c r="C14" s="5" t="n"/>
      <c r="D14" s="5" t="n"/>
      <c r="E14" s="5" t="n"/>
      <c r="F14" s="5" t="n"/>
      <c r="G14" s="5" t="n"/>
      <c r="H14" s="6">
        <f>IF(COUNT(C14:G14)=0,"",SUM(C14:G14))</f>
        <v/>
      </c>
      <c r="I14" s="5" t="n"/>
      <c r="J14" s="6">
        <f>IF(OR(I14="",H14=""),"",I14-H14)</f>
        <v/>
      </c>
      <c r="K14" s="7">
        <f>IF(OR(I14="",I14=0),"",J14/I14)</f>
        <v/>
      </c>
      <c r="L14" s="7">
        <f>IF(OR(H14="",H14=0),"",J14/H14)</f>
        <v/>
      </c>
      <c r="M14" s="8">
        <f>IF(H14="","",IF(I14="","在售","已售"))</f>
        <v/>
      </c>
    </row>
    <row r="15">
      <c r="A15" s="4" t="n"/>
      <c r="B15" s="4" t="n"/>
      <c r="C15" s="5" t="n"/>
      <c r="D15" s="5" t="n"/>
      <c r="E15" s="5" t="n"/>
      <c r="F15" s="5" t="n"/>
      <c r="G15" s="5" t="n"/>
      <c r="H15" s="6">
        <f>IF(COUNT(C15:G15)=0,"",SUM(C15:G15))</f>
        <v/>
      </c>
      <c r="I15" s="5" t="n"/>
      <c r="J15" s="6">
        <f>IF(OR(I15="",H15=""),"",I15-H15)</f>
        <v/>
      </c>
      <c r="K15" s="7">
        <f>IF(OR(I15="",I15=0),"",J15/I15)</f>
        <v/>
      </c>
      <c r="L15" s="7">
        <f>IF(OR(H15="",H15=0),"",J15/H15)</f>
        <v/>
      </c>
      <c r="M15" s="8">
        <f>IF(H15="","",IF(I15="","在售","已售"))</f>
        <v/>
      </c>
    </row>
    <row r="16">
      <c r="A16" s="4" t="n"/>
      <c r="B16" s="4" t="n"/>
      <c r="C16" s="5" t="n"/>
      <c r="D16" s="5" t="n"/>
      <c r="E16" s="5" t="n"/>
      <c r="F16" s="5" t="n"/>
      <c r="G16" s="5" t="n"/>
      <c r="H16" s="6">
        <f>IF(COUNT(C16:G16)=0,"",SUM(C16:G16))</f>
        <v/>
      </c>
      <c r="I16" s="5" t="n"/>
      <c r="J16" s="6">
        <f>IF(OR(I16="",H16=""),"",I16-H16)</f>
        <v/>
      </c>
      <c r="K16" s="7">
        <f>IF(OR(I16="",I16=0),"",J16/I16)</f>
        <v/>
      </c>
      <c r="L16" s="7">
        <f>IF(OR(H16="",H16=0),"",J16/H16)</f>
        <v/>
      </c>
      <c r="M16" s="8">
        <f>IF(H16="","",IF(I16="","在售","已售"))</f>
        <v/>
      </c>
    </row>
    <row r="17">
      <c r="A17" s="4" t="n"/>
      <c r="B17" s="4" t="n"/>
      <c r="C17" s="5" t="n"/>
      <c r="D17" s="5" t="n"/>
      <c r="E17" s="5" t="n"/>
      <c r="F17" s="5" t="n"/>
      <c r="G17" s="5" t="n"/>
      <c r="H17" s="6">
        <f>IF(COUNT(C17:G17)=0,"",SUM(C17:G17))</f>
        <v/>
      </c>
      <c r="I17" s="5" t="n"/>
      <c r="J17" s="6">
        <f>IF(OR(I17="",H17=""),"",I17-H17)</f>
        <v/>
      </c>
      <c r="K17" s="7">
        <f>IF(OR(I17="",I17=0),"",J17/I17)</f>
        <v/>
      </c>
      <c r="L17" s="7">
        <f>IF(OR(H17="",H17=0),"",J17/H17)</f>
        <v/>
      </c>
      <c r="M17" s="8">
        <f>IF(H17="","",IF(I17="","在售","已售"))</f>
        <v/>
      </c>
    </row>
    <row r="18">
      <c r="A18" s="4" t="n"/>
      <c r="B18" s="4" t="n"/>
      <c r="C18" s="5" t="n"/>
      <c r="D18" s="5" t="n"/>
      <c r="E18" s="5" t="n"/>
      <c r="F18" s="5" t="n"/>
      <c r="G18" s="5" t="n"/>
      <c r="H18" s="6">
        <f>IF(COUNT(C18:G18)=0,"",SUM(C18:G18))</f>
        <v/>
      </c>
      <c r="I18" s="5" t="n"/>
      <c r="J18" s="6">
        <f>IF(OR(I18="",H18=""),"",I18-H18)</f>
        <v/>
      </c>
      <c r="K18" s="7">
        <f>IF(OR(I18="",I18=0),"",J18/I18)</f>
        <v/>
      </c>
      <c r="L18" s="7">
        <f>IF(OR(H18="",H18=0),"",J18/H18)</f>
        <v/>
      </c>
      <c r="M18" s="8">
        <f>IF(H18="","",IF(I18="","在售","已售"))</f>
        <v/>
      </c>
    </row>
    <row r="19">
      <c r="A19" s="4" t="n"/>
      <c r="B19" s="4" t="n"/>
      <c r="C19" s="5" t="n"/>
      <c r="D19" s="5" t="n"/>
      <c r="E19" s="5" t="n"/>
      <c r="F19" s="5" t="n"/>
      <c r="G19" s="5" t="n"/>
      <c r="H19" s="6">
        <f>IF(COUNT(C19:G19)=0,"",SUM(C19:G19))</f>
        <v/>
      </c>
      <c r="I19" s="5" t="n"/>
      <c r="J19" s="6">
        <f>IF(OR(I19="",H19=""),"",I19-H19)</f>
        <v/>
      </c>
      <c r="K19" s="7">
        <f>IF(OR(I19="",I19=0),"",J19/I19)</f>
        <v/>
      </c>
      <c r="L19" s="7">
        <f>IF(OR(H19="",H19=0),"",J19/H19)</f>
        <v/>
      </c>
      <c r="M19" s="8">
        <f>IF(H19="","",IF(I19="","在售","已售"))</f>
        <v/>
      </c>
    </row>
    <row r="20">
      <c r="A20" s="4" t="n"/>
      <c r="B20" s="4" t="n"/>
      <c r="C20" s="5" t="n"/>
      <c r="D20" s="5" t="n"/>
      <c r="E20" s="5" t="n"/>
      <c r="F20" s="5" t="n"/>
      <c r="G20" s="5" t="n"/>
      <c r="H20" s="6">
        <f>IF(COUNT(C20:G20)=0,"",SUM(C20:G20))</f>
        <v/>
      </c>
      <c r="I20" s="5" t="n"/>
      <c r="J20" s="6">
        <f>IF(OR(I20="",H20=""),"",I20-H20)</f>
        <v/>
      </c>
      <c r="K20" s="7">
        <f>IF(OR(I20="",I20=0),"",J20/I20)</f>
        <v/>
      </c>
      <c r="L20" s="7">
        <f>IF(OR(H20="",H20=0),"",J20/H20)</f>
        <v/>
      </c>
      <c r="M20" s="8">
        <f>IF(H20="","",IF(I20="","在售","已售"))</f>
        <v/>
      </c>
    </row>
    <row r="21">
      <c r="A21" s="4" t="n"/>
      <c r="B21" s="4" t="n"/>
      <c r="C21" s="5" t="n"/>
      <c r="D21" s="5" t="n"/>
      <c r="E21" s="5" t="n"/>
      <c r="F21" s="5" t="n"/>
      <c r="G21" s="5" t="n"/>
      <c r="H21" s="6">
        <f>IF(COUNT(C21:G21)=0,"",SUM(C21:G21))</f>
        <v/>
      </c>
      <c r="I21" s="5" t="n"/>
      <c r="J21" s="6">
        <f>IF(OR(I21="",H21=""),"",I21-H21)</f>
        <v/>
      </c>
      <c r="K21" s="7">
        <f>IF(OR(I21="",I21=0),"",J21/I21)</f>
        <v/>
      </c>
      <c r="L21" s="7">
        <f>IF(OR(H21="",H21=0),"",J21/H21)</f>
        <v/>
      </c>
      <c r="M21" s="8">
        <f>IF(H21="","",IF(I21="","在售","已售"))</f>
        <v/>
      </c>
    </row>
    <row r="22">
      <c r="A22" s="4" t="n"/>
      <c r="B22" s="4" t="n"/>
      <c r="C22" s="5" t="n"/>
      <c r="D22" s="5" t="n"/>
      <c r="E22" s="5" t="n"/>
      <c r="F22" s="5" t="n"/>
      <c r="G22" s="5" t="n"/>
      <c r="H22" s="6">
        <f>IF(COUNT(C22:G22)=0,"",SUM(C22:G22))</f>
        <v/>
      </c>
      <c r="I22" s="5" t="n"/>
      <c r="J22" s="6">
        <f>IF(OR(I22="",H22=""),"",I22-H22)</f>
        <v/>
      </c>
      <c r="K22" s="7">
        <f>IF(OR(I22="",I22=0),"",J22/I22)</f>
        <v/>
      </c>
      <c r="L22" s="7">
        <f>IF(OR(H22="",H22=0),"",J22/H22)</f>
        <v/>
      </c>
      <c r="M22" s="8">
        <f>IF(H22="","",IF(I22="","在售","已售"))</f>
        <v/>
      </c>
    </row>
    <row r="23">
      <c r="A23" s="4" t="n"/>
      <c r="B23" s="4" t="n"/>
      <c r="C23" s="5" t="n"/>
      <c r="D23" s="5" t="n"/>
      <c r="E23" s="5" t="n"/>
      <c r="F23" s="5" t="n"/>
      <c r="G23" s="5" t="n"/>
      <c r="H23" s="6">
        <f>IF(COUNT(C23:G23)=0,"",SUM(C23:G23))</f>
        <v/>
      </c>
      <c r="I23" s="5" t="n"/>
      <c r="J23" s="6">
        <f>IF(OR(I23="",H23=""),"",I23-H23)</f>
        <v/>
      </c>
      <c r="K23" s="7">
        <f>IF(OR(I23="",I23=0),"",J23/I23)</f>
        <v/>
      </c>
      <c r="L23" s="7">
        <f>IF(OR(H23="",H23=0),"",J23/H23)</f>
        <v/>
      </c>
      <c r="M23" s="8">
        <f>IF(H23="","",IF(I23="","在售","已售"))</f>
        <v/>
      </c>
    </row>
    <row r="24">
      <c r="A24" s="4" t="n"/>
      <c r="B24" s="4" t="n"/>
      <c r="C24" s="5" t="n"/>
      <c r="D24" s="5" t="n"/>
      <c r="E24" s="5" t="n"/>
      <c r="F24" s="5" t="n"/>
      <c r="G24" s="5" t="n"/>
      <c r="H24" s="6">
        <f>IF(COUNT(C24:G24)=0,"",SUM(C24:G24))</f>
        <v/>
      </c>
      <c r="I24" s="5" t="n"/>
      <c r="J24" s="6">
        <f>IF(OR(I24="",H24=""),"",I24-H24)</f>
        <v/>
      </c>
      <c r="K24" s="7">
        <f>IF(OR(I24="",I24=0),"",J24/I24)</f>
        <v/>
      </c>
      <c r="L24" s="7">
        <f>IF(OR(H24="",H24=0),"",J24/H24)</f>
        <v/>
      </c>
      <c r="M24" s="8">
        <f>IF(H24="","",IF(I24="","在售","已售"))</f>
        <v/>
      </c>
    </row>
    <row r="25">
      <c r="A25" s="4" t="n"/>
      <c r="B25" s="4" t="n"/>
      <c r="C25" s="5" t="n"/>
      <c r="D25" s="5" t="n"/>
      <c r="E25" s="5" t="n"/>
      <c r="F25" s="5" t="n"/>
      <c r="G25" s="5" t="n"/>
      <c r="H25" s="6">
        <f>IF(COUNT(C25:G25)=0,"",SUM(C25:G25))</f>
        <v/>
      </c>
      <c r="I25" s="5" t="n"/>
      <c r="J25" s="6">
        <f>IF(OR(I25="",H25=""),"",I25-H25)</f>
        <v/>
      </c>
      <c r="K25" s="7">
        <f>IF(OR(I25="",I25=0),"",J25/I25)</f>
        <v/>
      </c>
      <c r="L25" s="7">
        <f>IF(OR(H25="",H25=0),"",J25/H25)</f>
        <v/>
      </c>
      <c r="M25" s="8">
        <f>IF(H25="","",IF(I25="","在售","已售"))</f>
        <v/>
      </c>
    </row>
    <row r="26">
      <c r="A26" s="4" t="n"/>
      <c r="B26" s="4" t="n"/>
      <c r="C26" s="5" t="n"/>
      <c r="D26" s="5" t="n"/>
      <c r="E26" s="5" t="n"/>
      <c r="F26" s="5" t="n"/>
      <c r="G26" s="5" t="n"/>
      <c r="H26" s="6">
        <f>IF(COUNT(C26:G26)=0,"",SUM(C26:G26))</f>
        <v/>
      </c>
      <c r="I26" s="5" t="n"/>
      <c r="J26" s="6">
        <f>IF(OR(I26="",H26=""),"",I26-H26)</f>
        <v/>
      </c>
      <c r="K26" s="7">
        <f>IF(OR(I26="",I26=0),"",J26/I26)</f>
        <v/>
      </c>
      <c r="L26" s="7">
        <f>IF(OR(H26="",H26=0),"",J26/H26)</f>
        <v/>
      </c>
      <c r="M26" s="8">
        <f>IF(H26="","",IF(I26="","在售","已售"))</f>
        <v/>
      </c>
    </row>
    <row r="27">
      <c r="A27" s="4" t="n"/>
      <c r="B27" s="4" t="n"/>
      <c r="C27" s="5" t="n"/>
      <c r="D27" s="5" t="n"/>
      <c r="E27" s="5" t="n"/>
      <c r="F27" s="5" t="n"/>
      <c r="G27" s="5" t="n"/>
      <c r="H27" s="6">
        <f>IF(COUNT(C27:G27)=0,"",SUM(C27:G27))</f>
        <v/>
      </c>
      <c r="I27" s="5" t="n"/>
      <c r="J27" s="6">
        <f>IF(OR(I27="",H27=""),"",I27-H27)</f>
        <v/>
      </c>
      <c r="K27" s="7">
        <f>IF(OR(I27="",I27=0),"",J27/I27)</f>
        <v/>
      </c>
      <c r="L27" s="7">
        <f>IF(OR(H27="",H27=0),"",J27/H27)</f>
        <v/>
      </c>
      <c r="M27" s="8">
        <f>IF(H27="","",IF(I27="","在售","已售"))</f>
        <v/>
      </c>
    </row>
    <row r="28">
      <c r="A28" s="4" t="n"/>
      <c r="B28" s="4" t="n"/>
      <c r="C28" s="5" t="n"/>
      <c r="D28" s="5" t="n"/>
      <c r="E28" s="5" t="n"/>
      <c r="F28" s="5" t="n"/>
      <c r="G28" s="5" t="n"/>
      <c r="H28" s="6">
        <f>IF(COUNT(C28:G28)=0,"",SUM(C28:G28))</f>
        <v/>
      </c>
      <c r="I28" s="5" t="n"/>
      <c r="J28" s="6">
        <f>IF(OR(I28="",H28=""),"",I28-H28)</f>
        <v/>
      </c>
      <c r="K28" s="7">
        <f>IF(OR(I28="",I28=0),"",J28/I28)</f>
        <v/>
      </c>
      <c r="L28" s="7">
        <f>IF(OR(H28="",H28=0),"",J28/H28)</f>
        <v/>
      </c>
      <c r="M28" s="8">
        <f>IF(H28="","",IF(I28="","在售","已售"))</f>
        <v/>
      </c>
    </row>
    <row r="29">
      <c r="A29" s="4" t="n"/>
      <c r="B29" s="4" t="n"/>
      <c r="C29" s="5" t="n"/>
      <c r="D29" s="5" t="n"/>
      <c r="E29" s="5" t="n"/>
      <c r="F29" s="5" t="n"/>
      <c r="G29" s="5" t="n"/>
      <c r="H29" s="6">
        <f>IF(COUNT(C29:G29)=0,"",SUM(C29:G29))</f>
        <v/>
      </c>
      <c r="I29" s="5" t="n"/>
      <c r="J29" s="6">
        <f>IF(OR(I29="",H29=""),"",I29-H29)</f>
        <v/>
      </c>
      <c r="K29" s="7">
        <f>IF(OR(I29="",I29=0),"",J29/I29)</f>
        <v/>
      </c>
      <c r="L29" s="7">
        <f>IF(OR(H29="",H29=0),"",J29/H29)</f>
        <v/>
      </c>
      <c r="M29" s="8">
        <f>IF(H29="","",IF(I29="","在售","已售"))</f>
        <v/>
      </c>
    </row>
    <row r="30">
      <c r="A30" s="4" t="n"/>
      <c r="B30" s="4" t="n"/>
      <c r="C30" s="5" t="n"/>
      <c r="D30" s="5" t="n"/>
      <c r="E30" s="5" t="n"/>
      <c r="F30" s="5" t="n"/>
      <c r="G30" s="5" t="n"/>
      <c r="H30" s="6">
        <f>IF(COUNT(C30:G30)=0,"",SUM(C30:G30))</f>
        <v/>
      </c>
      <c r="I30" s="5" t="n"/>
      <c r="J30" s="6">
        <f>IF(OR(I30="",H30=""),"",I30-H30)</f>
        <v/>
      </c>
      <c r="K30" s="7">
        <f>IF(OR(I30="",I30=0),"",J30/I30)</f>
        <v/>
      </c>
      <c r="L30" s="7">
        <f>IF(OR(H30="",H30=0),"",J30/H30)</f>
        <v/>
      </c>
      <c r="M30" s="8">
        <f>IF(H30="","",IF(I30="","在售","已售"))</f>
        <v/>
      </c>
    </row>
    <row r="31">
      <c r="A31" s="4" t="n"/>
      <c r="B31" s="4" t="n"/>
      <c r="C31" s="5" t="n"/>
      <c r="D31" s="5" t="n"/>
      <c r="E31" s="5" t="n"/>
      <c r="F31" s="5" t="n"/>
      <c r="G31" s="5" t="n"/>
      <c r="H31" s="6">
        <f>IF(COUNT(C31:G31)=0,"",SUM(C31:G31))</f>
        <v/>
      </c>
      <c r="I31" s="5" t="n"/>
      <c r="J31" s="6">
        <f>IF(OR(I31="",H31=""),"",I31-H31)</f>
        <v/>
      </c>
      <c r="K31" s="7">
        <f>IF(OR(I31="",I31=0),"",J31/I31)</f>
        <v/>
      </c>
      <c r="L31" s="7">
        <f>IF(OR(H31="",H31=0),"",J31/H31)</f>
        <v/>
      </c>
      <c r="M31" s="8">
        <f>IF(H31="","",IF(I31="","在售","已售"))</f>
        <v/>
      </c>
    </row>
    <row r="32">
      <c r="A32" s="4" t="n"/>
      <c r="B32" s="4" t="n"/>
      <c r="C32" s="5" t="n"/>
      <c r="D32" s="5" t="n"/>
      <c r="E32" s="5" t="n"/>
      <c r="F32" s="5" t="n"/>
      <c r="G32" s="5" t="n"/>
      <c r="H32" s="6">
        <f>IF(COUNT(C32:G32)=0,"",SUM(C32:G32))</f>
        <v/>
      </c>
      <c r="I32" s="5" t="n"/>
      <c r="J32" s="6">
        <f>IF(OR(I32="",H32=""),"",I32-H32)</f>
        <v/>
      </c>
      <c r="K32" s="7">
        <f>IF(OR(I32="",I32=0),"",J32/I32)</f>
        <v/>
      </c>
      <c r="L32" s="7">
        <f>IF(OR(H32="",H32=0),"",J32/H32)</f>
        <v/>
      </c>
      <c r="M32" s="8">
        <f>IF(H32="","",IF(I32="","在售","已售"))</f>
        <v/>
      </c>
    </row>
    <row r="33">
      <c r="A33" s="4" t="n"/>
      <c r="B33" s="4" t="n"/>
      <c r="C33" s="5" t="n"/>
      <c r="D33" s="5" t="n"/>
      <c r="E33" s="5" t="n"/>
      <c r="F33" s="5" t="n"/>
      <c r="G33" s="5" t="n"/>
      <c r="H33" s="6">
        <f>IF(COUNT(C33:G33)=0,"",SUM(C33:G33))</f>
        <v/>
      </c>
      <c r="I33" s="5" t="n"/>
      <c r="J33" s="6">
        <f>IF(OR(I33="",H33=""),"",I33-H33)</f>
        <v/>
      </c>
      <c r="K33" s="7">
        <f>IF(OR(I33="",I33=0),"",J33/I33)</f>
        <v/>
      </c>
      <c r="L33" s="7">
        <f>IF(OR(H33="",H33=0),"",J33/H33)</f>
        <v/>
      </c>
      <c r="M33" s="8">
        <f>IF(H33="","",IF(I33="","在售","已售"))</f>
        <v/>
      </c>
    </row>
    <row r="34">
      <c r="A34" s="4" t="n"/>
      <c r="B34" s="4" t="n"/>
      <c r="C34" s="5" t="n"/>
      <c r="D34" s="5" t="n"/>
      <c r="E34" s="5" t="n"/>
      <c r="F34" s="5" t="n"/>
      <c r="G34" s="5" t="n"/>
      <c r="H34" s="6">
        <f>IF(COUNT(C34:G34)=0,"",SUM(C34:G34))</f>
        <v/>
      </c>
      <c r="I34" s="5" t="n"/>
      <c r="J34" s="6">
        <f>IF(OR(I34="",H34=""),"",I34-H34)</f>
        <v/>
      </c>
      <c r="K34" s="7">
        <f>IF(OR(I34="",I34=0),"",J34/I34)</f>
        <v/>
      </c>
      <c r="L34" s="7">
        <f>IF(OR(H34="",H34=0),"",J34/H34)</f>
        <v/>
      </c>
      <c r="M34" s="8">
        <f>IF(H34="","",IF(I34="","在售","已售"))</f>
        <v/>
      </c>
    </row>
    <row r="35">
      <c r="A35" s="4" t="n"/>
      <c r="B35" s="4" t="n"/>
      <c r="C35" s="5" t="n"/>
      <c r="D35" s="5" t="n"/>
      <c r="E35" s="5" t="n"/>
      <c r="F35" s="5" t="n"/>
      <c r="G35" s="5" t="n"/>
      <c r="H35" s="6">
        <f>IF(COUNT(C35:G35)=0,"",SUM(C35:G35))</f>
        <v/>
      </c>
      <c r="I35" s="5" t="n"/>
      <c r="J35" s="6">
        <f>IF(OR(I35="",H35=""),"",I35-H35)</f>
        <v/>
      </c>
      <c r="K35" s="7">
        <f>IF(OR(I35="",I35=0),"",J35/I35)</f>
        <v/>
      </c>
      <c r="L35" s="7">
        <f>IF(OR(H35="",H35=0),"",J35/H35)</f>
        <v/>
      </c>
      <c r="M35" s="8">
        <f>IF(H35="","",IF(I35="","在售","已售"))</f>
        <v/>
      </c>
    </row>
    <row r="36">
      <c r="A36" s="4" t="n"/>
      <c r="B36" s="4" t="n"/>
      <c r="C36" s="5" t="n"/>
      <c r="D36" s="5" t="n"/>
      <c r="E36" s="5" t="n"/>
      <c r="F36" s="5" t="n"/>
      <c r="G36" s="5" t="n"/>
      <c r="H36" s="6">
        <f>IF(COUNT(C36:G36)=0,"",SUM(C36:G36))</f>
        <v/>
      </c>
      <c r="I36" s="5" t="n"/>
      <c r="J36" s="6">
        <f>IF(OR(I36="",H36=""),"",I36-H36)</f>
        <v/>
      </c>
      <c r="K36" s="7">
        <f>IF(OR(I36="",I36=0),"",J36/I36)</f>
        <v/>
      </c>
      <c r="L36" s="7">
        <f>IF(OR(H36="",H36=0),"",J36/H36)</f>
        <v/>
      </c>
      <c r="M36" s="8">
        <f>IF(H36="","",IF(I36="","在售","已售"))</f>
        <v/>
      </c>
    </row>
    <row r="37">
      <c r="A37" s="4" t="n"/>
      <c r="B37" s="4" t="n"/>
      <c r="C37" s="5" t="n"/>
      <c r="D37" s="5" t="n"/>
      <c r="E37" s="5" t="n"/>
      <c r="F37" s="5" t="n"/>
      <c r="G37" s="5" t="n"/>
      <c r="H37" s="6">
        <f>IF(COUNT(C37:G37)=0,"",SUM(C37:G37))</f>
        <v/>
      </c>
      <c r="I37" s="5" t="n"/>
      <c r="J37" s="6">
        <f>IF(OR(I37="",H37=""),"",I37-H37)</f>
        <v/>
      </c>
      <c r="K37" s="7">
        <f>IF(OR(I37="",I37=0),"",J37/I37)</f>
        <v/>
      </c>
      <c r="L37" s="7">
        <f>IF(OR(H37="",H37=0),"",J37/H37)</f>
        <v/>
      </c>
      <c r="M37" s="8">
        <f>IF(H37="","",IF(I37="","在售","已售"))</f>
        <v/>
      </c>
    </row>
    <row r="38">
      <c r="A38" s="4" t="n"/>
      <c r="B38" s="4" t="n"/>
      <c r="C38" s="5" t="n"/>
      <c r="D38" s="5" t="n"/>
      <c r="E38" s="5" t="n"/>
      <c r="F38" s="5" t="n"/>
      <c r="G38" s="5" t="n"/>
      <c r="H38" s="6">
        <f>IF(COUNT(C38:G38)=0,"",SUM(C38:G38))</f>
        <v/>
      </c>
      <c r="I38" s="5" t="n"/>
      <c r="J38" s="6">
        <f>IF(OR(I38="",H38=""),"",I38-H38)</f>
        <v/>
      </c>
      <c r="K38" s="7">
        <f>IF(OR(I38="",I38=0),"",J38/I38)</f>
        <v/>
      </c>
      <c r="L38" s="7">
        <f>IF(OR(H38="",H38=0),"",J38/H38)</f>
        <v/>
      </c>
      <c r="M38" s="8">
        <f>IF(H38="","",IF(I38="","在售","已售"))</f>
        <v/>
      </c>
    </row>
    <row r="39">
      <c r="A39" s="4" t="n"/>
      <c r="B39" s="4" t="n"/>
      <c r="C39" s="5" t="n"/>
      <c r="D39" s="5" t="n"/>
      <c r="E39" s="5" t="n"/>
      <c r="F39" s="5" t="n"/>
      <c r="G39" s="5" t="n"/>
      <c r="H39" s="6">
        <f>IF(COUNT(C39:G39)=0,"",SUM(C39:G39))</f>
        <v/>
      </c>
      <c r="I39" s="5" t="n"/>
      <c r="J39" s="6">
        <f>IF(OR(I39="",H39=""),"",I39-H39)</f>
        <v/>
      </c>
      <c r="K39" s="7">
        <f>IF(OR(I39="",I39=0),"",J39/I39)</f>
        <v/>
      </c>
      <c r="L39" s="7">
        <f>IF(OR(H39="",H39=0),"",J39/H39)</f>
        <v/>
      </c>
      <c r="M39" s="8">
        <f>IF(H39="","",IF(I39="","在售","已售"))</f>
        <v/>
      </c>
    </row>
    <row r="40">
      <c r="A40" s="4" t="n"/>
      <c r="B40" s="4" t="n"/>
      <c r="C40" s="5" t="n"/>
      <c r="D40" s="5" t="n"/>
      <c r="E40" s="5" t="n"/>
      <c r="F40" s="5" t="n"/>
      <c r="G40" s="5" t="n"/>
      <c r="H40" s="6">
        <f>IF(COUNT(C40:G40)=0,"",SUM(C40:G40))</f>
        <v/>
      </c>
      <c r="I40" s="5" t="n"/>
      <c r="J40" s="6">
        <f>IF(OR(I40="",H40=""),"",I40-H40)</f>
        <v/>
      </c>
      <c r="K40" s="7">
        <f>IF(OR(I40="",I40=0),"",J40/I40)</f>
        <v/>
      </c>
      <c r="L40" s="7">
        <f>IF(OR(H40="",H40=0),"",J40/H40)</f>
        <v/>
      </c>
      <c r="M40" s="8">
        <f>IF(H40="","",IF(I40="","在售","已售"))</f>
        <v/>
      </c>
    </row>
    <row r="41">
      <c r="A41" s="4" t="n"/>
      <c r="B41" s="4" t="n"/>
      <c r="C41" s="5" t="n"/>
      <c r="D41" s="5" t="n"/>
      <c r="E41" s="5" t="n"/>
      <c r="F41" s="5" t="n"/>
      <c r="G41" s="5" t="n"/>
      <c r="H41" s="6">
        <f>IF(COUNT(C41:G41)=0,"",SUM(C41:G41))</f>
        <v/>
      </c>
      <c r="I41" s="5" t="n"/>
      <c r="J41" s="6">
        <f>IF(OR(I41="",H41=""),"",I41-H41)</f>
        <v/>
      </c>
      <c r="K41" s="7">
        <f>IF(OR(I41="",I41=0),"",J41/I41)</f>
        <v/>
      </c>
      <c r="L41" s="7">
        <f>IF(OR(H41="",H41=0),"",J41/H41)</f>
        <v/>
      </c>
      <c r="M41" s="8">
        <f>IF(H41="","",IF(I41="","在售","已售"))</f>
        <v/>
      </c>
    </row>
    <row r="42">
      <c r="A42" s="4" t="n"/>
      <c r="B42" s="4" t="n"/>
      <c r="C42" s="5" t="n"/>
      <c r="D42" s="5" t="n"/>
      <c r="E42" s="5" t="n"/>
      <c r="F42" s="5" t="n"/>
      <c r="G42" s="5" t="n"/>
      <c r="H42" s="6">
        <f>IF(COUNT(C42:G42)=0,"",SUM(C42:G42))</f>
        <v/>
      </c>
      <c r="I42" s="5" t="n"/>
      <c r="J42" s="6">
        <f>IF(OR(I42="",H42=""),"",I42-H42)</f>
        <v/>
      </c>
      <c r="K42" s="7">
        <f>IF(OR(I42="",I42=0),"",J42/I42)</f>
        <v/>
      </c>
      <c r="L42" s="7">
        <f>IF(OR(H42="",H42=0),"",J42/H42)</f>
        <v/>
      </c>
      <c r="M42" s="8">
        <f>IF(H42="","",IF(I42="","在售","已售"))</f>
        <v/>
      </c>
    </row>
    <row r="43">
      <c r="A43" s="4" t="n"/>
      <c r="B43" s="4" t="n"/>
      <c r="C43" s="5" t="n"/>
      <c r="D43" s="5" t="n"/>
      <c r="E43" s="5" t="n"/>
      <c r="F43" s="5" t="n"/>
      <c r="G43" s="5" t="n"/>
      <c r="H43" s="6">
        <f>IF(COUNT(C43:G43)=0,"",SUM(C43:G43))</f>
        <v/>
      </c>
      <c r="I43" s="5" t="n"/>
      <c r="J43" s="6">
        <f>IF(OR(I43="",H43=""),"",I43-H43)</f>
        <v/>
      </c>
      <c r="K43" s="7">
        <f>IF(OR(I43="",I43=0),"",J43/I43)</f>
        <v/>
      </c>
      <c r="L43" s="7">
        <f>IF(OR(H43="",H43=0),"",J43/H43)</f>
        <v/>
      </c>
      <c r="M43" s="8">
        <f>IF(H43="","",IF(I43="","在售","已售"))</f>
        <v/>
      </c>
    </row>
    <row r="44">
      <c r="A44" s="4" t="n"/>
      <c r="B44" s="4" t="n"/>
      <c r="C44" s="5" t="n"/>
      <c r="D44" s="5" t="n"/>
      <c r="E44" s="5" t="n"/>
      <c r="F44" s="5" t="n"/>
      <c r="G44" s="5" t="n"/>
      <c r="H44" s="6">
        <f>IF(COUNT(C44:G44)=0,"",SUM(C44:G44))</f>
        <v/>
      </c>
      <c r="I44" s="5" t="n"/>
      <c r="J44" s="6">
        <f>IF(OR(I44="",H44=""),"",I44-H44)</f>
        <v/>
      </c>
      <c r="K44" s="7">
        <f>IF(OR(I44="",I44=0),"",J44/I44)</f>
        <v/>
      </c>
      <c r="L44" s="7">
        <f>IF(OR(H44="",H44=0),"",J44/H44)</f>
        <v/>
      </c>
      <c r="M44" s="8">
        <f>IF(H44="","",IF(I44="","在售","已售"))</f>
        <v/>
      </c>
    </row>
    <row r="45">
      <c r="A45" s="4" t="n"/>
      <c r="B45" s="4" t="n"/>
      <c r="C45" s="5" t="n"/>
      <c r="D45" s="5" t="n"/>
      <c r="E45" s="5" t="n"/>
      <c r="F45" s="5" t="n"/>
      <c r="G45" s="5" t="n"/>
      <c r="H45" s="6">
        <f>IF(COUNT(C45:G45)=0,"",SUM(C45:G45))</f>
        <v/>
      </c>
      <c r="I45" s="5" t="n"/>
      <c r="J45" s="6">
        <f>IF(OR(I45="",H45=""),"",I45-H45)</f>
        <v/>
      </c>
      <c r="K45" s="7">
        <f>IF(OR(I45="",I45=0),"",J45/I45)</f>
        <v/>
      </c>
      <c r="L45" s="7">
        <f>IF(OR(H45="",H45=0),"",J45/H45)</f>
        <v/>
      </c>
      <c r="M45" s="8">
        <f>IF(H45="","",IF(I45="","在售","已售"))</f>
        <v/>
      </c>
    </row>
    <row r="46">
      <c r="A46" s="4" t="n"/>
      <c r="B46" s="4" t="n"/>
      <c r="C46" s="5" t="n"/>
      <c r="D46" s="5" t="n"/>
      <c r="E46" s="5" t="n"/>
      <c r="F46" s="5" t="n"/>
      <c r="G46" s="5" t="n"/>
      <c r="H46" s="6">
        <f>IF(COUNT(C46:G46)=0,"",SUM(C46:G46))</f>
        <v/>
      </c>
      <c r="I46" s="5" t="n"/>
      <c r="J46" s="6">
        <f>IF(OR(I46="",H46=""),"",I46-H46)</f>
        <v/>
      </c>
      <c r="K46" s="7">
        <f>IF(OR(I46="",I46=0),"",J46/I46)</f>
        <v/>
      </c>
      <c r="L46" s="7">
        <f>IF(OR(H46="",H46=0),"",J46/H46)</f>
        <v/>
      </c>
      <c r="M46" s="8">
        <f>IF(H46="","",IF(I46="","在售","已售"))</f>
        <v/>
      </c>
    </row>
    <row r="47">
      <c r="A47" s="4" t="n"/>
      <c r="B47" s="4" t="n"/>
      <c r="C47" s="5" t="n"/>
      <c r="D47" s="5" t="n"/>
      <c r="E47" s="5" t="n"/>
      <c r="F47" s="5" t="n"/>
      <c r="G47" s="5" t="n"/>
      <c r="H47" s="6">
        <f>IF(COUNT(C47:G47)=0,"",SUM(C47:G47))</f>
        <v/>
      </c>
      <c r="I47" s="5" t="n"/>
      <c r="J47" s="6">
        <f>IF(OR(I47="",H47=""),"",I47-H47)</f>
        <v/>
      </c>
      <c r="K47" s="7">
        <f>IF(OR(I47="",I47=0),"",J47/I47)</f>
        <v/>
      </c>
      <c r="L47" s="7">
        <f>IF(OR(H47="",H47=0),"",J47/H47)</f>
        <v/>
      </c>
      <c r="M47" s="8">
        <f>IF(H47="","",IF(I47="","在售","已售"))</f>
        <v/>
      </c>
    </row>
    <row r="48">
      <c r="A48" s="4" t="n"/>
      <c r="B48" s="4" t="n"/>
      <c r="C48" s="5" t="n"/>
      <c r="D48" s="5" t="n"/>
      <c r="E48" s="5" t="n"/>
      <c r="F48" s="5" t="n"/>
      <c r="G48" s="5" t="n"/>
      <c r="H48" s="6">
        <f>IF(COUNT(C48:G48)=0,"",SUM(C48:G48))</f>
        <v/>
      </c>
      <c r="I48" s="5" t="n"/>
      <c r="J48" s="6">
        <f>IF(OR(I48="",H48=""),"",I48-H48)</f>
        <v/>
      </c>
      <c r="K48" s="7">
        <f>IF(OR(I48="",I48=0),"",J48/I48)</f>
        <v/>
      </c>
      <c r="L48" s="7">
        <f>IF(OR(H48="",H48=0),"",J48/H48)</f>
        <v/>
      </c>
      <c r="M48" s="8">
        <f>IF(H48="","",IF(I48="","在售","已售"))</f>
        <v/>
      </c>
    </row>
    <row r="49">
      <c r="A49" s="4" t="n"/>
      <c r="B49" s="4" t="n"/>
      <c r="C49" s="5" t="n"/>
      <c r="D49" s="5" t="n"/>
      <c r="E49" s="5" t="n"/>
      <c r="F49" s="5" t="n"/>
      <c r="G49" s="5" t="n"/>
      <c r="H49" s="6">
        <f>IF(COUNT(C49:G49)=0,"",SUM(C49:G49))</f>
        <v/>
      </c>
      <c r="I49" s="5" t="n"/>
      <c r="J49" s="6">
        <f>IF(OR(I49="",H49=""),"",I49-H49)</f>
        <v/>
      </c>
      <c r="K49" s="7">
        <f>IF(OR(I49="",I49=0),"",J49/I49)</f>
        <v/>
      </c>
      <c r="L49" s="7">
        <f>IF(OR(H49="",H49=0),"",J49/H49)</f>
        <v/>
      </c>
      <c r="M49" s="8">
        <f>IF(H49="","",IF(I49="","在售","已售"))</f>
        <v/>
      </c>
    </row>
    <row r="50">
      <c r="A50" s="4" t="n"/>
      <c r="B50" s="4" t="n"/>
      <c r="C50" s="5" t="n"/>
      <c r="D50" s="5" t="n"/>
      <c r="E50" s="5" t="n"/>
      <c r="F50" s="5" t="n"/>
      <c r="G50" s="5" t="n"/>
      <c r="H50" s="6">
        <f>IF(COUNT(C50:G50)=0,"",SUM(C50:G50))</f>
        <v/>
      </c>
      <c r="I50" s="5" t="n"/>
      <c r="J50" s="6">
        <f>IF(OR(I50="",H50=""),"",I50-H50)</f>
        <v/>
      </c>
      <c r="K50" s="7">
        <f>IF(OR(I50="",I50=0),"",J50/I50)</f>
        <v/>
      </c>
      <c r="L50" s="7">
        <f>IF(OR(H50="",H50=0),"",J50/H50)</f>
        <v/>
      </c>
      <c r="M50" s="8">
        <f>IF(H50="","",IF(I50="","在售","已售"))</f>
        <v/>
      </c>
    </row>
    <row r="51">
      <c r="A51" s="4" t="n"/>
      <c r="B51" s="4" t="n"/>
      <c r="C51" s="5" t="n"/>
      <c r="D51" s="5" t="n"/>
      <c r="E51" s="5" t="n"/>
      <c r="F51" s="5" t="n"/>
      <c r="G51" s="5" t="n"/>
      <c r="H51" s="6">
        <f>IF(COUNT(C51:G51)=0,"",SUM(C51:G51))</f>
        <v/>
      </c>
      <c r="I51" s="5" t="n"/>
      <c r="J51" s="6">
        <f>IF(OR(I51="",H51=""),"",I51-H51)</f>
        <v/>
      </c>
      <c r="K51" s="7">
        <f>IF(OR(I51="",I51=0),"",J51/I51)</f>
        <v/>
      </c>
      <c r="L51" s="7">
        <f>IF(OR(H51="",H51=0),"",J51/H51)</f>
        <v/>
      </c>
      <c r="M51" s="8">
        <f>IF(H51="","",IF(I51="","在售","已售"))</f>
        <v/>
      </c>
    </row>
    <row r="52">
      <c r="A52" s="4" t="n"/>
      <c r="B52" s="4" t="n"/>
      <c r="C52" s="5" t="n"/>
      <c r="D52" s="5" t="n"/>
      <c r="E52" s="5" t="n"/>
      <c r="F52" s="5" t="n"/>
      <c r="G52" s="5" t="n"/>
      <c r="H52" s="6">
        <f>IF(COUNT(C52:G52)=0,"",SUM(C52:G52))</f>
        <v/>
      </c>
      <c r="I52" s="5" t="n"/>
      <c r="J52" s="6">
        <f>IF(OR(I52="",H52=""),"",I52-H52)</f>
        <v/>
      </c>
      <c r="K52" s="7">
        <f>IF(OR(I52="",I52=0),"",J52/I52)</f>
        <v/>
      </c>
      <c r="L52" s="7">
        <f>IF(OR(H52="",H52=0),"",J52/H52)</f>
        <v/>
      </c>
      <c r="M52" s="8">
        <f>IF(H52="","",IF(I52="","在售","已售"))</f>
        <v/>
      </c>
    </row>
    <row r="53">
      <c r="A53" s="4" t="n"/>
      <c r="B53" s="4" t="n"/>
      <c r="C53" s="5" t="n"/>
      <c r="D53" s="5" t="n"/>
      <c r="E53" s="5" t="n"/>
      <c r="F53" s="5" t="n"/>
      <c r="G53" s="5" t="n"/>
      <c r="H53" s="6">
        <f>IF(COUNT(C53:G53)=0,"",SUM(C53:G53))</f>
        <v/>
      </c>
      <c r="I53" s="5" t="n"/>
      <c r="J53" s="6">
        <f>IF(OR(I53="",H53=""),"",I53-H53)</f>
        <v/>
      </c>
      <c r="K53" s="7">
        <f>IF(OR(I53="",I53=0),"",J53/I53)</f>
        <v/>
      </c>
      <c r="L53" s="7">
        <f>IF(OR(H53="",H53=0),"",J53/H53)</f>
        <v/>
      </c>
      <c r="M53" s="8">
        <f>IF(H53="","",IF(I53="","在售","已售"))</f>
        <v/>
      </c>
    </row>
    <row r="54">
      <c r="A54" s="4" t="n"/>
      <c r="B54" s="4" t="n"/>
      <c r="C54" s="5" t="n"/>
      <c r="D54" s="5" t="n"/>
      <c r="E54" s="5" t="n"/>
      <c r="F54" s="5" t="n"/>
      <c r="G54" s="5" t="n"/>
      <c r="H54" s="6">
        <f>IF(COUNT(C54:G54)=0,"",SUM(C54:G54))</f>
        <v/>
      </c>
      <c r="I54" s="5" t="n"/>
      <c r="J54" s="6">
        <f>IF(OR(I54="",H54=""),"",I54-H54)</f>
        <v/>
      </c>
      <c r="K54" s="7">
        <f>IF(OR(I54="",I54=0),"",J54/I54)</f>
        <v/>
      </c>
      <c r="L54" s="7">
        <f>IF(OR(H54="",H54=0),"",J54/H54)</f>
        <v/>
      </c>
      <c r="M54" s="8">
        <f>IF(H54="","",IF(I54="","在售","已售"))</f>
        <v/>
      </c>
    </row>
    <row r="55">
      <c r="A55" s="4" t="n"/>
      <c r="B55" s="4" t="n"/>
      <c r="C55" s="5" t="n"/>
      <c r="D55" s="5" t="n"/>
      <c r="E55" s="5" t="n"/>
      <c r="F55" s="5" t="n"/>
      <c r="G55" s="5" t="n"/>
      <c r="H55" s="6">
        <f>IF(COUNT(C55:G55)=0,"",SUM(C55:G55))</f>
        <v/>
      </c>
      <c r="I55" s="5" t="n"/>
      <c r="J55" s="6">
        <f>IF(OR(I55="",H55=""),"",I55-H55)</f>
        <v/>
      </c>
      <c r="K55" s="7">
        <f>IF(OR(I55="",I55=0),"",J55/I55)</f>
        <v/>
      </c>
      <c r="L55" s="7">
        <f>IF(OR(H55="",H55=0),"",J55/H55)</f>
        <v/>
      </c>
      <c r="M55" s="8">
        <f>IF(H55="","",IF(I55="","在售","已售"))</f>
        <v/>
      </c>
    </row>
    <row r="56">
      <c r="A56" s="4" t="n"/>
      <c r="B56" s="4" t="n"/>
      <c r="C56" s="5" t="n"/>
      <c r="D56" s="5" t="n"/>
      <c r="E56" s="5" t="n"/>
      <c r="F56" s="5" t="n"/>
      <c r="G56" s="5" t="n"/>
      <c r="H56" s="6">
        <f>IF(COUNT(C56:G56)=0,"",SUM(C56:G56))</f>
        <v/>
      </c>
      <c r="I56" s="5" t="n"/>
      <c r="J56" s="6">
        <f>IF(OR(I56="",H56=""),"",I56-H56)</f>
        <v/>
      </c>
      <c r="K56" s="7">
        <f>IF(OR(I56="",I56=0),"",J56/I56)</f>
        <v/>
      </c>
      <c r="L56" s="7">
        <f>IF(OR(H56="",H56=0),"",J56/H56)</f>
        <v/>
      </c>
      <c r="M56" s="8">
        <f>IF(H56="","",IF(I56="","在售","已售"))</f>
        <v/>
      </c>
    </row>
    <row r="57">
      <c r="A57" s="4" t="n"/>
      <c r="B57" s="4" t="n"/>
      <c r="C57" s="5" t="n"/>
      <c r="D57" s="5" t="n"/>
      <c r="E57" s="5" t="n"/>
      <c r="F57" s="5" t="n"/>
      <c r="G57" s="5" t="n"/>
      <c r="H57" s="6">
        <f>IF(COUNT(C57:G57)=0,"",SUM(C57:G57))</f>
        <v/>
      </c>
      <c r="I57" s="5" t="n"/>
      <c r="J57" s="6">
        <f>IF(OR(I57="",H57=""),"",I57-H57)</f>
        <v/>
      </c>
      <c r="K57" s="7">
        <f>IF(OR(I57="",I57=0),"",J57/I57)</f>
        <v/>
      </c>
      <c r="L57" s="7">
        <f>IF(OR(H57="",H57=0),"",J57/H57)</f>
        <v/>
      </c>
      <c r="M57" s="8">
        <f>IF(H57="","",IF(I57="","在售","已售"))</f>
        <v/>
      </c>
    </row>
    <row r="58">
      <c r="A58" s="4" t="n"/>
      <c r="B58" s="4" t="n"/>
      <c r="C58" s="5" t="n"/>
      <c r="D58" s="5" t="n"/>
      <c r="E58" s="5" t="n"/>
      <c r="F58" s="5" t="n"/>
      <c r="G58" s="5" t="n"/>
      <c r="H58" s="6">
        <f>IF(COUNT(C58:G58)=0,"",SUM(C58:G58))</f>
        <v/>
      </c>
      <c r="I58" s="5" t="n"/>
      <c r="J58" s="6">
        <f>IF(OR(I58="",H58=""),"",I58-H58)</f>
        <v/>
      </c>
      <c r="K58" s="7">
        <f>IF(OR(I58="",I58=0),"",J58/I58)</f>
        <v/>
      </c>
      <c r="L58" s="7">
        <f>IF(OR(H58="",H58=0),"",J58/H58)</f>
        <v/>
      </c>
      <c r="M58" s="8">
        <f>IF(H58="","",IF(I58="","在售","已售"))</f>
        <v/>
      </c>
    </row>
    <row r="59">
      <c r="A59" s="4" t="n"/>
      <c r="B59" s="4" t="n"/>
      <c r="C59" s="5" t="n"/>
      <c r="D59" s="5" t="n"/>
      <c r="E59" s="5" t="n"/>
      <c r="F59" s="5" t="n"/>
      <c r="G59" s="5" t="n"/>
      <c r="H59" s="6">
        <f>IF(COUNT(C59:G59)=0,"",SUM(C59:G59))</f>
        <v/>
      </c>
      <c r="I59" s="5" t="n"/>
      <c r="J59" s="6">
        <f>IF(OR(I59="",H59=""),"",I59-H59)</f>
        <v/>
      </c>
      <c r="K59" s="7">
        <f>IF(OR(I59="",I59=0),"",J59/I59)</f>
        <v/>
      </c>
      <c r="L59" s="7">
        <f>IF(OR(H59="",H59=0),"",J59/H59)</f>
        <v/>
      </c>
      <c r="M59" s="8">
        <f>IF(H59="","",IF(I59="","在售","已售"))</f>
        <v/>
      </c>
    </row>
    <row r="60">
      <c r="A60" s="4" t="n"/>
      <c r="B60" s="4" t="n"/>
      <c r="C60" s="5" t="n"/>
      <c r="D60" s="5" t="n"/>
      <c r="E60" s="5" t="n"/>
      <c r="F60" s="5" t="n"/>
      <c r="G60" s="5" t="n"/>
      <c r="H60" s="6">
        <f>IF(COUNT(C60:G60)=0,"",SUM(C60:G60))</f>
        <v/>
      </c>
      <c r="I60" s="5" t="n"/>
      <c r="J60" s="6">
        <f>IF(OR(I60="",H60=""),"",I60-H60)</f>
        <v/>
      </c>
      <c r="K60" s="7">
        <f>IF(OR(I60="",I60=0),"",J60/I60)</f>
        <v/>
      </c>
      <c r="L60" s="7">
        <f>IF(OR(H60="",H60=0),"",J60/H60)</f>
        <v/>
      </c>
      <c r="M60" s="8">
        <f>IF(H60="","",IF(I60="","在售","已售"))</f>
        <v/>
      </c>
    </row>
    <row r="61">
      <c r="A61" s="4" t="n"/>
      <c r="B61" s="4" t="n"/>
      <c r="C61" s="5" t="n"/>
      <c r="D61" s="5" t="n"/>
      <c r="E61" s="5" t="n"/>
      <c r="F61" s="5" t="n"/>
      <c r="G61" s="5" t="n"/>
      <c r="H61" s="6">
        <f>IF(COUNT(C61:G61)=0,"",SUM(C61:G61))</f>
        <v/>
      </c>
      <c r="I61" s="5" t="n"/>
      <c r="J61" s="6">
        <f>IF(OR(I61="",H61=""),"",I61-H61)</f>
        <v/>
      </c>
      <c r="K61" s="7">
        <f>IF(OR(I61="",I61=0),"",J61/I61)</f>
        <v/>
      </c>
      <c r="L61" s="7">
        <f>IF(OR(H61="",H61=0),"",J61/H61)</f>
        <v/>
      </c>
      <c r="M61" s="8">
        <f>IF(H61="","",IF(I61="","在售","已售"))</f>
        <v/>
      </c>
    </row>
    <row r="62">
      <c r="A62" s="4" t="n"/>
      <c r="B62" s="4" t="n"/>
      <c r="C62" s="5" t="n"/>
      <c r="D62" s="5" t="n"/>
      <c r="E62" s="5" t="n"/>
      <c r="F62" s="5" t="n"/>
      <c r="G62" s="5" t="n"/>
      <c r="H62" s="6">
        <f>IF(COUNT(C62:G62)=0,"",SUM(C62:G62))</f>
        <v/>
      </c>
      <c r="I62" s="5" t="n"/>
      <c r="J62" s="6">
        <f>IF(OR(I62="",H62=""),"",I62-H62)</f>
        <v/>
      </c>
      <c r="K62" s="7">
        <f>IF(OR(I62="",I62=0),"",J62/I62)</f>
        <v/>
      </c>
      <c r="L62" s="7">
        <f>IF(OR(H62="",H62=0),"",J62/H62)</f>
        <v/>
      </c>
      <c r="M62" s="8">
        <f>IF(H62="","",IF(I62="","在售","已售"))</f>
        <v/>
      </c>
    </row>
    <row r="63">
      <c r="A63" s="4" t="n"/>
      <c r="B63" s="4" t="n"/>
      <c r="C63" s="5" t="n"/>
      <c r="D63" s="5" t="n"/>
      <c r="E63" s="5" t="n"/>
      <c r="F63" s="5" t="n"/>
      <c r="G63" s="5" t="n"/>
      <c r="H63" s="6">
        <f>IF(COUNT(C63:G63)=0,"",SUM(C63:G63))</f>
        <v/>
      </c>
      <c r="I63" s="5" t="n"/>
      <c r="J63" s="6">
        <f>IF(OR(I63="",H63=""),"",I63-H63)</f>
        <v/>
      </c>
      <c r="K63" s="7">
        <f>IF(OR(I63="",I63=0),"",J63/I63)</f>
        <v/>
      </c>
      <c r="L63" s="7">
        <f>IF(OR(H63="",H63=0),"",J63/H63)</f>
        <v/>
      </c>
      <c r="M63" s="8">
        <f>IF(H63="","",IF(I63="","在售","已售"))</f>
        <v/>
      </c>
    </row>
    <row r="64">
      <c r="A64" s="4" t="n"/>
      <c r="B64" s="4" t="n"/>
      <c r="C64" s="5" t="n"/>
      <c r="D64" s="5" t="n"/>
      <c r="E64" s="5" t="n"/>
      <c r="F64" s="5" t="n"/>
      <c r="G64" s="5" t="n"/>
      <c r="H64" s="6">
        <f>IF(COUNT(C64:G64)=0,"",SUM(C64:G64))</f>
        <v/>
      </c>
      <c r="I64" s="5" t="n"/>
      <c r="J64" s="6">
        <f>IF(OR(I64="",H64=""),"",I64-H64)</f>
        <v/>
      </c>
      <c r="K64" s="7">
        <f>IF(OR(I64="",I64=0),"",J64/I64)</f>
        <v/>
      </c>
      <c r="L64" s="7">
        <f>IF(OR(H64="",H64=0),"",J64/H64)</f>
        <v/>
      </c>
      <c r="M64" s="8">
        <f>IF(H64="","",IF(I64="","在售","已售"))</f>
        <v/>
      </c>
    </row>
    <row r="67">
      <c r="A67" s="9" t="inlineStr">
        <is>
          <t>📊 汇总</t>
        </is>
      </c>
    </row>
    <row r="68">
      <c r="A68" s="10" t="inlineStr">
        <is>
          <t>总台数（已录入）</t>
        </is>
      </c>
      <c r="C68" s="11">
        <f>COUNTIF(M5:M64,"&lt;&gt;")</f>
        <v/>
      </c>
    </row>
    <row r="69">
      <c r="A69" s="10" t="inlineStr">
        <is>
          <t>已售台数</t>
        </is>
      </c>
      <c r="C69" s="11">
        <f>COUNTIF(M5:M64,"已售")</f>
        <v/>
      </c>
    </row>
    <row r="70">
      <c r="A70" s="10" t="inlineStr">
        <is>
          <t>在售台数</t>
        </is>
      </c>
      <c r="C70" s="11">
        <f>COUNTIF(M5:M64,"在售")</f>
        <v/>
      </c>
    </row>
    <row r="71">
      <c r="A71" s="10" t="inlineStr">
        <is>
          <t>已售总利润</t>
        </is>
      </c>
      <c r="C71" s="12">
        <f>SUM(J5:J64)</f>
        <v/>
      </c>
    </row>
    <row r="72">
      <c r="A72" s="10" t="inlineStr">
        <is>
          <t>已售平均每台利润</t>
        </is>
      </c>
      <c r="C72" s="12">
        <f>IF(COUNTIF(M5:M64,"已售")=0,0,SUM(J5:J64)/COUNTIF(M5:M64,"已售"))</f>
        <v/>
      </c>
    </row>
    <row r="73">
      <c r="A73" s="10" t="inlineStr">
        <is>
          <t>已售总成本</t>
        </is>
      </c>
      <c r="C73" s="12">
        <f>SUMIFS(H5:H64,M5:M64,"已售")</f>
        <v/>
      </c>
    </row>
    <row r="74">
      <c r="A74" s="10" t="inlineStr">
        <is>
          <t>整体回报率 ROI</t>
        </is>
      </c>
      <c r="C74" s="13">
        <f>IF(SUMIFS(H5:H64,M5:M64,"已售")=0,0,SUM(J5:J64)/SUMIFS(H5:H64,M5:M64,"已售"))</f>
        <v/>
      </c>
    </row>
    <row r="75">
      <c r="A75" s="10" t="inlineStr">
        <is>
          <t>在售占用资金（成本）</t>
        </is>
      </c>
      <c r="C75" s="12">
        <f>SUMIFS(H5:H64,M5:M64,"在售")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2026-06-21T18:03:00Z</dcterms:created>
  <dcterms:modified xsi:type="dcterms:W3CDTF">2026-06-21T18:03:00Z</dcterms:modified>
</cp:coreProperties>
</file>