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b val="1"/>
      <sz val="11"/>
    </font>
    <font>
      <b val="1"/>
    </font>
    <font>
      <b val="1"/>
      <color rgb="00FFFFFF"/>
      <sz val="11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4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0">
      <alignment horizontal="right"/>
    </xf>
    <xf numFmtId="1" fontId="4" fillId="5" borderId="1" pivotButton="0" quotePrefix="0" xfId="0"/>
    <xf numFmtId="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1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3" customWidth="1" min="10" max="10"/>
  </cols>
  <sheetData>
    <row r="1" ht="26" customHeight="1">
      <c r="A1" s="1" t="inlineStr">
        <is>
          <t>🚗 KIA 销售提成计算表</t>
        </is>
      </c>
    </row>
    <row r="2">
      <c r="A2" s="2" t="inlineStr">
        <is>
          <t>黄色=自己填  |  橙色=参数(可改)  |  绿色=自动算  |  没有 Trade 就把 Trade 两列留空</t>
        </is>
      </c>
    </row>
    <row r="4">
      <c r="A4" s="3" t="inlineStr">
        <is>
          <t>LUX Care 单份利润 ($)</t>
        </is>
      </c>
      <c r="C4" s="4" t="n">
        <v>50</v>
      </c>
    </row>
    <row r="5">
      <c r="A5" s="3" t="inlineStr">
        <is>
          <t>Greenway Advantage ($)</t>
        </is>
      </c>
      <c r="C5" s="4" t="n">
        <v>2995</v>
      </c>
    </row>
    <row r="6">
      <c r="A6" s="3" t="inlineStr">
        <is>
          <t>我的提成比例</t>
        </is>
      </c>
      <c r="C6" s="5" t="n">
        <v>0.25</v>
      </c>
    </row>
    <row r="8" ht="32" customHeight="1">
      <c r="A8" s="6" t="inlineStr">
        <is>
          <t>编号</t>
        </is>
      </c>
      <c r="B8" s="6" t="inlineStr">
        <is>
          <t>客户 / 车型</t>
        </is>
      </c>
      <c r="C8" s="6" t="inlineStr">
        <is>
          <t>LUX Care 份数</t>
        </is>
      </c>
      <c r="D8" s="6" t="inlineStr">
        <is>
          <t>Greenway
(是/否)</t>
        </is>
      </c>
      <c r="E8" s="6" t="inlineStr">
        <is>
          <t>车架利润</t>
        </is>
      </c>
      <c r="F8" s="6" t="inlineStr">
        <is>
          <t>Trade 实际价值</t>
        </is>
      </c>
      <c r="G8" s="6" t="inlineStr">
        <is>
          <t>Trade 折抵价</t>
        </is>
      </c>
      <c r="H8" s="6" t="inlineStr">
        <is>
          <t>Trade 差价</t>
        </is>
      </c>
      <c r="I8" s="6" t="inlineStr">
        <is>
          <t>总利润(店)</t>
        </is>
      </c>
      <c r="J8" s="6" t="inlineStr">
        <is>
          <t>我的提成</t>
        </is>
      </c>
    </row>
    <row r="9">
      <c r="A9" s="7" t="inlineStr">
        <is>
          <t>示例</t>
        </is>
      </c>
      <c r="B9" s="7" t="inlineStr">
        <is>
          <t>张三 / K5</t>
        </is>
      </c>
      <c r="C9" s="7" t="n">
        <v>1</v>
      </c>
      <c r="D9" s="7" t="inlineStr">
        <is>
          <t>是</t>
        </is>
      </c>
      <c r="E9" s="8" t="n">
        <v>2000</v>
      </c>
      <c r="F9" s="8" t="n">
        <v>18000</v>
      </c>
      <c r="G9" s="8" t="n">
        <v>16000</v>
      </c>
      <c r="H9" s="9">
        <f>IF(OR(F9="",G9=""),0,F9-G9)</f>
        <v/>
      </c>
      <c r="I9" s="9">
        <f>IF(COUNTA(A9:G9)=0,"",N(C9)*$C$4+IF(D9="是",$C$5,0)+N(E9)+H9)</f>
        <v/>
      </c>
      <c r="J9" s="10">
        <f>IF(I9="","",I9*$C$6)</f>
        <v/>
      </c>
    </row>
    <row r="10">
      <c r="A10" s="7" t="n"/>
      <c r="B10" s="7" t="n"/>
      <c r="C10" s="7" t="n"/>
      <c r="D10" s="7" t="n"/>
      <c r="E10" s="8" t="n"/>
      <c r="F10" s="8" t="n"/>
      <c r="G10" s="8" t="n"/>
      <c r="H10" s="9">
        <f>IF(OR(F10="",G10=""),0,F10-G10)</f>
        <v/>
      </c>
      <c r="I10" s="9">
        <f>IF(COUNTA(A10:G10)=0,"",N(C10)*$C$4+IF(D10="是",$C$5,0)+N(E10)+H10)</f>
        <v/>
      </c>
      <c r="J10" s="10">
        <f>IF(I10="","",I10*$C$6)</f>
        <v/>
      </c>
    </row>
    <row r="11">
      <c r="A11" s="7" t="n"/>
      <c r="B11" s="7" t="n"/>
      <c r="C11" s="7" t="n"/>
      <c r="D11" s="7" t="n"/>
      <c r="E11" s="8" t="n"/>
      <c r="F11" s="8" t="n"/>
      <c r="G11" s="8" t="n"/>
      <c r="H11" s="9">
        <f>IF(OR(F11="",G11=""),0,F11-G11)</f>
        <v/>
      </c>
      <c r="I11" s="9">
        <f>IF(COUNTA(A11:G11)=0,"",N(C11)*$C$4+IF(D11="是",$C$5,0)+N(E11)+H11)</f>
        <v/>
      </c>
      <c r="J11" s="10">
        <f>IF(I11="","",I11*$C$6)</f>
        <v/>
      </c>
    </row>
    <row r="12">
      <c r="A12" s="7" t="n"/>
      <c r="B12" s="7" t="n"/>
      <c r="C12" s="7" t="n"/>
      <c r="D12" s="7" t="n"/>
      <c r="E12" s="8" t="n"/>
      <c r="F12" s="8" t="n"/>
      <c r="G12" s="8" t="n"/>
      <c r="H12" s="9">
        <f>IF(OR(F12="",G12=""),0,F12-G12)</f>
        <v/>
      </c>
      <c r="I12" s="9">
        <f>IF(COUNTA(A12:G12)=0,"",N(C12)*$C$4+IF(D12="是",$C$5,0)+N(E12)+H12)</f>
        <v/>
      </c>
      <c r="J12" s="10">
        <f>IF(I12="","",I12*$C$6)</f>
        <v/>
      </c>
    </row>
    <row r="13">
      <c r="A13" s="7" t="n"/>
      <c r="B13" s="7" t="n"/>
      <c r="C13" s="7" t="n"/>
      <c r="D13" s="7" t="n"/>
      <c r="E13" s="8" t="n"/>
      <c r="F13" s="8" t="n"/>
      <c r="G13" s="8" t="n"/>
      <c r="H13" s="9">
        <f>IF(OR(F13="",G13=""),0,F13-G13)</f>
        <v/>
      </c>
      <c r="I13" s="9">
        <f>IF(COUNTA(A13:G13)=0,"",N(C13)*$C$4+IF(D13="是",$C$5,0)+N(E13)+H13)</f>
        <v/>
      </c>
      <c r="J13" s="10">
        <f>IF(I13="","",I13*$C$6)</f>
        <v/>
      </c>
    </row>
    <row r="14">
      <c r="A14" s="7" t="n"/>
      <c r="B14" s="7" t="n"/>
      <c r="C14" s="7" t="n"/>
      <c r="D14" s="7" t="n"/>
      <c r="E14" s="8" t="n"/>
      <c r="F14" s="8" t="n"/>
      <c r="G14" s="8" t="n"/>
      <c r="H14" s="9">
        <f>IF(OR(F14="",G14=""),0,F14-G14)</f>
        <v/>
      </c>
      <c r="I14" s="9">
        <f>IF(COUNTA(A14:G14)=0,"",N(C14)*$C$4+IF(D14="是",$C$5,0)+N(E14)+H14)</f>
        <v/>
      </c>
      <c r="J14" s="10">
        <f>IF(I14="","",I14*$C$6)</f>
        <v/>
      </c>
    </row>
    <row r="15">
      <c r="A15" s="7" t="n"/>
      <c r="B15" s="7" t="n"/>
      <c r="C15" s="7" t="n"/>
      <c r="D15" s="7" t="n"/>
      <c r="E15" s="8" t="n"/>
      <c r="F15" s="8" t="n"/>
      <c r="G15" s="8" t="n"/>
      <c r="H15" s="9">
        <f>IF(OR(F15="",G15=""),0,F15-G15)</f>
        <v/>
      </c>
      <c r="I15" s="9">
        <f>IF(COUNTA(A15:G15)=0,"",N(C15)*$C$4+IF(D15="是",$C$5,0)+N(E15)+H15)</f>
        <v/>
      </c>
      <c r="J15" s="10">
        <f>IF(I15="","",I15*$C$6)</f>
        <v/>
      </c>
    </row>
    <row r="16">
      <c r="A16" s="7" t="n"/>
      <c r="B16" s="7" t="n"/>
      <c r="C16" s="7" t="n"/>
      <c r="D16" s="7" t="n"/>
      <c r="E16" s="8" t="n"/>
      <c r="F16" s="8" t="n"/>
      <c r="G16" s="8" t="n"/>
      <c r="H16" s="9">
        <f>IF(OR(F16="",G16=""),0,F16-G16)</f>
        <v/>
      </c>
      <c r="I16" s="9">
        <f>IF(COUNTA(A16:G16)=0,"",N(C16)*$C$4+IF(D16="是",$C$5,0)+N(E16)+H16)</f>
        <v/>
      </c>
      <c r="J16" s="10">
        <f>IF(I16="","",I16*$C$6)</f>
        <v/>
      </c>
    </row>
    <row r="17">
      <c r="A17" s="7" t="n"/>
      <c r="B17" s="7" t="n"/>
      <c r="C17" s="7" t="n"/>
      <c r="D17" s="7" t="n"/>
      <c r="E17" s="8" t="n"/>
      <c r="F17" s="8" t="n"/>
      <c r="G17" s="8" t="n"/>
      <c r="H17" s="9">
        <f>IF(OR(F17="",G17=""),0,F17-G17)</f>
        <v/>
      </c>
      <c r="I17" s="9">
        <f>IF(COUNTA(A17:G17)=0,"",N(C17)*$C$4+IF(D17="是",$C$5,0)+N(E17)+H17)</f>
        <v/>
      </c>
      <c r="J17" s="10">
        <f>IF(I17="","",I17*$C$6)</f>
        <v/>
      </c>
    </row>
    <row r="18">
      <c r="A18" s="7" t="n"/>
      <c r="B18" s="7" t="n"/>
      <c r="C18" s="7" t="n"/>
      <c r="D18" s="7" t="n"/>
      <c r="E18" s="8" t="n"/>
      <c r="F18" s="8" t="n"/>
      <c r="G18" s="8" t="n"/>
      <c r="H18" s="9">
        <f>IF(OR(F18="",G18=""),0,F18-G18)</f>
        <v/>
      </c>
      <c r="I18" s="9">
        <f>IF(COUNTA(A18:G18)=0,"",N(C18)*$C$4+IF(D18="是",$C$5,0)+N(E18)+H18)</f>
        <v/>
      </c>
      <c r="J18" s="10">
        <f>IF(I18="","",I18*$C$6)</f>
        <v/>
      </c>
    </row>
    <row r="19">
      <c r="A19" s="7" t="n"/>
      <c r="B19" s="7" t="n"/>
      <c r="C19" s="7" t="n"/>
      <c r="D19" s="7" t="n"/>
      <c r="E19" s="8" t="n"/>
      <c r="F19" s="8" t="n"/>
      <c r="G19" s="8" t="n"/>
      <c r="H19" s="9">
        <f>IF(OR(F19="",G19=""),0,F19-G19)</f>
        <v/>
      </c>
      <c r="I19" s="9">
        <f>IF(COUNTA(A19:G19)=0,"",N(C19)*$C$4+IF(D19="是",$C$5,0)+N(E19)+H19)</f>
        <v/>
      </c>
      <c r="J19" s="10">
        <f>IF(I19="","",I19*$C$6)</f>
        <v/>
      </c>
    </row>
    <row r="20">
      <c r="A20" s="7" t="n"/>
      <c r="B20" s="7" t="n"/>
      <c r="C20" s="7" t="n"/>
      <c r="D20" s="7" t="n"/>
      <c r="E20" s="8" t="n"/>
      <c r="F20" s="8" t="n"/>
      <c r="G20" s="8" t="n"/>
      <c r="H20" s="9">
        <f>IF(OR(F20="",G20=""),0,F20-G20)</f>
        <v/>
      </c>
      <c r="I20" s="9">
        <f>IF(COUNTA(A20:G20)=0,"",N(C20)*$C$4+IF(D20="是",$C$5,0)+N(E20)+H20)</f>
        <v/>
      </c>
      <c r="J20" s="10">
        <f>IF(I20="","",I20*$C$6)</f>
        <v/>
      </c>
    </row>
    <row r="21">
      <c r="A21" s="7" t="n"/>
      <c r="B21" s="7" t="n"/>
      <c r="C21" s="7" t="n"/>
      <c r="D21" s="7" t="n"/>
      <c r="E21" s="8" t="n"/>
      <c r="F21" s="8" t="n"/>
      <c r="G21" s="8" t="n"/>
      <c r="H21" s="9">
        <f>IF(OR(F21="",G21=""),0,F21-G21)</f>
        <v/>
      </c>
      <c r="I21" s="9">
        <f>IF(COUNTA(A21:G21)=0,"",N(C21)*$C$4+IF(D21="是",$C$5,0)+N(E21)+H21)</f>
        <v/>
      </c>
      <c r="J21" s="10">
        <f>IF(I21="","",I21*$C$6)</f>
        <v/>
      </c>
    </row>
    <row r="22">
      <c r="A22" s="7" t="n"/>
      <c r="B22" s="7" t="n"/>
      <c r="C22" s="7" t="n"/>
      <c r="D22" s="7" t="n"/>
      <c r="E22" s="8" t="n"/>
      <c r="F22" s="8" t="n"/>
      <c r="G22" s="8" t="n"/>
      <c r="H22" s="9">
        <f>IF(OR(F22="",G22=""),0,F22-G22)</f>
        <v/>
      </c>
      <c r="I22" s="9">
        <f>IF(COUNTA(A22:G22)=0,"",N(C22)*$C$4+IF(D22="是",$C$5,0)+N(E22)+H22)</f>
        <v/>
      </c>
      <c r="J22" s="10">
        <f>IF(I22="","",I22*$C$6)</f>
        <v/>
      </c>
    </row>
    <row r="23">
      <c r="A23" s="7" t="n"/>
      <c r="B23" s="7" t="n"/>
      <c r="C23" s="7" t="n"/>
      <c r="D23" s="7" t="n"/>
      <c r="E23" s="8" t="n"/>
      <c r="F23" s="8" t="n"/>
      <c r="G23" s="8" t="n"/>
      <c r="H23" s="9">
        <f>IF(OR(F23="",G23=""),0,F23-G23)</f>
        <v/>
      </c>
      <c r="I23" s="9">
        <f>IF(COUNTA(A23:G23)=0,"",N(C23)*$C$4+IF(D23="是",$C$5,0)+N(E23)+H23)</f>
        <v/>
      </c>
      <c r="J23" s="10">
        <f>IF(I23="","",I23*$C$6)</f>
        <v/>
      </c>
    </row>
    <row r="24">
      <c r="A24" s="7" t="n"/>
      <c r="B24" s="7" t="n"/>
      <c r="C24" s="7" t="n"/>
      <c r="D24" s="7" t="n"/>
      <c r="E24" s="8" t="n"/>
      <c r="F24" s="8" t="n"/>
      <c r="G24" s="8" t="n"/>
      <c r="H24" s="9">
        <f>IF(OR(F24="",G24=""),0,F24-G24)</f>
        <v/>
      </c>
      <c r="I24" s="9">
        <f>IF(COUNTA(A24:G24)=0,"",N(C24)*$C$4+IF(D24="是",$C$5,0)+N(E24)+H24)</f>
        <v/>
      </c>
      <c r="J24" s="10">
        <f>IF(I24="","",I24*$C$6)</f>
        <v/>
      </c>
    </row>
    <row r="25">
      <c r="A25" s="7" t="n"/>
      <c r="B25" s="7" t="n"/>
      <c r="C25" s="7" t="n"/>
      <c r="D25" s="7" t="n"/>
      <c r="E25" s="8" t="n"/>
      <c r="F25" s="8" t="n"/>
      <c r="G25" s="8" t="n"/>
      <c r="H25" s="9">
        <f>IF(OR(F25="",G25=""),0,F25-G25)</f>
        <v/>
      </c>
      <c r="I25" s="9">
        <f>IF(COUNTA(A25:G25)=0,"",N(C25)*$C$4+IF(D25="是",$C$5,0)+N(E25)+H25)</f>
        <v/>
      </c>
      <c r="J25" s="10">
        <f>IF(I25="","",I25*$C$6)</f>
        <v/>
      </c>
    </row>
    <row r="26">
      <c r="A26" s="7" t="n"/>
      <c r="B26" s="7" t="n"/>
      <c r="C26" s="7" t="n"/>
      <c r="D26" s="7" t="n"/>
      <c r="E26" s="8" t="n"/>
      <c r="F26" s="8" t="n"/>
      <c r="G26" s="8" t="n"/>
      <c r="H26" s="9">
        <f>IF(OR(F26="",G26=""),0,F26-G26)</f>
        <v/>
      </c>
      <c r="I26" s="9">
        <f>IF(COUNTA(A26:G26)=0,"",N(C26)*$C$4+IF(D26="是",$C$5,0)+N(E26)+H26)</f>
        <v/>
      </c>
      <c r="J26" s="10">
        <f>IF(I26="","",I26*$C$6)</f>
        <v/>
      </c>
    </row>
    <row r="27">
      <c r="A27" s="7" t="n"/>
      <c r="B27" s="7" t="n"/>
      <c r="C27" s="7" t="n"/>
      <c r="D27" s="7" t="n"/>
      <c r="E27" s="8" t="n"/>
      <c r="F27" s="8" t="n"/>
      <c r="G27" s="8" t="n"/>
      <c r="H27" s="9">
        <f>IF(OR(F27="",G27=""),0,F27-G27)</f>
        <v/>
      </c>
      <c r="I27" s="9">
        <f>IF(COUNTA(A27:G27)=0,"",N(C27)*$C$4+IF(D27="是",$C$5,0)+N(E27)+H27)</f>
        <v/>
      </c>
      <c r="J27" s="10">
        <f>IF(I27="","",I27*$C$6)</f>
        <v/>
      </c>
    </row>
    <row r="28">
      <c r="A28" s="7" t="n"/>
      <c r="B28" s="7" t="n"/>
      <c r="C28" s="7" t="n"/>
      <c r="D28" s="7" t="n"/>
      <c r="E28" s="8" t="n"/>
      <c r="F28" s="8" t="n"/>
      <c r="G28" s="8" t="n"/>
      <c r="H28" s="9">
        <f>IF(OR(F28="",G28=""),0,F28-G28)</f>
        <v/>
      </c>
      <c r="I28" s="9">
        <f>IF(COUNTA(A28:G28)=0,"",N(C28)*$C$4+IF(D28="是",$C$5,0)+N(E28)+H28)</f>
        <v/>
      </c>
      <c r="J28" s="10">
        <f>IF(I28="","",I28*$C$6)</f>
        <v/>
      </c>
    </row>
    <row r="29">
      <c r="A29" s="7" t="n"/>
      <c r="B29" s="7" t="n"/>
      <c r="C29" s="7" t="n"/>
      <c r="D29" s="7" t="n"/>
      <c r="E29" s="8" t="n"/>
      <c r="F29" s="8" t="n"/>
      <c r="G29" s="8" t="n"/>
      <c r="H29" s="9">
        <f>IF(OR(F29="",G29=""),0,F29-G29)</f>
        <v/>
      </c>
      <c r="I29" s="9">
        <f>IF(COUNTA(A29:G29)=0,"",N(C29)*$C$4+IF(D29="是",$C$5,0)+N(E29)+H29)</f>
        <v/>
      </c>
      <c r="J29" s="10">
        <f>IF(I29="","",I29*$C$6)</f>
        <v/>
      </c>
    </row>
    <row r="30">
      <c r="A30" s="7" t="n"/>
      <c r="B30" s="7" t="n"/>
      <c r="C30" s="7" t="n"/>
      <c r="D30" s="7" t="n"/>
      <c r="E30" s="8" t="n"/>
      <c r="F30" s="8" t="n"/>
      <c r="G30" s="8" t="n"/>
      <c r="H30" s="9">
        <f>IF(OR(F30="",G30=""),0,F30-G30)</f>
        <v/>
      </c>
      <c r="I30" s="9">
        <f>IF(COUNTA(A30:G30)=0,"",N(C30)*$C$4+IF(D30="是",$C$5,0)+N(E30)+H30)</f>
        <v/>
      </c>
      <c r="J30" s="10">
        <f>IF(I30="","",I30*$C$6)</f>
        <v/>
      </c>
    </row>
    <row r="31">
      <c r="A31" s="7" t="n"/>
      <c r="B31" s="7" t="n"/>
      <c r="C31" s="7" t="n"/>
      <c r="D31" s="7" t="n"/>
      <c r="E31" s="8" t="n"/>
      <c r="F31" s="8" t="n"/>
      <c r="G31" s="8" t="n"/>
      <c r="H31" s="9">
        <f>IF(OR(F31="",G31=""),0,F31-G31)</f>
        <v/>
      </c>
      <c r="I31" s="9">
        <f>IF(COUNTA(A31:G31)=0,"",N(C31)*$C$4+IF(D31="是",$C$5,0)+N(E31)+H31)</f>
        <v/>
      </c>
      <c r="J31" s="10">
        <f>IF(I31="","",I31*$C$6)</f>
        <v/>
      </c>
    </row>
    <row r="32">
      <c r="A32" s="7" t="n"/>
      <c r="B32" s="7" t="n"/>
      <c r="C32" s="7" t="n"/>
      <c r="D32" s="7" t="n"/>
      <c r="E32" s="8" t="n"/>
      <c r="F32" s="8" t="n"/>
      <c r="G32" s="8" t="n"/>
      <c r="H32" s="9">
        <f>IF(OR(F32="",G32=""),0,F32-G32)</f>
        <v/>
      </c>
      <c r="I32" s="9">
        <f>IF(COUNTA(A32:G32)=0,"",N(C32)*$C$4+IF(D32="是",$C$5,0)+N(E32)+H32)</f>
        <v/>
      </c>
      <c r="J32" s="10">
        <f>IF(I32="","",I32*$C$6)</f>
        <v/>
      </c>
    </row>
    <row r="33">
      <c r="A33" s="7" t="n"/>
      <c r="B33" s="7" t="n"/>
      <c r="C33" s="7" t="n"/>
      <c r="D33" s="7" t="n"/>
      <c r="E33" s="8" t="n"/>
      <c r="F33" s="8" t="n"/>
      <c r="G33" s="8" t="n"/>
      <c r="H33" s="9">
        <f>IF(OR(F33="",G33=""),0,F33-G33)</f>
        <v/>
      </c>
      <c r="I33" s="9">
        <f>IF(COUNTA(A33:G33)=0,"",N(C33)*$C$4+IF(D33="是",$C$5,0)+N(E33)+H33)</f>
        <v/>
      </c>
      <c r="J33" s="10">
        <f>IF(I33="","",I33*$C$6)</f>
        <v/>
      </c>
    </row>
    <row r="34">
      <c r="A34" s="7" t="n"/>
      <c r="B34" s="7" t="n"/>
      <c r="C34" s="7" t="n"/>
      <c r="D34" s="7" t="n"/>
      <c r="E34" s="8" t="n"/>
      <c r="F34" s="8" t="n"/>
      <c r="G34" s="8" t="n"/>
      <c r="H34" s="9">
        <f>IF(OR(F34="",G34=""),0,F34-G34)</f>
        <v/>
      </c>
      <c r="I34" s="9">
        <f>IF(COUNTA(A34:G34)=0,"",N(C34)*$C$4+IF(D34="是",$C$5,0)+N(E34)+H34)</f>
        <v/>
      </c>
      <c r="J34" s="10">
        <f>IF(I34="","",I34*$C$6)</f>
        <v/>
      </c>
    </row>
    <row r="35">
      <c r="A35" s="7" t="n"/>
      <c r="B35" s="7" t="n"/>
      <c r="C35" s="7" t="n"/>
      <c r="D35" s="7" t="n"/>
      <c r="E35" s="8" t="n"/>
      <c r="F35" s="8" t="n"/>
      <c r="G35" s="8" t="n"/>
      <c r="H35" s="9">
        <f>IF(OR(F35="",G35=""),0,F35-G35)</f>
        <v/>
      </c>
      <c r="I35" s="9">
        <f>IF(COUNTA(A35:G35)=0,"",N(C35)*$C$4+IF(D35="是",$C$5,0)+N(E35)+H35)</f>
        <v/>
      </c>
      <c r="J35" s="10">
        <f>IF(I35="","",I35*$C$6)</f>
        <v/>
      </c>
    </row>
    <row r="36">
      <c r="A36" s="7" t="n"/>
      <c r="B36" s="7" t="n"/>
      <c r="C36" s="7" t="n"/>
      <c r="D36" s="7" t="n"/>
      <c r="E36" s="8" t="n"/>
      <c r="F36" s="8" t="n"/>
      <c r="G36" s="8" t="n"/>
      <c r="H36" s="9">
        <f>IF(OR(F36="",G36=""),0,F36-G36)</f>
        <v/>
      </c>
      <c r="I36" s="9">
        <f>IF(COUNTA(A36:G36)=0,"",N(C36)*$C$4+IF(D36="是",$C$5,0)+N(E36)+H36)</f>
        <v/>
      </c>
      <c r="J36" s="10">
        <f>IF(I36="","",I36*$C$6)</f>
        <v/>
      </c>
    </row>
    <row r="37">
      <c r="A37" s="7" t="n"/>
      <c r="B37" s="7" t="n"/>
      <c r="C37" s="7" t="n"/>
      <c r="D37" s="7" t="n"/>
      <c r="E37" s="8" t="n"/>
      <c r="F37" s="8" t="n"/>
      <c r="G37" s="8" t="n"/>
      <c r="H37" s="9">
        <f>IF(OR(F37="",G37=""),0,F37-G37)</f>
        <v/>
      </c>
      <c r="I37" s="9">
        <f>IF(COUNTA(A37:G37)=0,"",N(C37)*$C$4+IF(D37="是",$C$5,0)+N(E37)+H37)</f>
        <v/>
      </c>
      <c r="J37" s="10">
        <f>IF(I37="","",I37*$C$6)</f>
        <v/>
      </c>
    </row>
    <row r="38">
      <c r="A38" s="7" t="n"/>
      <c r="B38" s="7" t="n"/>
      <c r="C38" s="7" t="n"/>
      <c r="D38" s="7" t="n"/>
      <c r="E38" s="8" t="n"/>
      <c r="F38" s="8" t="n"/>
      <c r="G38" s="8" t="n"/>
      <c r="H38" s="9">
        <f>IF(OR(F38="",G38=""),0,F38-G38)</f>
        <v/>
      </c>
      <c r="I38" s="9">
        <f>IF(COUNTA(A38:G38)=0,"",N(C38)*$C$4+IF(D38="是",$C$5,0)+N(E38)+H38)</f>
        <v/>
      </c>
      <c r="J38" s="10">
        <f>IF(I38="","",I38*$C$6)</f>
        <v/>
      </c>
    </row>
    <row r="39">
      <c r="A39" s="7" t="n"/>
      <c r="B39" s="7" t="n"/>
      <c r="C39" s="7" t="n"/>
      <c r="D39" s="7" t="n"/>
      <c r="E39" s="8" t="n"/>
      <c r="F39" s="8" t="n"/>
      <c r="G39" s="8" t="n"/>
      <c r="H39" s="9">
        <f>IF(OR(F39="",G39=""),0,F39-G39)</f>
        <v/>
      </c>
      <c r="I39" s="9">
        <f>IF(COUNTA(A39:G39)=0,"",N(C39)*$C$4+IF(D39="是",$C$5,0)+N(E39)+H39)</f>
        <v/>
      </c>
      <c r="J39" s="10">
        <f>IF(I39="","",I39*$C$6)</f>
        <v/>
      </c>
    </row>
    <row r="40">
      <c r="A40" s="7" t="n"/>
      <c r="B40" s="7" t="n"/>
      <c r="C40" s="7" t="n"/>
      <c r="D40" s="7" t="n"/>
      <c r="E40" s="8" t="n"/>
      <c r="F40" s="8" t="n"/>
      <c r="G40" s="8" t="n"/>
      <c r="H40" s="9">
        <f>IF(OR(F40="",G40=""),0,F40-G40)</f>
        <v/>
      </c>
      <c r="I40" s="9">
        <f>IF(COUNTA(A40:G40)=0,"",N(C40)*$C$4+IF(D40="是",$C$5,0)+N(E40)+H40)</f>
        <v/>
      </c>
      <c r="J40" s="10">
        <f>IF(I40="","",I40*$C$6)</f>
        <v/>
      </c>
    </row>
    <row r="41">
      <c r="A41" s="7" t="n"/>
      <c r="B41" s="7" t="n"/>
      <c r="C41" s="7" t="n"/>
      <c r="D41" s="7" t="n"/>
      <c r="E41" s="8" t="n"/>
      <c r="F41" s="8" t="n"/>
      <c r="G41" s="8" t="n"/>
      <c r="H41" s="9">
        <f>IF(OR(F41="",G41=""),0,F41-G41)</f>
        <v/>
      </c>
      <c r="I41" s="9">
        <f>IF(COUNTA(A41:G41)=0,"",N(C41)*$C$4+IF(D41="是",$C$5,0)+N(E41)+H41)</f>
        <v/>
      </c>
      <c r="J41" s="10">
        <f>IF(I41="","",I41*$C$6)</f>
        <v/>
      </c>
    </row>
    <row r="42">
      <c r="A42" s="7" t="n"/>
      <c r="B42" s="7" t="n"/>
      <c r="C42" s="7" t="n"/>
      <c r="D42" s="7" t="n"/>
      <c r="E42" s="8" t="n"/>
      <c r="F42" s="8" t="n"/>
      <c r="G42" s="8" t="n"/>
      <c r="H42" s="9">
        <f>IF(OR(F42="",G42=""),0,F42-G42)</f>
        <v/>
      </c>
      <c r="I42" s="9">
        <f>IF(COUNTA(A42:G42)=0,"",N(C42)*$C$4+IF(D42="是",$C$5,0)+N(E42)+H42)</f>
        <v/>
      </c>
      <c r="J42" s="10">
        <f>IF(I42="","",I42*$C$6)</f>
        <v/>
      </c>
    </row>
    <row r="43">
      <c r="A43" s="7" t="n"/>
      <c r="B43" s="7" t="n"/>
      <c r="C43" s="7" t="n"/>
      <c r="D43" s="7" t="n"/>
      <c r="E43" s="8" t="n"/>
      <c r="F43" s="8" t="n"/>
      <c r="G43" s="8" t="n"/>
      <c r="H43" s="9">
        <f>IF(OR(F43="",G43=""),0,F43-G43)</f>
        <v/>
      </c>
      <c r="I43" s="9">
        <f>IF(COUNTA(A43:G43)=0,"",N(C43)*$C$4+IF(D43="是",$C$5,0)+N(E43)+H43)</f>
        <v/>
      </c>
      <c r="J43" s="10">
        <f>IF(I43="","",I43*$C$6)</f>
        <v/>
      </c>
    </row>
    <row r="44">
      <c r="A44" s="7" t="n"/>
      <c r="B44" s="7" t="n"/>
      <c r="C44" s="7" t="n"/>
      <c r="D44" s="7" t="n"/>
      <c r="E44" s="8" t="n"/>
      <c r="F44" s="8" t="n"/>
      <c r="G44" s="8" t="n"/>
      <c r="H44" s="9">
        <f>IF(OR(F44="",G44=""),0,F44-G44)</f>
        <v/>
      </c>
      <c r="I44" s="9">
        <f>IF(COUNTA(A44:G44)=0,"",N(C44)*$C$4+IF(D44="是",$C$5,0)+N(E44)+H44)</f>
        <v/>
      </c>
      <c r="J44" s="10">
        <f>IF(I44="","",I44*$C$6)</f>
        <v/>
      </c>
    </row>
    <row r="45">
      <c r="A45" s="7" t="n"/>
      <c r="B45" s="7" t="n"/>
      <c r="C45" s="7" t="n"/>
      <c r="D45" s="7" t="n"/>
      <c r="E45" s="8" t="n"/>
      <c r="F45" s="8" t="n"/>
      <c r="G45" s="8" t="n"/>
      <c r="H45" s="9">
        <f>IF(OR(F45="",G45=""),0,F45-G45)</f>
        <v/>
      </c>
      <c r="I45" s="9">
        <f>IF(COUNTA(A45:G45)=0,"",N(C45)*$C$4+IF(D45="是",$C$5,0)+N(E45)+H45)</f>
        <v/>
      </c>
      <c r="J45" s="10">
        <f>IF(I45="","",I45*$C$6)</f>
        <v/>
      </c>
    </row>
    <row r="46">
      <c r="A46" s="7" t="n"/>
      <c r="B46" s="7" t="n"/>
      <c r="C46" s="7" t="n"/>
      <c r="D46" s="7" t="n"/>
      <c r="E46" s="8" t="n"/>
      <c r="F46" s="8" t="n"/>
      <c r="G46" s="8" t="n"/>
      <c r="H46" s="9">
        <f>IF(OR(F46="",G46=""),0,F46-G46)</f>
        <v/>
      </c>
      <c r="I46" s="9">
        <f>IF(COUNTA(A46:G46)=0,"",N(C46)*$C$4+IF(D46="是",$C$5,0)+N(E46)+H46)</f>
        <v/>
      </c>
      <c r="J46" s="10">
        <f>IF(I46="","",I46*$C$6)</f>
        <v/>
      </c>
    </row>
    <row r="47">
      <c r="A47" s="7" t="n"/>
      <c r="B47" s="7" t="n"/>
      <c r="C47" s="7" t="n"/>
      <c r="D47" s="7" t="n"/>
      <c r="E47" s="8" t="n"/>
      <c r="F47" s="8" t="n"/>
      <c r="G47" s="8" t="n"/>
      <c r="H47" s="9">
        <f>IF(OR(F47="",G47=""),0,F47-G47)</f>
        <v/>
      </c>
      <c r="I47" s="9">
        <f>IF(COUNTA(A47:G47)=0,"",N(C47)*$C$4+IF(D47="是",$C$5,0)+N(E47)+H47)</f>
        <v/>
      </c>
      <c r="J47" s="10">
        <f>IF(I47="","",I47*$C$6)</f>
        <v/>
      </c>
    </row>
    <row r="48">
      <c r="A48" s="7" t="n"/>
      <c r="B48" s="7" t="n"/>
      <c r="C48" s="7" t="n"/>
      <c r="D48" s="7" t="n"/>
      <c r="E48" s="8" t="n"/>
      <c r="F48" s="8" t="n"/>
      <c r="G48" s="8" t="n"/>
      <c r="H48" s="9">
        <f>IF(OR(F48="",G48=""),0,F48-G48)</f>
        <v/>
      </c>
      <c r="I48" s="9">
        <f>IF(COUNTA(A48:G48)=0,"",N(C48)*$C$4+IF(D48="是",$C$5,0)+N(E48)+H48)</f>
        <v/>
      </c>
      <c r="J48" s="10">
        <f>IF(I48="","",I48*$C$6)</f>
        <v/>
      </c>
    </row>
    <row r="49">
      <c r="A49" s="7" t="n"/>
      <c r="B49" s="7" t="n"/>
      <c r="C49" s="7" t="n"/>
      <c r="D49" s="7" t="n"/>
      <c r="E49" s="8" t="n"/>
      <c r="F49" s="8" t="n"/>
      <c r="G49" s="8" t="n"/>
      <c r="H49" s="9">
        <f>IF(OR(F49="",G49=""),0,F49-G49)</f>
        <v/>
      </c>
      <c r="I49" s="9">
        <f>IF(COUNTA(A49:G49)=0,"",N(C49)*$C$4+IF(D49="是",$C$5,0)+N(E49)+H49)</f>
        <v/>
      </c>
      <c r="J49" s="10">
        <f>IF(I49="","",I49*$C$6)</f>
        <v/>
      </c>
    </row>
    <row r="50">
      <c r="A50" s="7" t="n"/>
      <c r="B50" s="7" t="n"/>
      <c r="C50" s="7" t="n"/>
      <c r="D50" s="7" t="n"/>
      <c r="E50" s="8" t="n"/>
      <c r="F50" s="8" t="n"/>
      <c r="G50" s="8" t="n"/>
      <c r="H50" s="9">
        <f>IF(OR(F50="",G50=""),0,F50-G50)</f>
        <v/>
      </c>
      <c r="I50" s="9">
        <f>IF(COUNTA(A50:G50)=0,"",N(C50)*$C$4+IF(D50="是",$C$5,0)+N(E50)+H50)</f>
        <v/>
      </c>
      <c r="J50" s="10">
        <f>IF(I50="","",I50*$C$6)</f>
        <v/>
      </c>
    </row>
    <row r="51">
      <c r="A51" s="7" t="n"/>
      <c r="B51" s="7" t="n"/>
      <c r="C51" s="7" t="n"/>
      <c r="D51" s="7" t="n"/>
      <c r="E51" s="8" t="n"/>
      <c r="F51" s="8" t="n"/>
      <c r="G51" s="8" t="n"/>
      <c r="H51" s="9">
        <f>IF(OR(F51="",G51=""),0,F51-G51)</f>
        <v/>
      </c>
      <c r="I51" s="9">
        <f>IF(COUNTA(A51:G51)=0,"",N(C51)*$C$4+IF(D51="是",$C$5,0)+N(E51)+H51)</f>
        <v/>
      </c>
      <c r="J51" s="10">
        <f>IF(I51="","",I51*$C$6)</f>
        <v/>
      </c>
    </row>
    <row r="52">
      <c r="A52" s="7" t="n"/>
      <c r="B52" s="7" t="n"/>
      <c r="C52" s="7" t="n"/>
      <c r="D52" s="7" t="n"/>
      <c r="E52" s="8" t="n"/>
      <c r="F52" s="8" t="n"/>
      <c r="G52" s="8" t="n"/>
      <c r="H52" s="9">
        <f>IF(OR(F52="",G52=""),0,F52-G52)</f>
        <v/>
      </c>
      <c r="I52" s="9">
        <f>IF(COUNTA(A52:G52)=0,"",N(C52)*$C$4+IF(D52="是",$C$5,0)+N(E52)+H52)</f>
        <v/>
      </c>
      <c r="J52" s="10">
        <f>IF(I52="","",I52*$C$6)</f>
        <v/>
      </c>
    </row>
    <row r="53">
      <c r="A53" s="7" t="n"/>
      <c r="B53" s="7" t="n"/>
      <c r="C53" s="7" t="n"/>
      <c r="D53" s="7" t="n"/>
      <c r="E53" s="8" t="n"/>
      <c r="F53" s="8" t="n"/>
      <c r="G53" s="8" t="n"/>
      <c r="H53" s="9">
        <f>IF(OR(F53="",G53=""),0,F53-G53)</f>
        <v/>
      </c>
      <c r="I53" s="9">
        <f>IF(COUNTA(A53:G53)=0,"",N(C53)*$C$4+IF(D53="是",$C$5,0)+N(E53)+H53)</f>
        <v/>
      </c>
      <c r="J53" s="10">
        <f>IF(I53="","",I53*$C$6)</f>
        <v/>
      </c>
    </row>
    <row r="54">
      <c r="A54" s="7" t="n"/>
      <c r="B54" s="7" t="n"/>
      <c r="C54" s="7" t="n"/>
      <c r="D54" s="7" t="n"/>
      <c r="E54" s="8" t="n"/>
      <c r="F54" s="8" t="n"/>
      <c r="G54" s="8" t="n"/>
      <c r="H54" s="9">
        <f>IF(OR(F54="",G54=""),0,F54-G54)</f>
        <v/>
      </c>
      <c r="I54" s="9">
        <f>IF(COUNTA(A54:G54)=0,"",N(C54)*$C$4+IF(D54="是",$C$5,0)+N(E54)+H54)</f>
        <v/>
      </c>
      <c r="J54" s="10">
        <f>IF(I54="","",I54*$C$6)</f>
        <v/>
      </c>
    </row>
    <row r="55">
      <c r="A55" s="7" t="n"/>
      <c r="B55" s="7" t="n"/>
      <c r="C55" s="7" t="n"/>
      <c r="D55" s="7" t="n"/>
      <c r="E55" s="8" t="n"/>
      <c r="F55" s="8" t="n"/>
      <c r="G55" s="8" t="n"/>
      <c r="H55" s="9">
        <f>IF(OR(F55="",G55=""),0,F55-G55)</f>
        <v/>
      </c>
      <c r="I55" s="9">
        <f>IF(COUNTA(A55:G55)=0,"",N(C55)*$C$4+IF(D55="是",$C$5,0)+N(E55)+H55)</f>
        <v/>
      </c>
      <c r="J55" s="10">
        <f>IF(I55="","",I55*$C$6)</f>
        <v/>
      </c>
    </row>
    <row r="56">
      <c r="A56" s="7" t="n"/>
      <c r="B56" s="7" t="n"/>
      <c r="C56" s="7" t="n"/>
      <c r="D56" s="7" t="n"/>
      <c r="E56" s="8" t="n"/>
      <c r="F56" s="8" t="n"/>
      <c r="G56" s="8" t="n"/>
      <c r="H56" s="9">
        <f>IF(OR(F56="",G56=""),0,F56-G56)</f>
        <v/>
      </c>
      <c r="I56" s="9">
        <f>IF(COUNTA(A56:G56)=0,"",N(C56)*$C$4+IF(D56="是",$C$5,0)+N(E56)+H56)</f>
        <v/>
      </c>
      <c r="J56" s="10">
        <f>IF(I56="","",I56*$C$6)</f>
        <v/>
      </c>
    </row>
    <row r="57">
      <c r="A57" s="7" t="n"/>
      <c r="B57" s="7" t="n"/>
      <c r="C57" s="7" t="n"/>
      <c r="D57" s="7" t="n"/>
      <c r="E57" s="8" t="n"/>
      <c r="F57" s="8" t="n"/>
      <c r="G57" s="8" t="n"/>
      <c r="H57" s="9">
        <f>IF(OR(F57="",G57=""),0,F57-G57)</f>
        <v/>
      </c>
      <c r="I57" s="9">
        <f>IF(COUNTA(A57:G57)=0,"",N(C57)*$C$4+IF(D57="是",$C$5,0)+N(E57)+H57)</f>
        <v/>
      </c>
      <c r="J57" s="10">
        <f>IF(I57="","",I57*$C$6)</f>
        <v/>
      </c>
    </row>
    <row r="58">
      <c r="A58" s="7" t="n"/>
      <c r="B58" s="7" t="n"/>
      <c r="C58" s="7" t="n"/>
      <c r="D58" s="7" t="n"/>
      <c r="E58" s="8" t="n"/>
      <c r="F58" s="8" t="n"/>
      <c r="G58" s="8" t="n"/>
      <c r="H58" s="9">
        <f>IF(OR(F58="",G58=""),0,F58-G58)</f>
        <v/>
      </c>
      <c r="I58" s="9">
        <f>IF(COUNTA(A58:G58)=0,"",N(C58)*$C$4+IF(D58="是",$C$5,0)+N(E58)+H58)</f>
        <v/>
      </c>
      <c r="J58" s="10">
        <f>IF(I58="","",I58*$C$6)</f>
        <v/>
      </c>
    </row>
    <row r="59">
      <c r="A59" s="7" t="n"/>
      <c r="B59" s="7" t="n"/>
      <c r="C59" s="7" t="n"/>
      <c r="D59" s="7" t="n"/>
      <c r="E59" s="8" t="n"/>
      <c r="F59" s="8" t="n"/>
      <c r="G59" s="8" t="n"/>
      <c r="H59" s="9">
        <f>IF(OR(F59="",G59=""),0,F59-G59)</f>
        <v/>
      </c>
      <c r="I59" s="9">
        <f>IF(COUNTA(A59:G59)=0,"",N(C59)*$C$4+IF(D59="是",$C$5,0)+N(E59)+H59)</f>
        <v/>
      </c>
      <c r="J59" s="10">
        <f>IF(I59="","",I59*$C$6)</f>
        <v/>
      </c>
    </row>
    <row r="60">
      <c r="A60" s="7" t="n"/>
      <c r="B60" s="7" t="n"/>
      <c r="C60" s="7" t="n"/>
      <c r="D60" s="7" t="n"/>
      <c r="E60" s="8" t="n"/>
      <c r="F60" s="8" t="n"/>
      <c r="G60" s="8" t="n"/>
      <c r="H60" s="9">
        <f>IF(OR(F60="",G60=""),0,F60-G60)</f>
        <v/>
      </c>
      <c r="I60" s="9">
        <f>IF(COUNTA(A60:G60)=0,"",N(C60)*$C$4+IF(D60="是",$C$5,0)+N(E60)+H60)</f>
        <v/>
      </c>
      <c r="J60" s="10">
        <f>IF(I60="","",I60*$C$6)</f>
        <v/>
      </c>
    </row>
    <row r="61">
      <c r="A61" s="7" t="n"/>
      <c r="B61" s="7" t="n"/>
      <c r="C61" s="7" t="n"/>
      <c r="D61" s="7" t="n"/>
      <c r="E61" s="8" t="n"/>
      <c r="F61" s="8" t="n"/>
      <c r="G61" s="8" t="n"/>
      <c r="H61" s="9">
        <f>IF(OR(F61="",G61=""),0,F61-G61)</f>
        <v/>
      </c>
      <c r="I61" s="9">
        <f>IF(COUNTA(A61:G61)=0,"",N(C61)*$C$4+IF(D61="是",$C$5,0)+N(E61)+H61)</f>
        <v/>
      </c>
      <c r="J61" s="10">
        <f>IF(I61="","",I61*$C$6)</f>
        <v/>
      </c>
    </row>
    <row r="62">
      <c r="A62" s="7" t="n"/>
      <c r="B62" s="7" t="n"/>
      <c r="C62" s="7" t="n"/>
      <c r="D62" s="7" t="n"/>
      <c r="E62" s="8" t="n"/>
      <c r="F62" s="8" t="n"/>
      <c r="G62" s="8" t="n"/>
      <c r="H62" s="9">
        <f>IF(OR(F62="",G62=""),0,F62-G62)</f>
        <v/>
      </c>
      <c r="I62" s="9">
        <f>IF(COUNTA(A62:G62)=0,"",N(C62)*$C$4+IF(D62="是",$C$5,0)+N(E62)+H62)</f>
        <v/>
      </c>
      <c r="J62" s="10">
        <f>IF(I62="","",I62*$C$6)</f>
        <v/>
      </c>
    </row>
    <row r="63">
      <c r="A63" s="7" t="n"/>
      <c r="B63" s="7" t="n"/>
      <c r="C63" s="7" t="n"/>
      <c r="D63" s="7" t="n"/>
      <c r="E63" s="8" t="n"/>
      <c r="F63" s="8" t="n"/>
      <c r="G63" s="8" t="n"/>
      <c r="H63" s="9">
        <f>IF(OR(F63="",G63=""),0,F63-G63)</f>
        <v/>
      </c>
      <c r="I63" s="9">
        <f>IF(COUNTA(A63:G63)=0,"",N(C63)*$C$4+IF(D63="是",$C$5,0)+N(E63)+H63)</f>
        <v/>
      </c>
      <c r="J63" s="10">
        <f>IF(I63="","",I63*$C$6)</f>
        <v/>
      </c>
    </row>
    <row r="64">
      <c r="A64" s="7" t="n"/>
      <c r="B64" s="7" t="n"/>
      <c r="C64" s="7" t="n"/>
      <c r="D64" s="7" t="n"/>
      <c r="E64" s="8" t="n"/>
      <c r="F64" s="8" t="n"/>
      <c r="G64" s="8" t="n"/>
      <c r="H64" s="9">
        <f>IF(OR(F64="",G64=""),0,F64-G64)</f>
        <v/>
      </c>
      <c r="I64" s="9">
        <f>IF(COUNTA(A64:G64)=0,"",N(C64)*$C$4+IF(D64="是",$C$5,0)+N(E64)+H64)</f>
        <v/>
      </c>
      <c r="J64" s="10">
        <f>IF(I64="","",I64*$C$6)</f>
        <v/>
      </c>
    </row>
    <row r="65">
      <c r="A65" s="7" t="n"/>
      <c r="B65" s="7" t="n"/>
      <c r="C65" s="7" t="n"/>
      <c r="D65" s="7" t="n"/>
      <c r="E65" s="8" t="n"/>
      <c r="F65" s="8" t="n"/>
      <c r="G65" s="8" t="n"/>
      <c r="H65" s="9">
        <f>IF(OR(F65="",G65=""),0,F65-G65)</f>
        <v/>
      </c>
      <c r="I65" s="9">
        <f>IF(COUNTA(A65:G65)=0,"",N(C65)*$C$4+IF(D65="是",$C$5,0)+N(E65)+H65)</f>
        <v/>
      </c>
      <c r="J65" s="10">
        <f>IF(I65="","",I65*$C$6)</f>
        <v/>
      </c>
    </row>
    <row r="66">
      <c r="A66" s="7" t="n"/>
      <c r="B66" s="7" t="n"/>
      <c r="C66" s="7" t="n"/>
      <c r="D66" s="7" t="n"/>
      <c r="E66" s="8" t="n"/>
      <c r="F66" s="8" t="n"/>
      <c r="G66" s="8" t="n"/>
      <c r="H66" s="9">
        <f>IF(OR(F66="",G66=""),0,F66-G66)</f>
        <v/>
      </c>
      <c r="I66" s="9">
        <f>IF(COUNTA(A66:G66)=0,"",N(C66)*$C$4+IF(D66="是",$C$5,0)+N(E66)+H66)</f>
        <v/>
      </c>
      <c r="J66" s="10">
        <f>IF(I66="","",I66*$C$6)</f>
        <v/>
      </c>
    </row>
    <row r="67">
      <c r="A67" s="7" t="n"/>
      <c r="B67" s="7" t="n"/>
      <c r="C67" s="7" t="n"/>
      <c r="D67" s="7" t="n"/>
      <c r="E67" s="8" t="n"/>
      <c r="F67" s="8" t="n"/>
      <c r="G67" s="8" t="n"/>
      <c r="H67" s="9">
        <f>IF(OR(F67="",G67=""),0,F67-G67)</f>
        <v/>
      </c>
      <c r="I67" s="9">
        <f>IF(COUNTA(A67:G67)=0,"",N(C67)*$C$4+IF(D67="是",$C$5,0)+N(E67)+H67)</f>
        <v/>
      </c>
      <c r="J67" s="10">
        <f>IF(I67="","",I67*$C$6)</f>
        <v/>
      </c>
    </row>
    <row r="68">
      <c r="A68" s="7" t="n"/>
      <c r="B68" s="7" t="n"/>
      <c r="C68" s="7" t="n"/>
      <c r="D68" s="7" t="n"/>
      <c r="E68" s="8" t="n"/>
      <c r="F68" s="8" t="n"/>
      <c r="G68" s="8" t="n"/>
      <c r="H68" s="9">
        <f>IF(OR(F68="",G68=""),0,F68-G68)</f>
        <v/>
      </c>
      <c r="I68" s="9">
        <f>IF(COUNTA(A68:G68)=0,"",N(C68)*$C$4+IF(D68="是",$C$5,0)+N(E68)+H68)</f>
        <v/>
      </c>
      <c r="J68" s="10">
        <f>IF(I68="","",I68*$C$6)</f>
        <v/>
      </c>
    </row>
    <row r="70">
      <c r="A70" s="11" t="inlineStr">
        <is>
          <t>📊 汇总</t>
        </is>
      </c>
    </row>
    <row r="71">
      <c r="A71" s="12" t="inlineStr">
        <is>
          <t>成交单数</t>
        </is>
      </c>
      <c r="C71" s="13">
        <f>COUNTA(B9:B68)</f>
        <v/>
      </c>
    </row>
    <row r="72">
      <c r="A72" s="12" t="inlineStr">
        <is>
          <t>LUX Care 总份数</t>
        </is>
      </c>
      <c r="C72" s="13">
        <f>SUM(C9:C68)</f>
        <v/>
      </c>
    </row>
    <row r="73">
      <c r="A73" s="12" t="inlineStr">
        <is>
          <t>Greenway 卖出数</t>
        </is>
      </c>
      <c r="C73" s="13">
        <f>COUNTIF(D9:D68,"是")</f>
        <v/>
      </c>
    </row>
    <row r="74">
      <c r="A74" s="12" t="inlineStr">
        <is>
          <t>店总利润</t>
        </is>
      </c>
      <c r="C74" s="14">
        <f>SUM(I9:I68)</f>
        <v/>
      </c>
    </row>
    <row r="75">
      <c r="A75" s="12" t="inlineStr">
        <is>
          <t>我的总提成</t>
        </is>
      </c>
      <c r="C75" s="14">
        <f>SUM(J9:J68)</f>
        <v/>
      </c>
    </row>
    <row r="76">
      <c r="A76" s="12" t="inlineStr">
        <is>
          <t>平均每单提成</t>
        </is>
      </c>
      <c r="C76" s="14">
        <f>IF(COUNTA(B9:B68)=0,0,SUM(J9:J68)/COUNTA(B9:B68))</f>
        <v/>
      </c>
    </row>
  </sheetData>
  <mergeCells count="11">
    <mergeCell ref="A4:B4"/>
    <mergeCell ref="A1:J1"/>
    <mergeCell ref="A72:B72"/>
    <mergeCell ref="A73:B73"/>
    <mergeCell ref="A71:B71"/>
    <mergeCell ref="A76:B76"/>
    <mergeCell ref="A5:B5"/>
    <mergeCell ref="A75:B75"/>
    <mergeCell ref="A74:B74"/>
    <mergeCell ref="A2:J2"/>
    <mergeCell ref="A6:B6"/>
  </mergeCells>
  <dataValidations count="1">
    <dataValidation sqref="D9:D68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2026-06-21T18:09:12Z</dcterms:created>
  <dcterms:modified xsi:type="dcterms:W3CDTF">2026-06-21T18:09:12Z</dcterms:modified>
</cp:coreProperties>
</file>