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FFFF"/>
      <sz val="16"/>
    </font>
    <font>
      <i val="1"/>
      <sz val="10"/>
    </font>
    <font>
      <b val="1"/>
      <color rgb="00C00000"/>
      <sz val="12"/>
    </font>
    <font>
      <i val="1"/>
      <color rgb="00595959"/>
      <sz val="9"/>
    </font>
    <font>
      <b val="1"/>
      <color rgb="00FFFFFF"/>
      <sz val="15"/>
    </font>
    <font>
      <b val="1"/>
      <color rgb="002E5496"/>
      <sz val="11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 ht="28" customHeight="1">
      <c r="A1" s="1" t="inlineStr">
        <is>
          <t>圣安地列斯州 · 案件罪名分析器 — 使用说明</t>
        </is>
      </c>
    </row>
    <row r="3">
      <c r="A3" s="2" t="inlineStr">
        <is>
          <t>① 怎么用</t>
        </is>
      </c>
    </row>
    <row r="4">
      <c r="B4" s="3" t="inlineStr">
        <is>
          <t>打开「算罪台」页，把每位当事人做了什么分别填进黄色框（当事人甲/乙/丙）。</t>
        </is>
      </c>
    </row>
    <row r="5">
      <c r="B5" s="3" t="inlineStr">
        <is>
          <t>下方会自动列出命中的罪名、合计刑期(月)、合计罚款、建议保释金，并指出主要责任方。</t>
        </is>
      </c>
    </row>
    <row r="6">
      <c r="B6" s="3" t="inlineStr">
        <is>
          <t>只算一个人时，只填「当事人甲」就行。</t>
        </is>
      </c>
    </row>
    <row r="7">
      <c r="B7" s="3" t="inlineStr">
        <is>
          <t>描述时尽量用法典里的词，例如：抢劫、袭警、拒捕、开枪、逃跑、持枪、贩毒、绑架……命中率更高。</t>
        </is>
      </c>
    </row>
    <row r="8">
      <c r="A8" s="2" t="inlineStr">
        <is>
          <t>② 计算规则（依法典）</t>
        </is>
      </c>
    </row>
    <row r="9">
      <c r="B9" s="3" t="inlineStr">
        <is>
          <t>时间换算：1 年 = 12 个月 = 12 分钟（游戏内监禁时间）。</t>
        </is>
      </c>
    </row>
    <row r="10">
      <c r="B10" s="3" t="inlineStr">
        <is>
          <t>数罪叠加、罚款累计；但总刑期最高不超过 5 年(60 个月)，同一罪名不重复并罚。</t>
        </is>
      </c>
    </row>
    <row r="11">
      <c r="B11" s="3" t="inlineStr">
        <is>
          <t>建议保释金 = 刑期(月) × 罚款 ÷ 6（见法典第九章·保释）。</t>
        </is>
      </c>
    </row>
    <row r="12">
      <c r="B12" s="3" t="inlineStr">
        <is>
          <t>赔偿：抢劫/盗窃/破坏等罪另需按价值赔偿(财产≥$8000，人身/精神$5000~$80000)，本表未自动计算。</t>
        </is>
      </c>
    </row>
    <row r="13">
      <c r="A13" s="2" t="inlineStr">
        <is>
          <t>③ 需人工复核的情形</t>
        </is>
      </c>
    </row>
    <row r="14">
      <c r="B14" s="3" t="inlineStr">
        <is>
          <t>正当防卫：针对生命威胁的合理防卫，符合条件可无罪释放。</t>
        </is>
      </c>
    </row>
    <row r="15">
      <c r="B15" s="3" t="inlineStr">
        <is>
          <t>堡垒原则：他人非法入侵/暴力袭击私人领地，可使用致命武力保护(引诱进入者除外)。</t>
        </is>
      </c>
    </row>
    <row r="16">
      <c r="B16" s="3" t="inlineStr">
        <is>
          <t>未遂 / 同谋 / 教唆 / 从犯：按所对应主罪名「同罪论处」。</t>
        </is>
      </c>
    </row>
    <row r="17">
      <c r="B17" s="3" t="inlineStr">
        <is>
          <t>包庇：按主犯罪名论处，但处罚不超过该罪名最高标准的 50%。</t>
        </is>
      </c>
    </row>
    <row r="18">
      <c r="B18" s="3" t="inlineStr">
        <is>
          <t>分级罪名(如收受赃物、盗窃车辆、持有大量管制物品)：本表取常见档位，请按实际情节在「罪名表」核对。</t>
        </is>
      </c>
    </row>
    <row r="19">
      <c r="A19" s="2" t="inlineStr">
        <is>
          <t>④ 想自己改</t>
        </is>
      </c>
    </row>
    <row r="20">
      <c r="B20" s="3" t="inlineStr">
        <is>
          <t>新增/修改罪名：到「罪名表」页直接改（罪名、定性、刑期、罚款、备注）。</t>
        </is>
      </c>
    </row>
    <row r="21">
      <c r="B21" s="3" t="inlineStr">
        <is>
          <t>新增/修改关键词：到「关键词表」页，A列写关键词、B列写对应罪名（要和罪名表里的名字一字不差）。</t>
        </is>
      </c>
    </row>
    <row r="22">
      <c r="B22" s="3" t="inlineStr">
        <is>
          <t>改完即时生效，无需联网，手机 WPS / Excel / 电脑都能用。</t>
        </is>
      </c>
    </row>
    <row r="23">
      <c r="A23" s="2" t="inlineStr">
        <is>
          <t>⑤ 免责声明</t>
        </is>
      </c>
    </row>
    <row r="24">
      <c r="B24" s="3" t="inlineStr">
        <is>
          <t>本工具仅为辅助参考，最终定罪与量刑以服务器法官 / 司法部裁量为准。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8" customWidth="1" min="3" max="3"/>
    <col width="13" customWidth="1" min="4" max="4"/>
    <col width="13" customWidth="1" min="5" max="5"/>
    <col width="15" customWidth="1" min="6" max="6"/>
  </cols>
  <sheetData>
    <row r="1" ht="30" customHeight="1">
      <c r="A1" s="4" t="inlineStr">
        <is>
          <t>🦅 圣安地列斯州 · 案件罪名分析器</t>
        </is>
      </c>
    </row>
    <row r="2" ht="42" customHeight="1">
      <c r="A2" s="5" t="inlineStr">
        <is>
          <t>把每位当事人「做了什么」分别填到下面黄色框里（尽量用法典里的词，如：抢劫、袭警、拒捕、开枪、逃跑…），下方自动算出罪名与刑期。详细规则见「使用说明」页。</t>
        </is>
      </c>
    </row>
    <row r="4" ht="46" customHeight="1">
      <c r="A4" s="6" t="inlineStr">
        <is>
          <t>👤 当事人甲
行为/案情</t>
        </is>
      </c>
      <c r="B4" s="7" t="inlineStr">
        <is>
          <t>嫌疑人持枪抢劫便利店，被警察拦截后拒捕并开枪，随后驾车逃跑撞坏路边车辆。</t>
        </is>
      </c>
    </row>
    <row r="5" ht="46" customHeight="1">
      <c r="A5" s="6" t="inlineStr">
        <is>
          <t>👤 当事人乙
行为/案情</t>
        </is>
      </c>
      <c r="B5" s="7" t="inlineStr"/>
    </row>
    <row r="6" ht="46" customHeight="1">
      <c r="A6" s="6" t="inlineStr">
        <is>
          <t>👤 当事人丙
行为/案情</t>
        </is>
      </c>
      <c r="B6" s="7" t="inlineStr"/>
    </row>
    <row r="8" ht="22" customHeight="1">
      <c r="A8" s="8" t="inlineStr">
        <is>
          <t>📋 分析结果（自动计算）</t>
        </is>
      </c>
    </row>
    <row r="9">
      <c r="A9" s="9" t="inlineStr">
        <is>
          <t>当事人</t>
        </is>
      </c>
      <c r="B9" s="9" t="inlineStr">
        <is>
          <t>命中罪名</t>
        </is>
      </c>
      <c r="C9" s="9" t="inlineStr">
        <is>
          <t>罪名数</t>
        </is>
      </c>
      <c r="D9" s="9" t="inlineStr">
        <is>
          <t>合计刑期(月)</t>
        </is>
      </c>
      <c r="E9" s="9" t="inlineStr">
        <is>
          <t>合计罚款($)</t>
        </is>
      </c>
      <c r="F9" s="9" t="inlineStr">
        <is>
          <t>建议保释金($)</t>
        </is>
      </c>
    </row>
    <row r="10">
      <c r="A10" s="10" t="inlineStr">
        <is>
          <t>当事人甲</t>
        </is>
      </c>
      <c r="B10" s="11">
        <f>IF('罪名表'!$J$62="","（无 / 请补充案情）",'罪名表'!$J$62)</f>
        <v/>
      </c>
      <c r="C10" s="12">
        <f>SUM('罪名表'!$G$2:$G$62)</f>
        <v/>
      </c>
      <c r="D10" s="12">
        <f>MIN(60,SUMIF('罪名表'!$G$2:$G$62,1,'罪名表'!$D$2:$D$62))</f>
        <v/>
      </c>
      <c r="E10" s="12">
        <f>SUMIF('罪名表'!$G$2:$G$62,1,'罪名表'!$E$2:$E$62)</f>
        <v/>
      </c>
      <c r="F10" s="12">
        <f>ROUND(D10*E10/6,0)</f>
        <v/>
      </c>
    </row>
    <row r="11">
      <c r="A11" s="10" t="inlineStr">
        <is>
          <t>当事人乙</t>
        </is>
      </c>
      <c r="B11" s="11">
        <f>IF('罪名表'!$K$62="","（无 / 请补充案情）",'罪名表'!$K$62)</f>
        <v/>
      </c>
      <c r="C11" s="12">
        <f>SUM('罪名表'!$H$2:$H$62)</f>
        <v/>
      </c>
      <c r="D11" s="12">
        <f>MIN(60,SUMIF('罪名表'!$H$2:$H$62,1,'罪名表'!$D$2:$D$62))</f>
        <v/>
      </c>
      <c r="E11" s="12">
        <f>SUMIF('罪名表'!$H$2:$H$62,1,'罪名表'!$E$2:$E$62)</f>
        <v/>
      </c>
      <c r="F11" s="12">
        <f>ROUND(D11*E11/6,0)</f>
        <v/>
      </c>
    </row>
    <row r="12">
      <c r="A12" s="10" t="inlineStr">
        <is>
          <t>当事人丙</t>
        </is>
      </c>
      <c r="B12" s="11">
        <f>IF('罪名表'!$L$62="","（无 / 请补充案情）",'罪名表'!$L$62)</f>
        <v/>
      </c>
      <c r="C12" s="12">
        <f>SUM('罪名表'!$I$2:$I$62)</f>
        <v/>
      </c>
      <c r="D12" s="12">
        <f>MIN(60,SUMIF('罪名表'!$I$2:$I$62,1,'罪名表'!$D$2:$D$62))</f>
        <v/>
      </c>
      <c r="E12" s="12">
        <f>SUMIF('罪名表'!$I$2:$I$62,1,'罪名表'!$E$2:$E$62)</f>
        <v/>
      </c>
      <c r="F12" s="12">
        <f>ROUND(D12*E12/6,0)</f>
        <v/>
      </c>
    </row>
    <row r="14" ht="40" customHeight="1">
      <c r="A14" s="13">
        <f>IF(MAX(D10,D11,D12)=0,"⚠ 暂未匹配到罪名：请在上方更详细地描述案情，并尽量使用法典中的关键词。","🔨 主要责任方：当事人"&amp;IF(D10=MAX(D10,D11,D12),"甲",IF(D11=MAX(D10,D11,D12),"乙","丙"))&amp;"（合计刑期最重，约 "&amp;MAX(D10,D11,D12)&amp;" 个月 / "&amp;ROUND(MAX(D10,D11,D12)/12,1)&amp;" 年）"&amp;"  —  仅供参考，正当防卫/堡垒原则/同类不并罚等请人工复核")</f>
        <v/>
      </c>
    </row>
    <row r="16" ht="36" customHeight="1">
      <c r="A16" s="14" t="inlineStr">
        <is>
          <t>提示：① 只想算一个人时，只填「当事人甲」即可。 ② 刑期已按法典封顶 5 年(60个月)。 ③ 保释金 = 刑期(月)×罚款÷6。 ④ 想加/改罪名或关键词，去「罪名表」「关键词表」两页编辑即可。</t>
        </is>
      </c>
    </row>
  </sheetData>
  <mergeCells count="8">
    <mergeCell ref="B4:F4"/>
    <mergeCell ref="A2:F2"/>
    <mergeCell ref="A16:F16"/>
    <mergeCell ref="B6:F6"/>
    <mergeCell ref="A14:F14"/>
    <mergeCell ref="A1:F1"/>
    <mergeCell ref="B5:F5"/>
    <mergeCell ref="A8:F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7" customWidth="1" min="3" max="3"/>
    <col width="12" customWidth="1" min="4" max="4"/>
    <col width="11" customWidth="1" min="5" max="5"/>
    <col width="46" customWidth="1" min="6" max="6"/>
    <col width="7" customWidth="1" min="7" max="7"/>
    <col width="7" customWidth="1" min="8" max="8"/>
    <col width="7" customWidth="1" min="9" max="9"/>
    <col width="30" customWidth="1" min="10" max="10"/>
    <col width="30" customWidth="1" min="11" max="11"/>
    <col width="30" customWidth="1" min="12" max="12"/>
  </cols>
  <sheetData>
    <row r="1">
      <c r="A1" s="9" t="inlineStr">
        <is>
          <t>章节</t>
        </is>
      </c>
      <c r="B1" s="9" t="inlineStr">
        <is>
          <t>罪名</t>
        </is>
      </c>
      <c r="C1" s="9" t="inlineStr">
        <is>
          <t>定性</t>
        </is>
      </c>
      <c r="D1" s="9" t="inlineStr">
        <is>
          <t>最高刑期(月)</t>
        </is>
      </c>
      <c r="E1" s="9" t="inlineStr">
        <is>
          <t>罚款($)</t>
        </is>
      </c>
      <c r="F1" s="9" t="inlineStr">
        <is>
          <t>备注</t>
        </is>
      </c>
      <c r="G1" s="9" t="inlineStr">
        <is>
          <t>甲命中</t>
        </is>
      </c>
      <c r="H1" s="9" t="inlineStr">
        <is>
          <t>乙命中</t>
        </is>
      </c>
      <c r="I1" s="9" t="inlineStr">
        <is>
          <t>丙命中</t>
        </is>
      </c>
      <c r="J1" s="9" t="inlineStr">
        <is>
          <t>甲累积</t>
        </is>
      </c>
      <c r="K1" s="9" t="inlineStr">
        <is>
          <t>乙累积</t>
        </is>
      </c>
      <c r="L1" s="9" t="inlineStr">
        <is>
          <t>丙累积</t>
        </is>
      </c>
    </row>
    <row r="2">
      <c r="A2" s="15" t="inlineStr">
        <is>
          <t>二·人身</t>
        </is>
      </c>
      <c r="B2" s="16" t="inlineStr">
        <is>
          <t>威胁罪</t>
        </is>
      </c>
      <c r="C2" s="17" t="inlineStr">
        <is>
          <t>轻罪</t>
        </is>
      </c>
      <c r="D2" s="15" t="n">
        <v>12</v>
      </c>
      <c r="E2" s="15" t="n">
        <v>8000</v>
      </c>
      <c r="F2" s="15" t="inlineStr">
        <is>
          <t>口头/书面/网络威胁他人或其亲友</t>
        </is>
      </c>
      <c r="G2" s="15">
        <f>IF(SUMIFS('关键词表'!$C$2:$C$336,'关键词表'!$B$2:$B$336,$B2)&gt;0,1,0)</f>
        <v/>
      </c>
      <c r="H2" s="15">
        <f>IF(SUMIFS('关键词表'!$D$2:$D$336,'关键词表'!$B$2:$B$336,$B2)&gt;0,1,0)</f>
        <v/>
      </c>
      <c r="I2" s="15">
        <f>IF(SUMIFS('关键词表'!$E$2:$E$336,'关键词表'!$B$2:$B$336,$B2)&gt;0,1,0)</f>
        <v/>
      </c>
      <c r="J2" s="15">
        <f>IF($G2=1,$B2,"")</f>
        <v/>
      </c>
      <c r="K2" s="15">
        <f>IF($H2=1,$B2,"")</f>
        <v/>
      </c>
      <c r="L2" s="15">
        <f>IF($I2=1,$B2,"")</f>
        <v/>
      </c>
    </row>
    <row r="3">
      <c r="A3" s="15" t="inlineStr">
        <is>
          <t>二·人身</t>
        </is>
      </c>
      <c r="B3" s="16" t="inlineStr">
        <is>
          <t>持有危险武器人身攻击罪</t>
        </is>
      </c>
      <c r="C3" s="18" t="inlineStr">
        <is>
          <t>重罪</t>
        </is>
      </c>
      <c r="D3" s="15" t="n">
        <v>48</v>
      </c>
      <c r="E3" s="15" t="n">
        <v>20000</v>
      </c>
      <c r="F3" s="15" t="inlineStr">
        <is>
          <t>用武器/工具威胁或伤害他人</t>
        </is>
      </c>
      <c r="G3" s="15">
        <f>IF(SUMIFS('关键词表'!$C$2:$C$336,'关键词表'!$B$2:$B$336,$B3)&gt;0,1,0)</f>
        <v/>
      </c>
      <c r="H3" s="15">
        <f>IF(SUMIFS('关键词表'!$D$2:$D$336,'关键词表'!$B$2:$B$336,$B3)&gt;0,1,0)</f>
        <v/>
      </c>
      <c r="I3" s="15">
        <f>IF(SUMIFS('关键词表'!$E$2:$E$336,'关键词表'!$B$2:$B$336,$B3)&gt;0,1,0)</f>
        <v/>
      </c>
      <c r="J3" s="15">
        <f>IF($G3=1,IF($J2="",$B3,$J2&amp;"、"&amp;$B3),$J2)</f>
        <v/>
      </c>
      <c r="K3" s="15">
        <f>IF($H3=1,IF($K2="",$B3,$K2&amp;"、"&amp;$B3),$K2)</f>
        <v/>
      </c>
      <c r="L3" s="15">
        <f>IF($I3=1,IF($L2="",$B3,$L2&amp;"、"&amp;$B3),$L2)</f>
        <v/>
      </c>
    </row>
    <row r="4">
      <c r="A4" s="15" t="inlineStr">
        <is>
          <t>二·人身</t>
        </is>
      </c>
      <c r="B4" s="16" t="inlineStr">
        <is>
          <t>一级谋杀罪</t>
        </is>
      </c>
      <c r="C4" s="18" t="inlineStr">
        <is>
          <t>重罪</t>
        </is>
      </c>
      <c r="D4" s="15" t="n">
        <v>60</v>
      </c>
      <c r="E4" s="15" t="n">
        <v>30000</v>
      </c>
      <c r="F4" s="15" t="inlineStr">
        <is>
          <t>预谋故意杀人 / 重罪过程中杀人</t>
        </is>
      </c>
      <c r="G4" s="15">
        <f>IF(SUMIFS('关键词表'!$C$2:$C$336,'关键词表'!$B$2:$B$336,$B4)&gt;0,1,0)</f>
        <v/>
      </c>
      <c r="H4" s="15">
        <f>IF(SUMIFS('关键词表'!$D$2:$D$336,'关键词表'!$B$2:$B$336,$B4)&gt;0,1,0)</f>
        <v/>
      </c>
      <c r="I4" s="15">
        <f>IF(SUMIFS('关键词表'!$E$2:$E$336,'关键词表'!$B$2:$B$336,$B4)&gt;0,1,0)</f>
        <v/>
      </c>
      <c r="J4" s="15">
        <f>IF($G4=1,IF($J3="",$B4,$J3&amp;"、"&amp;$B4),$J3)</f>
        <v/>
      </c>
      <c r="K4" s="15">
        <f>IF($H4=1,IF($K3="",$B4,$K3&amp;"、"&amp;$B4),$K3)</f>
        <v/>
      </c>
      <c r="L4" s="15">
        <f>IF($I4=1,IF($L3="",$B4,$L3&amp;"、"&amp;$B4),$L3)</f>
        <v/>
      </c>
    </row>
    <row r="5">
      <c r="A5" s="15" t="inlineStr">
        <is>
          <t>二·人身</t>
        </is>
      </c>
      <c r="B5" s="16" t="inlineStr">
        <is>
          <t>二级谋杀罪</t>
        </is>
      </c>
      <c r="C5" s="18" t="inlineStr">
        <is>
          <t>重罪</t>
        </is>
      </c>
      <c r="D5" s="15" t="n">
        <v>60</v>
      </c>
      <c r="E5" s="15" t="n">
        <v>20000</v>
      </c>
      <c r="F5" s="15" t="inlineStr">
        <is>
          <t>非预谋的故意杀人 (3至5年)</t>
        </is>
      </c>
      <c r="G5" s="15">
        <f>IF(SUMIFS('关键词表'!$C$2:$C$336,'关键词表'!$B$2:$B$336,$B5)&gt;0,1,0)</f>
        <v/>
      </c>
      <c r="H5" s="15">
        <f>IF(SUMIFS('关键词表'!$D$2:$D$336,'关键词表'!$B$2:$B$336,$B5)&gt;0,1,0)</f>
        <v/>
      </c>
      <c r="I5" s="15">
        <f>IF(SUMIFS('关键词表'!$E$2:$E$336,'关键词表'!$B$2:$B$336,$B5)&gt;0,1,0)</f>
        <v/>
      </c>
      <c r="J5" s="15">
        <f>IF($G5=1,IF($J4="",$B5,$J4&amp;"、"&amp;$B5),$J4)</f>
        <v/>
      </c>
      <c r="K5" s="15">
        <f>IF($H5=1,IF($K4="",$B5,$K4&amp;"、"&amp;$B5),$K4)</f>
        <v/>
      </c>
      <c r="L5" s="15">
        <f>IF($I5=1,IF($L4="",$B5,$L4&amp;"、"&amp;$B5),$L4)</f>
        <v/>
      </c>
    </row>
    <row r="6">
      <c r="A6" s="15" t="inlineStr">
        <is>
          <t>二·人身</t>
        </is>
      </c>
      <c r="B6" s="16" t="inlineStr">
        <is>
          <t>三级谋杀罪</t>
        </is>
      </c>
      <c r="C6" s="18" t="inlineStr">
        <is>
          <t>重罪</t>
        </is>
      </c>
      <c r="D6" s="15" t="n">
        <v>60</v>
      </c>
      <c r="E6" s="15" t="n">
        <v>15000</v>
      </c>
      <c r="F6" s="15" t="inlineStr">
        <is>
          <t>无意致死/鲁莽过失致死 (3至5年, 不含正当防卫)</t>
        </is>
      </c>
      <c r="G6" s="15">
        <f>IF(SUMIFS('关键词表'!$C$2:$C$336,'关键词表'!$B$2:$B$336,$B6)&gt;0,1,0)</f>
        <v/>
      </c>
      <c r="H6" s="15">
        <f>IF(SUMIFS('关键词表'!$D$2:$D$336,'关键词表'!$B$2:$B$336,$B6)&gt;0,1,0)</f>
        <v/>
      </c>
      <c r="I6" s="15">
        <f>IF(SUMIFS('关键词表'!$E$2:$E$336,'关键词表'!$B$2:$B$336,$B6)&gt;0,1,0)</f>
        <v/>
      </c>
      <c r="J6" s="15">
        <f>IF($G6=1,IF($J5="",$B6,$J5&amp;"、"&amp;$B6),$J5)</f>
        <v/>
      </c>
      <c r="K6" s="15">
        <f>IF($H6=1,IF($K5="",$B6,$K5&amp;"、"&amp;$B6),$K5)</f>
        <v/>
      </c>
      <c r="L6" s="15">
        <f>IF($I6=1,IF($L5="",$B6,$L5&amp;"、"&amp;$B6),$L5)</f>
        <v/>
      </c>
    </row>
    <row r="7">
      <c r="A7" s="15" t="inlineStr">
        <is>
          <t>二·人身</t>
        </is>
      </c>
      <c r="B7" s="16" t="inlineStr">
        <is>
          <t>非法拘禁罪</t>
        </is>
      </c>
      <c r="C7" s="18" t="inlineStr">
        <is>
          <t>重罪</t>
        </is>
      </c>
      <c r="D7" s="15" t="n">
        <v>36</v>
      </c>
      <c r="E7" s="15" t="n">
        <v>15000</v>
      </c>
      <c r="F7" s="15" t="inlineStr">
        <is>
          <t>违背意愿约束/扣押/拘禁他人</t>
        </is>
      </c>
      <c r="G7" s="15">
        <f>IF(SUMIFS('关键词表'!$C$2:$C$336,'关键词表'!$B$2:$B$336,$B7)&gt;0,1,0)</f>
        <v/>
      </c>
      <c r="H7" s="15">
        <f>IF(SUMIFS('关键词表'!$D$2:$D$336,'关键词表'!$B$2:$B$336,$B7)&gt;0,1,0)</f>
        <v/>
      </c>
      <c r="I7" s="15">
        <f>IF(SUMIFS('关键词表'!$E$2:$E$336,'关键词表'!$B$2:$B$336,$B7)&gt;0,1,0)</f>
        <v/>
      </c>
      <c r="J7" s="15">
        <f>IF($G7=1,IF($J6="",$B7,$J6&amp;"、"&amp;$B7),$J6)</f>
        <v/>
      </c>
      <c r="K7" s="15">
        <f>IF($H7=1,IF($K6="",$B7,$K6&amp;"、"&amp;$B7),$K6)</f>
        <v/>
      </c>
      <c r="L7" s="15">
        <f>IF($I7=1,IF($L6="",$B7,$L6&amp;"、"&amp;$B7),$L6)</f>
        <v/>
      </c>
    </row>
    <row r="8">
      <c r="A8" s="15" t="inlineStr">
        <is>
          <t>二·人身</t>
        </is>
      </c>
      <c r="B8" s="16" t="inlineStr">
        <is>
          <t>故意袭击罪</t>
        </is>
      </c>
      <c r="C8" s="18" t="inlineStr">
        <is>
          <t>重罪</t>
        </is>
      </c>
      <c r="D8" s="15" t="n">
        <v>36</v>
      </c>
      <c r="E8" s="15" t="n">
        <v>15000</v>
      </c>
      <c r="F8" s="15" t="inlineStr">
        <is>
          <t>蓄意暴力致他人身体受伤</t>
        </is>
      </c>
      <c r="G8" s="15">
        <f>IF(SUMIFS('关键词表'!$C$2:$C$336,'关键词表'!$B$2:$B$336,$B8)&gt;0,1,0)</f>
        <v/>
      </c>
      <c r="H8" s="15">
        <f>IF(SUMIFS('关键词表'!$D$2:$D$336,'关键词表'!$B$2:$B$336,$B8)&gt;0,1,0)</f>
        <v/>
      </c>
      <c r="I8" s="15">
        <f>IF(SUMIFS('关键词表'!$E$2:$E$336,'关键词表'!$B$2:$B$336,$B8)&gt;0,1,0)</f>
        <v/>
      </c>
      <c r="J8" s="15">
        <f>IF($G8=1,IF($J7="",$B8,$J7&amp;"、"&amp;$B8),$J7)</f>
        <v/>
      </c>
      <c r="K8" s="15">
        <f>IF($H8=1,IF($K7="",$B8,$K7&amp;"、"&amp;$B8),$K7)</f>
        <v/>
      </c>
      <c r="L8" s="15">
        <f>IF($I8=1,IF($L7="",$B8,$L7&amp;"、"&amp;$B8),$L7)</f>
        <v/>
      </c>
    </row>
    <row r="9">
      <c r="A9" s="15" t="inlineStr">
        <is>
          <t>二·人身</t>
        </is>
      </c>
      <c r="B9" s="16" t="inlineStr">
        <is>
          <t>绑架罪</t>
        </is>
      </c>
      <c r="C9" s="18" t="inlineStr">
        <is>
          <t>重罪</t>
        </is>
      </c>
      <c r="D9" s="15" t="n">
        <v>60</v>
      </c>
      <c r="E9" s="15" t="n">
        <v>25000</v>
      </c>
      <c r="F9" s="15" t="inlineStr">
        <is>
          <t>侵占/羁押/控制他人意图恐吓</t>
        </is>
      </c>
      <c r="G9" s="15">
        <f>IF(SUMIFS('关键词表'!$C$2:$C$336,'关键词表'!$B$2:$B$336,$B9)&gt;0,1,0)</f>
        <v/>
      </c>
      <c r="H9" s="15">
        <f>IF(SUMIFS('关键词表'!$D$2:$D$336,'关键词表'!$B$2:$B$336,$B9)&gt;0,1,0)</f>
        <v/>
      </c>
      <c r="I9" s="15">
        <f>IF(SUMIFS('关键词表'!$E$2:$E$336,'关键词表'!$B$2:$B$336,$B9)&gt;0,1,0)</f>
        <v/>
      </c>
      <c r="J9" s="15">
        <f>IF($G9=1,IF($J8="",$B9,$J8&amp;"、"&amp;$B9),$J8)</f>
        <v/>
      </c>
      <c r="K9" s="15">
        <f>IF($H9=1,IF($K8="",$B9,$K8&amp;"、"&amp;$B9),$K8)</f>
        <v/>
      </c>
      <c r="L9" s="15">
        <f>IF($I9=1,IF($L8="",$B9,$L8&amp;"、"&amp;$B9),$L8)</f>
        <v/>
      </c>
    </row>
    <row r="10">
      <c r="A10" s="15" t="inlineStr">
        <is>
          <t>二·人身</t>
        </is>
      </c>
      <c r="B10" s="16" t="inlineStr">
        <is>
          <t>亵渎尸体罪</t>
        </is>
      </c>
      <c r="C10" s="18" t="inlineStr">
        <is>
          <t>重罪</t>
        </is>
      </c>
      <c r="D10" s="15" t="n">
        <v>24</v>
      </c>
      <c r="E10" s="15" t="n">
        <v>20000</v>
      </c>
      <c r="F10" s="15" t="inlineStr">
        <is>
          <t>毁损/处置尸体掩盖犯罪</t>
        </is>
      </c>
      <c r="G10" s="15">
        <f>IF(SUMIFS('关键词表'!$C$2:$C$336,'关键词表'!$B$2:$B$336,$B10)&gt;0,1,0)</f>
        <v/>
      </c>
      <c r="H10" s="15">
        <f>IF(SUMIFS('关键词表'!$D$2:$D$336,'关键词表'!$B$2:$B$336,$B10)&gt;0,1,0)</f>
        <v/>
      </c>
      <c r="I10" s="15">
        <f>IF(SUMIFS('关键词表'!$E$2:$E$336,'关键词表'!$B$2:$B$336,$B10)&gt;0,1,0)</f>
        <v/>
      </c>
      <c r="J10" s="15">
        <f>IF($G10=1,IF($J9="",$B10,$J9&amp;"、"&amp;$B10),$J9)</f>
        <v/>
      </c>
      <c r="K10" s="15">
        <f>IF($H10=1,IF($K9="",$B10,$K9&amp;"、"&amp;$B10),$K9)</f>
        <v/>
      </c>
      <c r="L10" s="15">
        <f>IF($I10=1,IF($L9="",$B10,$L9&amp;"、"&amp;$B10),$L9)</f>
        <v/>
      </c>
    </row>
    <row r="11">
      <c r="A11" s="15" t="inlineStr">
        <is>
          <t>二·人身</t>
        </is>
      </c>
      <c r="B11" s="16" t="inlineStr">
        <is>
          <t>诈骗罪</t>
        </is>
      </c>
      <c r="C11" s="18" t="inlineStr">
        <is>
          <t>重罪</t>
        </is>
      </c>
      <c r="D11" s="15" t="n">
        <v>60</v>
      </c>
      <c r="E11" s="15" t="n">
        <v>5000</v>
      </c>
      <c r="F11" s="15" t="inlineStr">
        <is>
          <t>以欺诈欺瞒获取他人财物 (1-5年)</t>
        </is>
      </c>
      <c r="G11" s="15">
        <f>IF(SUMIFS('关键词表'!$C$2:$C$336,'关键词表'!$B$2:$B$336,$B11)&gt;0,1,0)</f>
        <v/>
      </c>
      <c r="H11" s="15">
        <f>IF(SUMIFS('关键词表'!$D$2:$D$336,'关键词表'!$B$2:$B$336,$B11)&gt;0,1,0)</f>
        <v/>
      </c>
      <c r="I11" s="15">
        <f>IF(SUMIFS('关键词表'!$E$2:$E$336,'关键词表'!$B$2:$B$336,$B11)&gt;0,1,0)</f>
        <v/>
      </c>
      <c r="J11" s="15">
        <f>IF($G11=1,IF($J10="",$B11,$J10&amp;"、"&amp;$B11),$J10)</f>
        <v/>
      </c>
      <c r="K11" s="15">
        <f>IF($H11=1,IF($K10="",$B11,$K10&amp;"、"&amp;$B11),$K10)</f>
        <v/>
      </c>
      <c r="L11" s="15">
        <f>IF($I11=1,IF($L10="",$B11,$L10&amp;"、"&amp;$B11),$L10)</f>
        <v/>
      </c>
    </row>
    <row r="12">
      <c r="A12" s="15" t="inlineStr">
        <is>
          <t>三·财产</t>
        </is>
      </c>
      <c r="B12" s="16" t="inlineStr">
        <is>
          <t>非法入侵罪</t>
        </is>
      </c>
      <c r="C12" s="17" t="inlineStr">
        <is>
          <t>轻罪</t>
        </is>
      </c>
      <c r="D12" s="15" t="n">
        <v>24</v>
      </c>
      <c r="E12" s="15" t="n">
        <v>8000</v>
      </c>
      <c r="F12" s="15" t="inlineStr">
        <is>
          <t>被要求离开后仍拒绝离开</t>
        </is>
      </c>
      <c r="G12" s="15">
        <f>IF(SUMIFS('关键词表'!$C$2:$C$336,'关键词表'!$B$2:$B$336,$B12)&gt;0,1,0)</f>
        <v/>
      </c>
      <c r="H12" s="15">
        <f>IF(SUMIFS('关键词表'!$D$2:$D$336,'关键词表'!$B$2:$B$336,$B12)&gt;0,1,0)</f>
        <v/>
      </c>
      <c r="I12" s="15">
        <f>IF(SUMIFS('关键词表'!$E$2:$E$336,'关键词表'!$B$2:$B$336,$B12)&gt;0,1,0)</f>
        <v/>
      </c>
      <c r="J12" s="15">
        <f>IF($G12=1,IF($J11="",$B12,$J11&amp;"、"&amp;$B12),$J11)</f>
        <v/>
      </c>
      <c r="K12" s="15">
        <f>IF($H12=1,IF($K11="",$B12,$K11&amp;"、"&amp;$B12),$K11)</f>
        <v/>
      </c>
      <c r="L12" s="15">
        <f>IF($I12=1,IF($L11="",$B12,$L11&amp;"、"&amp;$B12),$L11)</f>
        <v/>
      </c>
    </row>
    <row r="13">
      <c r="A13" s="15" t="inlineStr">
        <is>
          <t>三·财产</t>
        </is>
      </c>
      <c r="B13" s="16" t="inlineStr">
        <is>
          <t>非法入侵禁区罪</t>
        </is>
      </c>
      <c r="C13" s="17" t="inlineStr">
        <is>
          <t>轻罪</t>
        </is>
      </c>
      <c r="D13" s="15" t="n">
        <v>36</v>
      </c>
      <c r="E13" s="15" t="n">
        <v>10000</v>
      </c>
      <c r="F13" s="15" t="inlineStr">
        <is>
          <t>未经授权进入警局/机场/军事基地等限制区</t>
        </is>
      </c>
      <c r="G13" s="15">
        <f>IF(SUMIFS('关键词表'!$C$2:$C$336,'关键词表'!$B$2:$B$336,$B13)&gt;0,1,0)</f>
        <v/>
      </c>
      <c r="H13" s="15">
        <f>IF(SUMIFS('关键词表'!$D$2:$D$336,'关键词表'!$B$2:$B$336,$B13)&gt;0,1,0)</f>
        <v/>
      </c>
      <c r="I13" s="15">
        <f>IF(SUMIFS('关键词表'!$E$2:$E$336,'关键词表'!$B$2:$B$336,$B13)&gt;0,1,0)</f>
        <v/>
      </c>
      <c r="J13" s="15">
        <f>IF($G13=1,IF($J12="",$B13,$J12&amp;"、"&amp;$B13),$J12)</f>
        <v/>
      </c>
      <c r="K13" s="15">
        <f>IF($H13=1,IF($K12="",$B13,$K12&amp;"、"&amp;$B13),$K12)</f>
        <v/>
      </c>
      <c r="L13" s="15">
        <f>IF($I13=1,IF($L12="",$B13,$L12&amp;"、"&amp;$B13),$L12)</f>
        <v/>
      </c>
    </row>
    <row r="14">
      <c r="A14" s="15" t="inlineStr">
        <is>
          <t>三·财产</t>
        </is>
      </c>
      <c r="B14" s="16" t="inlineStr">
        <is>
          <t>入室盗窃罪</t>
        </is>
      </c>
      <c r="C14" s="18" t="inlineStr">
        <is>
          <t>重罪</t>
        </is>
      </c>
      <c r="D14" s="15" t="n">
        <v>36</v>
      </c>
      <c r="E14" s="15" t="n">
        <v>25000</v>
      </c>
      <c r="F14" s="15" t="inlineStr">
        <is>
          <t>擅入住宅/办公室/仓库盗窃, 另需赔偿</t>
        </is>
      </c>
      <c r="G14" s="15">
        <f>IF(SUMIFS('关键词表'!$C$2:$C$336,'关键词表'!$B$2:$B$336,$B14)&gt;0,1,0)</f>
        <v/>
      </c>
      <c r="H14" s="15">
        <f>IF(SUMIFS('关键词表'!$D$2:$D$336,'关键词表'!$B$2:$B$336,$B14)&gt;0,1,0)</f>
        <v/>
      </c>
      <c r="I14" s="15">
        <f>IF(SUMIFS('关键词表'!$E$2:$E$336,'关键词表'!$B$2:$B$336,$B14)&gt;0,1,0)</f>
        <v/>
      </c>
      <c r="J14" s="15">
        <f>IF($G14=1,IF($J13="",$B14,$J13&amp;"、"&amp;$B14),$J13)</f>
        <v/>
      </c>
      <c r="K14" s="15">
        <f>IF($H14=1,IF($K13="",$B14,$K13&amp;"、"&amp;$B14),$K13)</f>
        <v/>
      </c>
      <c r="L14" s="15">
        <f>IF($I14=1,IF($L13="",$B14,$L13&amp;"、"&amp;$B14),$L13)</f>
        <v/>
      </c>
    </row>
    <row r="15">
      <c r="A15" s="15" t="inlineStr">
        <is>
          <t>三·财产</t>
        </is>
      </c>
      <c r="B15" s="16" t="inlineStr">
        <is>
          <t>抢劫罪</t>
        </is>
      </c>
      <c r="C15" s="18" t="inlineStr">
        <is>
          <t>重罪</t>
        </is>
      </c>
      <c r="D15" s="15" t="n">
        <v>60</v>
      </c>
      <c r="E15" s="15" t="n">
        <v>20000</v>
      </c>
      <c r="F15" s="15" t="inlineStr">
        <is>
          <t>以武力/威胁强夺他人财产, 另需赔偿</t>
        </is>
      </c>
      <c r="G15" s="15">
        <f>IF(SUMIFS('关键词表'!$C$2:$C$336,'关键词表'!$B$2:$B$336,$B15)&gt;0,1,0)</f>
        <v/>
      </c>
      <c r="H15" s="15">
        <f>IF(SUMIFS('关键词表'!$D$2:$D$336,'关键词表'!$B$2:$B$336,$B15)&gt;0,1,0)</f>
        <v/>
      </c>
      <c r="I15" s="15">
        <f>IF(SUMIFS('关键词表'!$E$2:$E$336,'关键词表'!$B$2:$B$336,$B15)&gt;0,1,0)</f>
        <v/>
      </c>
      <c r="J15" s="15">
        <f>IF($G15=1,IF($J14="",$B15,$J14&amp;"、"&amp;$B15),$J14)</f>
        <v/>
      </c>
      <c r="K15" s="15">
        <f>IF($H15=1,IF($K14="",$B15,$K14&amp;"、"&amp;$B15),$K14)</f>
        <v/>
      </c>
      <c r="L15" s="15">
        <f>IF($I15=1,IF($L14="",$B15,$L14&amp;"、"&amp;$B15),$L14)</f>
        <v/>
      </c>
    </row>
    <row r="16">
      <c r="A16" s="15" t="inlineStr">
        <is>
          <t>三·财产</t>
        </is>
      </c>
      <c r="B16" s="16" t="inlineStr">
        <is>
          <t>盗窃罪</t>
        </is>
      </c>
      <c r="C16" s="18" t="inlineStr">
        <is>
          <t>重罪</t>
        </is>
      </c>
      <c r="D16" s="15" t="n">
        <v>48</v>
      </c>
      <c r="E16" s="15" t="n">
        <v>20000</v>
      </c>
      <c r="F16" s="15" t="inlineStr">
        <is>
          <t>盗窃/占用他人财物, 另需赔偿</t>
        </is>
      </c>
      <c r="G16" s="15">
        <f>IF(SUMIFS('关键词表'!$C$2:$C$336,'关键词表'!$B$2:$B$336,$B16)&gt;0,1,0)</f>
        <v/>
      </c>
      <c r="H16" s="15">
        <f>IF(SUMIFS('关键词表'!$D$2:$D$336,'关键词表'!$B$2:$B$336,$B16)&gt;0,1,0)</f>
        <v/>
      </c>
      <c r="I16" s="15">
        <f>IF(SUMIFS('关键词表'!$E$2:$E$336,'关键词表'!$B$2:$B$336,$B16)&gt;0,1,0)</f>
        <v/>
      </c>
      <c r="J16" s="15">
        <f>IF($G16=1,IF($J15="",$B16,$J15&amp;"、"&amp;$B16),$J15)</f>
        <v/>
      </c>
      <c r="K16" s="15">
        <f>IF($H16=1,IF($K15="",$B16,$K15&amp;"、"&amp;$B16),$K15)</f>
        <v/>
      </c>
      <c r="L16" s="15">
        <f>IF($I16=1,IF($L15="",$B16,$L15&amp;"、"&amp;$B16),$L15)</f>
        <v/>
      </c>
    </row>
    <row r="17">
      <c r="A17" s="15" t="inlineStr">
        <is>
          <t>三·财产</t>
        </is>
      </c>
      <c r="B17" s="16" t="inlineStr">
        <is>
          <t>盗窃车辆罪</t>
        </is>
      </c>
      <c r="C17" s="17" t="inlineStr">
        <is>
          <t>轻罪</t>
        </is>
      </c>
      <c r="D17" s="15" t="n">
        <v>12</v>
      </c>
      <c r="E17" s="15" t="n">
        <v>5000</v>
      </c>
      <c r="F17" s="15" t="inlineStr">
        <is>
          <t>默认未造成严重后果(轻罪1年$5000); 严重后果=重罪4年$15000, 均赔偿</t>
        </is>
      </c>
      <c r="G17" s="15">
        <f>IF(SUMIFS('关键词表'!$C$2:$C$336,'关键词表'!$B$2:$B$336,$B17)&gt;0,1,0)</f>
        <v/>
      </c>
      <c r="H17" s="15">
        <f>IF(SUMIFS('关键词表'!$D$2:$D$336,'关键词表'!$B$2:$B$336,$B17)&gt;0,1,0)</f>
        <v/>
      </c>
      <c r="I17" s="15">
        <f>IF(SUMIFS('关键词表'!$E$2:$E$336,'关键词表'!$B$2:$B$336,$B17)&gt;0,1,0)</f>
        <v/>
      </c>
      <c r="J17" s="15">
        <f>IF($G17=1,IF($J16="",$B17,$J16&amp;"、"&amp;$B17),$J16)</f>
        <v/>
      </c>
      <c r="K17" s="15">
        <f>IF($H17=1,IF($K16="",$B17,$K16&amp;"、"&amp;$B17),$K16)</f>
        <v/>
      </c>
      <c r="L17" s="15">
        <f>IF($I17=1,IF($L16="",$B17,$L16&amp;"、"&amp;$B17),$L16)</f>
        <v/>
      </c>
    </row>
    <row r="18">
      <c r="A18" s="15" t="inlineStr">
        <is>
          <t>三·财产</t>
        </is>
      </c>
      <c r="B18" s="16" t="inlineStr">
        <is>
          <t>收受赃物罪</t>
        </is>
      </c>
      <c r="C18" s="17" t="inlineStr">
        <is>
          <t>轻罪</t>
        </is>
      </c>
      <c r="D18" s="15" t="n">
        <v>24</v>
      </c>
      <c r="E18" s="15" t="n">
        <v>10000</v>
      </c>
      <c r="F18" s="15" t="inlineStr">
        <is>
          <t>默认赃值&lt;$5000(轻罪2年$10000); ≥$5000=重罪4年$20000</t>
        </is>
      </c>
      <c r="G18" s="15">
        <f>IF(SUMIFS('关键词表'!$C$2:$C$336,'关键词表'!$B$2:$B$336,$B18)&gt;0,1,0)</f>
        <v/>
      </c>
      <c r="H18" s="15">
        <f>IF(SUMIFS('关键词表'!$D$2:$D$336,'关键词表'!$B$2:$B$336,$B18)&gt;0,1,0)</f>
        <v/>
      </c>
      <c r="I18" s="15">
        <f>IF(SUMIFS('关键词表'!$E$2:$E$336,'关键词表'!$B$2:$B$336,$B18)&gt;0,1,0)</f>
        <v/>
      </c>
      <c r="J18" s="15">
        <f>IF($G18=1,IF($J17="",$B18,$J17&amp;"、"&amp;$B18),$J17)</f>
        <v/>
      </c>
      <c r="K18" s="15">
        <f>IF($H18=1,IF($K17="",$B18,$K17&amp;"、"&amp;$B18),$K17)</f>
        <v/>
      </c>
      <c r="L18" s="15">
        <f>IF($I18=1,IF($L17="",$B18,$L17&amp;"、"&amp;$B18),$L17)</f>
        <v/>
      </c>
    </row>
    <row r="19">
      <c r="A19" s="15" t="inlineStr">
        <is>
          <t>三·财产</t>
        </is>
      </c>
      <c r="B19" s="16" t="inlineStr">
        <is>
          <t>敲诈勒索罪</t>
        </is>
      </c>
      <c r="C19" s="18" t="inlineStr">
        <is>
          <t>重罪</t>
        </is>
      </c>
      <c r="D19" s="15" t="n">
        <v>24</v>
      </c>
      <c r="E19" s="15" t="n">
        <v>20000</v>
      </c>
      <c r="F19" s="15" t="inlineStr">
        <is>
          <t>以威胁/恐吓/滥权强迫他人交付财物</t>
        </is>
      </c>
      <c r="G19" s="15">
        <f>IF(SUMIFS('关键词表'!$C$2:$C$336,'关键词表'!$B$2:$B$336,$B19)&gt;0,1,0)</f>
        <v/>
      </c>
      <c r="H19" s="15">
        <f>IF(SUMIFS('关键词表'!$D$2:$D$336,'关键词表'!$B$2:$B$336,$B19)&gt;0,1,0)</f>
        <v/>
      </c>
      <c r="I19" s="15">
        <f>IF(SUMIFS('关键词表'!$E$2:$E$336,'关键词表'!$B$2:$B$336,$B19)&gt;0,1,0)</f>
        <v/>
      </c>
      <c r="J19" s="15">
        <f>IF($G19=1,IF($J18="",$B19,$J18&amp;"、"&amp;$B19),$J18)</f>
        <v/>
      </c>
      <c r="K19" s="15">
        <f>IF($H19=1,IF($K18="",$B19,$K18&amp;"、"&amp;$B19),$K18)</f>
        <v/>
      </c>
      <c r="L19" s="15">
        <f>IF($I19=1,IF($L18="",$B19,$L18&amp;"、"&amp;$B19),$L18)</f>
        <v/>
      </c>
    </row>
    <row r="20">
      <c r="A20" s="15" t="inlineStr">
        <is>
          <t>三·财产</t>
        </is>
      </c>
      <c r="B20" s="16" t="inlineStr">
        <is>
          <t>蓄意破坏罪</t>
        </is>
      </c>
      <c r="C20" s="17" t="inlineStr">
        <is>
          <t>轻罪</t>
        </is>
      </c>
      <c r="D20" s="15" t="n">
        <v>24</v>
      </c>
      <c r="E20" s="15" t="n">
        <v>25000</v>
      </c>
      <c r="F20" s="15" t="inlineStr">
        <is>
          <t>蓄意破坏他人财产/车辆, 另需赔偿</t>
        </is>
      </c>
      <c r="G20" s="15">
        <f>IF(SUMIFS('关键词表'!$C$2:$C$336,'关键词表'!$B$2:$B$336,$B20)&gt;0,1,0)</f>
        <v/>
      </c>
      <c r="H20" s="15">
        <f>IF(SUMIFS('关键词表'!$D$2:$D$336,'关键词表'!$B$2:$B$336,$B20)&gt;0,1,0)</f>
        <v/>
      </c>
      <c r="I20" s="15">
        <f>IF(SUMIFS('关键词表'!$E$2:$E$336,'关键词表'!$B$2:$B$336,$B20)&gt;0,1,0)</f>
        <v/>
      </c>
      <c r="J20" s="15">
        <f>IF($G20=1,IF($J19="",$B20,$J19&amp;"、"&amp;$B20),$J19)</f>
        <v/>
      </c>
      <c r="K20" s="15">
        <f>IF($H20=1,IF($K19="",$B20,$K19&amp;"、"&amp;$B20),$K19)</f>
        <v/>
      </c>
      <c r="L20" s="15">
        <f>IF($I20=1,IF($L19="",$B20,$L19&amp;"、"&amp;$B20),$L19)</f>
        <v/>
      </c>
    </row>
    <row r="21">
      <c r="A21" s="15" t="inlineStr">
        <is>
          <t>三·财产</t>
        </is>
      </c>
      <c r="B21" s="16" t="inlineStr">
        <is>
          <t>挪用公款公物罪</t>
        </is>
      </c>
      <c r="C21" s="17" t="inlineStr">
        <is>
          <t>轻罪</t>
        </is>
      </c>
      <c r="D21" s="15" t="n">
        <v>48</v>
      </c>
      <c r="E21" s="15" t="n">
        <v>80000</v>
      </c>
      <c r="F21" s="15" t="inlineStr">
        <is>
          <t>擅自挪用受托管理的财物, 另需赔偿</t>
        </is>
      </c>
      <c r="G21" s="15">
        <f>IF(SUMIFS('关键词表'!$C$2:$C$336,'关键词表'!$B$2:$B$336,$B21)&gt;0,1,0)</f>
        <v/>
      </c>
      <c r="H21" s="15">
        <f>IF(SUMIFS('关键词表'!$D$2:$D$336,'关键词表'!$B$2:$B$336,$B21)&gt;0,1,0)</f>
        <v/>
      </c>
      <c r="I21" s="15">
        <f>IF(SUMIFS('关键词表'!$E$2:$E$336,'关键词表'!$B$2:$B$336,$B21)&gt;0,1,0)</f>
        <v/>
      </c>
      <c r="J21" s="15">
        <f>IF($G21=1,IF($J20="",$B21,$J20&amp;"、"&amp;$B21),$J20)</f>
        <v/>
      </c>
      <c r="K21" s="15">
        <f>IF($H21=1,IF($K20="",$B21,$K20&amp;"、"&amp;$B21),$K20)</f>
        <v/>
      </c>
      <c r="L21" s="15">
        <f>IF($I21=1,IF($L20="",$B21,$L20&amp;"、"&amp;$B21),$L20)</f>
        <v/>
      </c>
    </row>
    <row r="22">
      <c r="A22" s="15" t="inlineStr">
        <is>
          <t>三·财产</t>
        </is>
      </c>
      <c r="B22" s="16" t="inlineStr">
        <is>
          <t>持有失窃物品罪</t>
        </is>
      </c>
      <c r="C22" s="17" t="inlineStr">
        <is>
          <t>轻罪</t>
        </is>
      </c>
      <c r="D22" s="15" t="n">
        <v>24</v>
      </c>
      <c r="E22" s="15" t="n">
        <v>2000</v>
      </c>
      <c r="F22" s="15" t="inlineStr">
        <is>
          <t>非法占有他人遗失/失窃财物 (1-2年), 另需赔偿</t>
        </is>
      </c>
      <c r="G22" s="15">
        <f>IF(SUMIFS('关键词表'!$C$2:$C$336,'关键词表'!$B$2:$B$336,$B22)&gt;0,1,0)</f>
        <v/>
      </c>
      <c r="H22" s="15">
        <f>IF(SUMIFS('关键词表'!$D$2:$D$336,'关键词表'!$B$2:$B$336,$B22)&gt;0,1,0)</f>
        <v/>
      </c>
      <c r="I22" s="15">
        <f>IF(SUMIFS('关键词表'!$E$2:$E$336,'关键词表'!$B$2:$B$336,$B22)&gt;0,1,0)</f>
        <v/>
      </c>
      <c r="J22" s="15">
        <f>IF($G22=1,IF($J21="",$B22,$J21&amp;"、"&amp;$B22),$J21)</f>
        <v/>
      </c>
      <c r="K22" s="15">
        <f>IF($H22=1,IF($K21="",$B22,$K21&amp;"、"&amp;$B22),$K21)</f>
        <v/>
      </c>
      <c r="L22" s="15">
        <f>IF($I22=1,IF($L21="",$B22,$L21&amp;"、"&amp;$B22),$L21)</f>
        <v/>
      </c>
    </row>
    <row r="23">
      <c r="A23" s="15" t="inlineStr">
        <is>
          <t>四·公德</t>
        </is>
      </c>
      <c r="B23" s="16" t="inlineStr">
        <is>
          <t>在公共场合从事淫秽行为罪</t>
        </is>
      </c>
      <c r="C23" s="17" t="inlineStr">
        <is>
          <t>轻罪</t>
        </is>
      </c>
      <c r="D23" s="15" t="n">
        <v>24</v>
      </c>
      <c r="E23" s="15" t="n">
        <v>10000</v>
      </c>
      <c r="F23" s="15" t="inlineStr">
        <is>
          <t>公开场所性行为/猥亵/招嫖 (1-2年)</t>
        </is>
      </c>
      <c r="G23" s="15">
        <f>IF(SUMIFS('关键词表'!$C$2:$C$336,'关键词表'!$B$2:$B$336,$B23)&gt;0,1,0)</f>
        <v/>
      </c>
      <c r="H23" s="15">
        <f>IF(SUMIFS('关键词表'!$D$2:$D$336,'关键词表'!$B$2:$B$336,$B23)&gt;0,1,0)</f>
        <v/>
      </c>
      <c r="I23" s="15">
        <f>IF(SUMIFS('关键词表'!$E$2:$E$336,'关键词表'!$B$2:$B$336,$B23)&gt;0,1,0)</f>
        <v/>
      </c>
      <c r="J23" s="15">
        <f>IF($G23=1,IF($J22="",$B23,$J22&amp;"、"&amp;$B23),$J22)</f>
        <v/>
      </c>
      <c r="K23" s="15">
        <f>IF($H23=1,IF($K22="",$B23,$K22&amp;"、"&amp;$B23),$K22)</f>
        <v/>
      </c>
      <c r="L23" s="15">
        <f>IF($I23=1,IF($L22="",$B23,$L22&amp;"、"&amp;$B23),$L22)</f>
        <v/>
      </c>
    </row>
    <row r="24">
      <c r="A24" s="15" t="inlineStr">
        <is>
          <t>四·公德</t>
        </is>
      </c>
      <c r="B24" s="16" t="inlineStr">
        <is>
          <t>组织卖淫罪</t>
        </is>
      </c>
      <c r="C24" s="18" t="inlineStr">
        <is>
          <t>重罪</t>
        </is>
      </c>
      <c r="D24" s="15" t="n">
        <v>36</v>
      </c>
      <c r="E24" s="15" t="n">
        <v>15000</v>
      </c>
      <c r="F24" s="15" t="inlineStr">
        <is>
          <t>支持/介绍/强迫他人卖淫牟利</t>
        </is>
      </c>
      <c r="G24" s="15">
        <f>IF(SUMIFS('关键词表'!$C$2:$C$336,'关键词表'!$B$2:$B$336,$B24)&gt;0,1,0)</f>
        <v/>
      </c>
      <c r="H24" s="15">
        <f>IF(SUMIFS('关键词表'!$D$2:$D$336,'关键词表'!$B$2:$B$336,$B24)&gt;0,1,0)</f>
        <v/>
      </c>
      <c r="I24" s="15">
        <f>IF(SUMIFS('关键词表'!$E$2:$E$336,'关键词表'!$B$2:$B$336,$B24)&gt;0,1,0)</f>
        <v/>
      </c>
      <c r="J24" s="15">
        <f>IF($G24=1,IF($J23="",$B24,$J23&amp;"、"&amp;$B24),$J23)</f>
        <v/>
      </c>
      <c r="K24" s="15">
        <f>IF($H24=1,IF($K23="",$B24,$K23&amp;"、"&amp;$B24),$K23)</f>
        <v/>
      </c>
      <c r="L24" s="15">
        <f>IF($I24=1,IF($L23="",$B24,$L23&amp;"、"&amp;$B24),$L23)</f>
        <v/>
      </c>
    </row>
    <row r="25">
      <c r="A25" s="15" t="inlineStr">
        <is>
          <t>四·公德</t>
        </is>
      </c>
      <c r="B25" s="16" t="inlineStr">
        <is>
          <t>卖淫罪</t>
        </is>
      </c>
      <c r="C25" s="17" t="inlineStr">
        <is>
          <t>轻罪</t>
        </is>
      </c>
      <c r="D25" s="15" t="n">
        <v>24</v>
      </c>
      <c r="E25" s="15" t="n">
        <v>15000</v>
      </c>
      <c r="F25" s="15" t="inlineStr">
        <is>
          <t>以性服务换取财物</t>
        </is>
      </c>
      <c r="G25" s="15">
        <f>IF(SUMIFS('关键词表'!$C$2:$C$336,'关键词表'!$B$2:$B$336,$B25)&gt;0,1,0)</f>
        <v/>
      </c>
      <c r="H25" s="15">
        <f>IF(SUMIFS('关键词表'!$D$2:$D$336,'关键词表'!$B$2:$B$336,$B25)&gt;0,1,0)</f>
        <v/>
      </c>
      <c r="I25" s="15">
        <f>IF(SUMIFS('关键词表'!$E$2:$E$336,'关键词表'!$B$2:$B$336,$B25)&gt;0,1,0)</f>
        <v/>
      </c>
      <c r="J25" s="15">
        <f>IF($G25=1,IF($J24="",$B25,$J24&amp;"、"&amp;$B25),$J24)</f>
        <v/>
      </c>
      <c r="K25" s="15">
        <f>IF($H25=1,IF($K24="",$B25,$K24&amp;"、"&amp;$B25),$K24)</f>
        <v/>
      </c>
      <c r="L25" s="15">
        <f>IF($I25=1,IF($L24="",$B25,$L24&amp;"、"&amp;$B25),$L24)</f>
        <v/>
      </c>
    </row>
    <row r="26">
      <c r="A26" s="15" t="inlineStr">
        <is>
          <t>四·公德</t>
        </is>
      </c>
      <c r="B26" s="16" t="inlineStr">
        <is>
          <t>强奸罪</t>
        </is>
      </c>
      <c r="C26" s="18" t="inlineStr">
        <is>
          <t>重罪</t>
        </is>
      </c>
      <c r="D26" s="15" t="n">
        <v>60</v>
      </c>
      <c r="E26" s="15" t="n">
        <v>30000</v>
      </c>
      <c r="F26" s="15" t="inlineStr">
        <is>
          <t>违背意愿强迫性行为 / 与未满18岁者发生关系</t>
        </is>
      </c>
      <c r="G26" s="15">
        <f>IF(SUMIFS('关键词表'!$C$2:$C$336,'关键词表'!$B$2:$B$336,$B26)&gt;0,1,0)</f>
        <v/>
      </c>
      <c r="H26" s="15">
        <f>IF(SUMIFS('关键词表'!$D$2:$D$336,'关键词表'!$B$2:$B$336,$B26)&gt;0,1,0)</f>
        <v/>
      </c>
      <c r="I26" s="15">
        <f>IF(SUMIFS('关键词表'!$E$2:$E$336,'关键词表'!$B$2:$B$336,$B26)&gt;0,1,0)</f>
        <v/>
      </c>
      <c r="J26" s="15">
        <f>IF($G26=1,IF($J25="",$B26,$J25&amp;"、"&amp;$B26),$J25)</f>
        <v/>
      </c>
      <c r="K26" s="15">
        <f>IF($H26=1,IF($K25="",$B26,$K25&amp;"、"&amp;$B26),$K25)</f>
        <v/>
      </c>
      <c r="L26" s="15">
        <f>IF($I26=1,IF($L25="",$B26,$L25&amp;"、"&amp;$B26),$L25)</f>
        <v/>
      </c>
    </row>
    <row r="27">
      <c r="A27" s="15" t="inlineStr">
        <is>
          <t>四·公德</t>
        </is>
      </c>
      <c r="B27" s="16" t="inlineStr">
        <is>
          <t>传播淫秽色情罪</t>
        </is>
      </c>
      <c r="C27" s="17" t="inlineStr">
        <is>
          <t>轻罪</t>
        </is>
      </c>
      <c r="D27" s="15" t="n">
        <v>12</v>
      </c>
      <c r="E27" s="15" t="n">
        <v>8000</v>
      </c>
      <c r="F27" s="15" t="inlineStr">
        <is>
          <t>制作/传播/贩卖淫秽色情内容</t>
        </is>
      </c>
      <c r="G27" s="15">
        <f>IF(SUMIFS('关键词表'!$C$2:$C$336,'关键词表'!$B$2:$B$336,$B27)&gt;0,1,0)</f>
        <v/>
      </c>
      <c r="H27" s="15">
        <f>IF(SUMIFS('关键词表'!$D$2:$D$336,'关键词表'!$B$2:$B$336,$B27)&gt;0,1,0)</f>
        <v/>
      </c>
      <c r="I27" s="15">
        <f>IF(SUMIFS('关键词表'!$E$2:$E$336,'关键词表'!$B$2:$B$336,$B27)&gt;0,1,0)</f>
        <v/>
      </c>
      <c r="J27" s="15">
        <f>IF($G27=1,IF($J26="",$B27,$J26&amp;"、"&amp;$B27),$J26)</f>
        <v/>
      </c>
      <c r="K27" s="15">
        <f>IF($H27=1,IF($K26="",$B27,$K26&amp;"、"&amp;$B27),$K26)</f>
        <v/>
      </c>
      <c r="L27" s="15">
        <f>IF($I27=1,IF($L26="",$B27,$L26&amp;"、"&amp;$B27),$L26)</f>
        <v/>
      </c>
    </row>
    <row r="28">
      <c r="A28" s="15" t="inlineStr">
        <is>
          <t>四·公德</t>
        </is>
      </c>
      <c r="B28" s="16" t="inlineStr">
        <is>
          <t>歧视罪</t>
        </is>
      </c>
      <c r="C28" s="17" t="inlineStr">
        <is>
          <t>轻罪</t>
        </is>
      </c>
      <c r="D28" s="15" t="n">
        <v>36</v>
      </c>
      <c r="E28" s="15" t="n">
        <v>30000</v>
      </c>
      <c r="F28" s="15" t="inlineStr">
        <is>
          <t>因受保护特征贬低/辱骂/歧视他人</t>
        </is>
      </c>
      <c r="G28" s="15">
        <f>IF(SUMIFS('关键词表'!$C$2:$C$336,'关键词表'!$B$2:$B$336,$B28)&gt;0,1,0)</f>
        <v/>
      </c>
      <c r="H28" s="15">
        <f>IF(SUMIFS('关键词表'!$D$2:$D$336,'关键词表'!$B$2:$B$336,$B28)&gt;0,1,0)</f>
        <v/>
      </c>
      <c r="I28" s="15">
        <f>IF(SUMIFS('关键词表'!$E$2:$E$336,'关键词表'!$B$2:$B$336,$B28)&gt;0,1,0)</f>
        <v/>
      </c>
      <c r="J28" s="15">
        <f>IF($G28=1,IF($J27="",$B28,$J27&amp;"、"&amp;$B28),$J27)</f>
        <v/>
      </c>
      <c r="K28" s="15">
        <f>IF($H28=1,IF($K27="",$B28,$K27&amp;"、"&amp;$B28),$K27)</f>
        <v/>
      </c>
      <c r="L28" s="15">
        <f>IF($I28=1,IF($L27="",$B28,$L27&amp;"、"&amp;$B28),$L27)</f>
        <v/>
      </c>
    </row>
    <row r="29">
      <c r="A29" s="15" t="inlineStr">
        <is>
          <t>四·公德</t>
        </is>
      </c>
      <c r="B29" s="16" t="inlineStr">
        <is>
          <t>诽谤罪</t>
        </is>
      </c>
      <c r="C29" s="17" t="inlineStr">
        <is>
          <t>轻罪</t>
        </is>
      </c>
      <c r="D29" s="15" t="n">
        <v>24</v>
      </c>
      <c r="E29" s="15" t="n">
        <v>15000</v>
      </c>
      <c r="F29" s="15" t="inlineStr">
        <is>
          <t>捏造/传播虚假信息损害名誉</t>
        </is>
      </c>
      <c r="G29" s="15">
        <f>IF(SUMIFS('关键词表'!$C$2:$C$336,'关键词表'!$B$2:$B$336,$B29)&gt;0,1,0)</f>
        <v/>
      </c>
      <c r="H29" s="15">
        <f>IF(SUMIFS('关键词表'!$D$2:$D$336,'关键词表'!$B$2:$B$336,$B29)&gt;0,1,0)</f>
        <v/>
      </c>
      <c r="I29" s="15">
        <f>IF(SUMIFS('关键词表'!$E$2:$E$336,'关键词表'!$B$2:$B$336,$B29)&gt;0,1,0)</f>
        <v/>
      </c>
      <c r="J29" s="15">
        <f>IF($G29=1,IF($J28="",$B29,$J28&amp;"、"&amp;$B29),$J28)</f>
        <v/>
      </c>
      <c r="K29" s="15">
        <f>IF($H29=1,IF($K28="",$B29,$K28&amp;"、"&amp;$B29),$K28)</f>
        <v/>
      </c>
      <c r="L29" s="15">
        <f>IF($I29=1,IF($L28="",$B29,$L28&amp;"、"&amp;$B29),$L28)</f>
        <v/>
      </c>
    </row>
    <row r="30">
      <c r="A30" s="15" t="inlineStr">
        <is>
          <t>五·司法</t>
        </is>
      </c>
      <c r="B30" s="16" t="inlineStr">
        <is>
          <t>行贿罪</t>
        </is>
      </c>
      <c r="C30" s="18" t="inlineStr">
        <is>
          <t>重罪</t>
        </is>
      </c>
      <c r="D30" s="15" t="n">
        <v>24</v>
      </c>
      <c r="E30" s="15" t="n">
        <v>20000</v>
      </c>
      <c r="F30" s="15" t="inlineStr">
        <is>
          <t>向政府雇员提供财物/利益以影响其职责</t>
        </is>
      </c>
      <c r="G30" s="15">
        <f>IF(SUMIFS('关键词表'!$C$2:$C$336,'关键词表'!$B$2:$B$336,$B30)&gt;0,1,0)</f>
        <v/>
      </c>
      <c r="H30" s="15">
        <f>IF(SUMIFS('关键词表'!$D$2:$D$336,'关键词表'!$B$2:$B$336,$B30)&gt;0,1,0)</f>
        <v/>
      </c>
      <c r="I30" s="15">
        <f>IF(SUMIFS('关键词表'!$E$2:$E$336,'关键词表'!$B$2:$B$336,$B30)&gt;0,1,0)</f>
        <v/>
      </c>
      <c r="J30" s="15">
        <f>IF($G30=1,IF($J29="",$B30,$J29&amp;"、"&amp;$B30),$J29)</f>
        <v/>
      </c>
      <c r="K30" s="15">
        <f>IF($H30=1,IF($K29="",$B30,$K29&amp;"、"&amp;$B30),$K29)</f>
        <v/>
      </c>
      <c r="L30" s="15">
        <f>IF($I30=1,IF($L29="",$B30,$L29&amp;"、"&amp;$B30),$L29)</f>
        <v/>
      </c>
    </row>
    <row r="31">
      <c r="A31" s="15" t="inlineStr">
        <is>
          <t>五·司法</t>
        </is>
      </c>
      <c r="B31" s="16" t="inlineStr">
        <is>
          <t>妨碍司法罪</t>
        </is>
      </c>
      <c r="C31" s="18" t="inlineStr">
        <is>
          <t>重罪</t>
        </is>
      </c>
      <c r="D31" s="15" t="n">
        <v>36</v>
      </c>
      <c r="E31" s="15" t="n">
        <v>15000</v>
      </c>
      <c r="F31" s="15" t="inlineStr">
        <is>
          <t>阻碍法律文书签署/分发/执行</t>
        </is>
      </c>
      <c r="G31" s="15">
        <f>IF(SUMIFS('关键词表'!$C$2:$C$336,'关键词表'!$B$2:$B$336,$B31)&gt;0,1,0)</f>
        <v/>
      </c>
      <c r="H31" s="15">
        <f>IF(SUMIFS('关键词表'!$D$2:$D$336,'关键词表'!$B$2:$B$336,$B31)&gt;0,1,0)</f>
        <v/>
      </c>
      <c r="I31" s="15">
        <f>IF(SUMIFS('关键词表'!$E$2:$E$336,'关键词表'!$B$2:$B$336,$B31)&gt;0,1,0)</f>
        <v/>
      </c>
      <c r="J31" s="15">
        <f>IF($G31=1,IF($J30="",$B31,$J30&amp;"、"&amp;$B31),$J30)</f>
        <v/>
      </c>
      <c r="K31" s="15">
        <f>IF($H31=1,IF($K30="",$B31,$K30&amp;"、"&amp;$B31),$K30)</f>
        <v/>
      </c>
      <c r="L31" s="15">
        <f>IF($I31=1,IF($L30="",$B31,$L30&amp;"、"&amp;$B31),$L30)</f>
        <v/>
      </c>
    </row>
    <row r="32">
      <c r="A32" s="15" t="inlineStr">
        <is>
          <t>五·司法</t>
        </is>
      </c>
      <c r="B32" s="16" t="inlineStr">
        <is>
          <t>拒绝听从执法人员命令与检查罪</t>
        </is>
      </c>
      <c r="C32" s="17" t="inlineStr">
        <is>
          <t>轻罪</t>
        </is>
      </c>
      <c r="D32" s="15" t="n">
        <v>36</v>
      </c>
      <c r="E32" s="15" t="n">
        <v>15000</v>
      </c>
      <c r="F32" s="15" t="inlineStr">
        <is>
          <t>拒绝执法人员合法命令/检查</t>
        </is>
      </c>
      <c r="G32" s="15">
        <f>IF(SUMIFS('关键词表'!$C$2:$C$336,'关键词表'!$B$2:$B$336,$B32)&gt;0,1,0)</f>
        <v/>
      </c>
      <c r="H32" s="15">
        <f>IF(SUMIFS('关键词表'!$D$2:$D$336,'关键词表'!$B$2:$B$336,$B32)&gt;0,1,0)</f>
        <v/>
      </c>
      <c r="I32" s="15">
        <f>IF(SUMIFS('关键词表'!$E$2:$E$336,'关键词表'!$B$2:$B$336,$B32)&gt;0,1,0)</f>
        <v/>
      </c>
      <c r="J32" s="15">
        <f>IF($G32=1,IF($J31="",$B32,$J31&amp;"、"&amp;$B32),$J31)</f>
        <v/>
      </c>
      <c r="K32" s="15">
        <f>IF($H32=1,IF($K31="",$B32,$K31&amp;"、"&amp;$B32),$K31)</f>
        <v/>
      </c>
      <c r="L32" s="15">
        <f>IF($I32=1,IF($L31="",$B32,$L31&amp;"、"&amp;$B32),$L31)</f>
        <v/>
      </c>
    </row>
    <row r="33">
      <c r="A33" s="15" t="inlineStr">
        <is>
          <t>五·司法</t>
        </is>
      </c>
      <c r="B33" s="16" t="inlineStr">
        <is>
          <t>拒绝提供身份罪</t>
        </is>
      </c>
      <c r="C33" s="17" t="inlineStr">
        <is>
          <t>轻罪</t>
        </is>
      </c>
      <c r="D33" s="15" t="n">
        <v>12</v>
      </c>
      <c r="E33" s="15" t="n">
        <v>10000</v>
      </c>
      <c r="F33" s="15" t="inlineStr">
        <is>
          <t>被扣留/逮捕后拒绝提供身份信息</t>
        </is>
      </c>
      <c r="G33" s="15">
        <f>IF(SUMIFS('关键词表'!$C$2:$C$336,'关键词表'!$B$2:$B$336,$B33)&gt;0,1,0)</f>
        <v/>
      </c>
      <c r="H33" s="15">
        <f>IF(SUMIFS('关键词表'!$D$2:$D$336,'关键词表'!$B$2:$B$336,$B33)&gt;0,1,0)</f>
        <v/>
      </c>
      <c r="I33" s="15">
        <f>IF(SUMIFS('关键词表'!$E$2:$E$336,'关键词表'!$B$2:$B$336,$B33)&gt;0,1,0)</f>
        <v/>
      </c>
      <c r="J33" s="15">
        <f>IF($G33=1,IF($J32="",$B33,$J32&amp;"、"&amp;$B33),$J32)</f>
        <v/>
      </c>
      <c r="K33" s="15">
        <f>IF($H33=1,IF($K32="",$B33,$K32&amp;"、"&amp;$B33),$K32)</f>
        <v/>
      </c>
      <c r="L33" s="15">
        <f>IF($I33=1,IF($L32="",$B33,$L32&amp;"、"&amp;$B33),$L32)</f>
        <v/>
      </c>
    </row>
    <row r="34">
      <c r="A34" s="15" t="inlineStr">
        <is>
          <t>五·司法</t>
        </is>
      </c>
      <c r="B34" s="16" t="inlineStr">
        <is>
          <t>破坏证据罪</t>
        </is>
      </c>
      <c r="C34" s="17" t="inlineStr">
        <is>
          <t>轻罪</t>
        </is>
      </c>
      <c r="D34" s="15" t="n">
        <v>36</v>
      </c>
      <c r="E34" s="15" t="n">
        <v>20000</v>
      </c>
      <c r="F34" s="15" t="inlineStr">
        <is>
          <t>隐瞒/销毁/篡改/伪造证据</t>
        </is>
      </c>
      <c r="G34" s="15">
        <f>IF(SUMIFS('关键词表'!$C$2:$C$336,'关键词表'!$B$2:$B$336,$B34)&gt;0,1,0)</f>
        <v/>
      </c>
      <c r="H34" s="15">
        <f>IF(SUMIFS('关键词表'!$D$2:$D$336,'关键词表'!$B$2:$B$336,$B34)&gt;0,1,0)</f>
        <v/>
      </c>
      <c r="I34" s="15">
        <f>IF(SUMIFS('关键词表'!$E$2:$E$336,'关键词表'!$B$2:$B$336,$B34)&gt;0,1,0)</f>
        <v/>
      </c>
      <c r="J34" s="15">
        <f>IF($G34=1,IF($J33="",$B34,$J33&amp;"、"&amp;$B34),$J33)</f>
        <v/>
      </c>
      <c r="K34" s="15">
        <f>IF($H34=1,IF($K33="",$B34,$K33&amp;"、"&amp;$B34),$K33)</f>
        <v/>
      </c>
      <c r="L34" s="15">
        <f>IF($I34=1,IF($L33="",$B34,$L33&amp;"、"&amp;$B34),$L33)</f>
        <v/>
      </c>
    </row>
    <row r="35">
      <c r="A35" s="15" t="inlineStr">
        <is>
          <t>五·司法</t>
        </is>
      </c>
      <c r="B35" s="16" t="inlineStr">
        <is>
          <t>冒充政府雇员罪</t>
        </is>
      </c>
      <c r="C35" s="18" t="inlineStr">
        <is>
          <t>重罪</t>
        </is>
      </c>
      <c r="D35" s="15" t="n">
        <v>24</v>
      </c>
      <c r="E35" s="15" t="n">
        <v>15000</v>
      </c>
      <c r="F35" s="15" t="inlineStr">
        <is>
          <t>假冒政府雇员身份(穿制服/佩戴徽章等)</t>
        </is>
      </c>
      <c r="G35" s="15">
        <f>IF(SUMIFS('关键词表'!$C$2:$C$336,'关键词表'!$B$2:$B$336,$B35)&gt;0,1,0)</f>
        <v/>
      </c>
      <c r="H35" s="15">
        <f>IF(SUMIFS('关键词表'!$D$2:$D$336,'关键词表'!$B$2:$B$336,$B35)&gt;0,1,0)</f>
        <v/>
      </c>
      <c r="I35" s="15">
        <f>IF(SUMIFS('关键词表'!$E$2:$E$336,'关键词表'!$B$2:$B$336,$B35)&gt;0,1,0)</f>
        <v/>
      </c>
      <c r="J35" s="15">
        <f>IF($G35=1,IF($J34="",$B35,$J34&amp;"、"&amp;$B35),$J34)</f>
        <v/>
      </c>
      <c r="K35" s="15">
        <f>IF($H35=1,IF($K34="",$B35,$K34&amp;"、"&amp;$B35),$K34)</f>
        <v/>
      </c>
      <c r="L35" s="15">
        <f>IF($I35=1,IF($L34="",$B35,$L34&amp;"、"&amp;$B35),$L34)</f>
        <v/>
      </c>
    </row>
    <row r="36">
      <c r="A36" s="15" t="inlineStr">
        <is>
          <t>五·司法</t>
        </is>
      </c>
      <c r="B36" s="16" t="inlineStr">
        <is>
          <t>虚假逮捕罪</t>
        </is>
      </c>
      <c r="C36" s="18" t="inlineStr">
        <is>
          <t>重罪</t>
        </is>
      </c>
      <c r="D36" s="15" t="n">
        <v>48</v>
      </c>
      <c r="E36" s="15" t="n">
        <v>20000</v>
      </c>
      <c r="F36" s="15" t="inlineStr">
        <is>
          <t>无法律依据以执法名义扣留/逮捕/没收(仅主管可起诉)</t>
        </is>
      </c>
      <c r="G36" s="15">
        <f>IF(SUMIFS('关键词表'!$C$2:$C$336,'关键词表'!$B$2:$B$336,$B36)&gt;0,1,0)</f>
        <v/>
      </c>
      <c r="H36" s="15">
        <f>IF(SUMIFS('关键词表'!$D$2:$D$336,'关键词表'!$B$2:$B$336,$B36)&gt;0,1,0)</f>
        <v/>
      </c>
      <c r="I36" s="15">
        <f>IF(SUMIFS('关键词表'!$E$2:$E$336,'关键词表'!$B$2:$B$336,$B36)&gt;0,1,0)</f>
        <v/>
      </c>
      <c r="J36" s="15">
        <f>IF($G36=1,IF($J35="",$B36,$J35&amp;"、"&amp;$B36),$J35)</f>
        <v/>
      </c>
      <c r="K36" s="15">
        <f>IF($H36=1,IF($K35="",$B36,$K35&amp;"、"&amp;$B36),$K35)</f>
        <v/>
      </c>
      <c r="L36" s="15">
        <f>IF($I36=1,IF($L35="",$B36,$L35&amp;"、"&amp;$B36),$L35)</f>
        <v/>
      </c>
    </row>
    <row r="37">
      <c r="A37" s="15" t="inlineStr">
        <is>
          <t>五·司法</t>
        </is>
      </c>
      <c r="B37" s="16" t="inlineStr">
        <is>
          <t>伪证罪</t>
        </is>
      </c>
      <c r="C37" s="18" t="inlineStr">
        <is>
          <t>重罪</t>
        </is>
      </c>
      <c r="D37" s="15" t="n">
        <v>48</v>
      </c>
      <c r="E37" s="15" t="n">
        <v>25000</v>
      </c>
      <c r="F37" s="15" t="inlineStr">
        <is>
          <t>司法程序中提供虚假证言/信息</t>
        </is>
      </c>
      <c r="G37" s="15">
        <f>IF(SUMIFS('关键词表'!$C$2:$C$336,'关键词表'!$B$2:$B$336,$B37)&gt;0,1,0)</f>
        <v/>
      </c>
      <c r="H37" s="15">
        <f>IF(SUMIFS('关键词表'!$D$2:$D$336,'关键词表'!$B$2:$B$336,$B37)&gt;0,1,0)</f>
        <v/>
      </c>
      <c r="I37" s="15">
        <f>IF(SUMIFS('关键词表'!$E$2:$E$336,'关键词表'!$B$2:$B$336,$B37)&gt;0,1,0)</f>
        <v/>
      </c>
      <c r="J37" s="15">
        <f>IF($G37=1,IF($J36="",$B37,$J36&amp;"、"&amp;$B37),$J36)</f>
        <v/>
      </c>
      <c r="K37" s="15">
        <f>IF($H37=1,IF($K36="",$B37,$K36&amp;"、"&amp;$B37),$K36)</f>
        <v/>
      </c>
      <c r="L37" s="15">
        <f>IF($I37=1,IF($L36="",$B37,$L36&amp;"、"&amp;$B37),$L36)</f>
        <v/>
      </c>
    </row>
    <row r="38">
      <c r="A38" s="15" t="inlineStr">
        <is>
          <t>五·司法</t>
        </is>
      </c>
      <c r="B38" s="16" t="inlineStr">
        <is>
          <t>冒充律师罪</t>
        </is>
      </c>
      <c r="C38" s="17" t="inlineStr">
        <is>
          <t>轻罪</t>
        </is>
      </c>
      <c r="D38" s="15" t="n">
        <v>36</v>
      </c>
      <c r="E38" s="15" t="n">
        <v>15000</v>
      </c>
      <c r="F38" s="15" t="inlineStr">
        <is>
          <t>未经认证从事律师业务/假扮律师</t>
        </is>
      </c>
      <c r="G38" s="15">
        <f>IF(SUMIFS('关键词表'!$C$2:$C$336,'关键词表'!$B$2:$B$336,$B38)&gt;0,1,0)</f>
        <v/>
      </c>
      <c r="H38" s="15">
        <f>IF(SUMIFS('关键词表'!$D$2:$D$336,'关键词表'!$B$2:$B$336,$B38)&gt;0,1,0)</f>
        <v/>
      </c>
      <c r="I38" s="15">
        <f>IF(SUMIFS('关键词表'!$E$2:$E$336,'关键词表'!$B$2:$B$336,$B38)&gt;0,1,0)</f>
        <v/>
      </c>
      <c r="J38" s="15">
        <f>IF($G38=1,IF($J37="",$B38,$J37&amp;"、"&amp;$B38),$J37)</f>
        <v/>
      </c>
      <c r="K38" s="15">
        <f>IF($H38=1,IF($K37="",$B38,$K37&amp;"、"&amp;$B38),$K37)</f>
        <v/>
      </c>
      <c r="L38" s="15">
        <f>IF($I38=1,IF($L37="",$B38,$L37&amp;"、"&amp;$B38),$L37)</f>
        <v/>
      </c>
    </row>
    <row r="39">
      <c r="A39" s="15" t="inlineStr">
        <is>
          <t>五·司法</t>
        </is>
      </c>
      <c r="B39" s="16" t="inlineStr">
        <is>
          <t>妨碍政府雇员执行公务罪</t>
        </is>
      </c>
      <c r="C39" s="18" t="inlineStr">
        <is>
          <t>重罪</t>
        </is>
      </c>
      <c r="D39" s="15" t="n">
        <v>36</v>
      </c>
      <c r="E39" s="15" t="n">
        <v>15000</v>
      </c>
      <c r="F39" s="15" t="inlineStr">
        <is>
          <t>抵抗/延误/阻碍执法/消防/急救/司法人员执行职责</t>
        </is>
      </c>
      <c r="G39" s="15">
        <f>IF(SUMIFS('关键词表'!$C$2:$C$336,'关键词表'!$B$2:$B$336,$B39)&gt;0,1,0)</f>
        <v/>
      </c>
      <c r="H39" s="15">
        <f>IF(SUMIFS('关键词表'!$D$2:$D$336,'关键词表'!$B$2:$B$336,$B39)&gt;0,1,0)</f>
        <v/>
      </c>
      <c r="I39" s="15">
        <f>IF(SUMIFS('关键词表'!$E$2:$E$336,'关键词表'!$B$2:$B$336,$B39)&gt;0,1,0)</f>
        <v/>
      </c>
      <c r="J39" s="15">
        <f>IF($G39=1,IF($J38="",$B39,$J38&amp;"、"&amp;$B39),$J38)</f>
        <v/>
      </c>
      <c r="K39" s="15">
        <f>IF($H39=1,IF($K38="",$B39,$K38&amp;"、"&amp;$B39),$K38)</f>
        <v/>
      </c>
      <c r="L39" s="15">
        <f>IF($I39=1,IF($L38="",$B39,$L38&amp;"、"&amp;$B39),$L38)</f>
        <v/>
      </c>
    </row>
    <row r="40">
      <c r="A40" s="15" t="inlineStr">
        <is>
          <t>五·司法</t>
        </is>
      </c>
      <c r="B40" s="16" t="inlineStr">
        <is>
          <t>拒捕罪</t>
        </is>
      </c>
      <c r="C40" s="18" t="inlineStr">
        <is>
          <t>重罪</t>
        </is>
      </c>
      <c r="D40" s="15" t="n">
        <v>36</v>
      </c>
      <c r="E40" s="15" t="n">
        <v>15000</v>
      </c>
      <c r="F40" s="15" t="inlineStr">
        <is>
          <t>逮捕时以任何方式拒绝/抗拒/逃避逮捕</t>
        </is>
      </c>
      <c r="G40" s="15">
        <f>IF(SUMIFS('关键词表'!$C$2:$C$336,'关键词表'!$B$2:$B$336,$B40)&gt;0,1,0)</f>
        <v/>
      </c>
      <c r="H40" s="15">
        <f>IF(SUMIFS('关键词表'!$D$2:$D$336,'关键词表'!$B$2:$B$336,$B40)&gt;0,1,0)</f>
        <v/>
      </c>
      <c r="I40" s="15">
        <f>IF(SUMIFS('关键词表'!$E$2:$E$336,'关键词表'!$B$2:$B$336,$B40)&gt;0,1,0)</f>
        <v/>
      </c>
      <c r="J40" s="15">
        <f>IF($G40=1,IF($J39="",$B40,$J39&amp;"、"&amp;$B40),$J39)</f>
        <v/>
      </c>
      <c r="K40" s="15">
        <f>IF($H40=1,IF($K39="",$B40,$K39&amp;"、"&amp;$B40),$K39)</f>
        <v/>
      </c>
      <c r="L40" s="15">
        <f>IF($I40=1,IF($L39="",$B40,$L39&amp;"、"&amp;$B40),$L39)</f>
        <v/>
      </c>
    </row>
    <row r="41">
      <c r="A41" s="15" t="inlineStr">
        <is>
          <t>五·司法</t>
        </is>
      </c>
      <c r="B41" s="16" t="inlineStr">
        <is>
          <t>逃避羁押罪</t>
        </is>
      </c>
      <c r="C41" s="18" t="inlineStr">
        <is>
          <t>重罪</t>
        </is>
      </c>
      <c r="D41" s="15" t="n">
        <v>36</v>
      </c>
      <c r="E41" s="15" t="n">
        <v>10000</v>
      </c>
      <c r="F41" s="15" t="inlineStr">
        <is>
          <t>被合法扣留/逮捕后逃脱监护</t>
        </is>
      </c>
      <c r="G41" s="15">
        <f>IF(SUMIFS('关键词表'!$C$2:$C$336,'关键词表'!$B$2:$B$336,$B41)&gt;0,1,0)</f>
        <v/>
      </c>
      <c r="H41" s="15">
        <f>IF(SUMIFS('关键词表'!$D$2:$D$336,'关键词表'!$B$2:$B$336,$B41)&gt;0,1,0)</f>
        <v/>
      </c>
      <c r="I41" s="15">
        <f>IF(SUMIFS('关键词表'!$E$2:$E$336,'关键词表'!$B$2:$B$336,$B41)&gt;0,1,0)</f>
        <v/>
      </c>
      <c r="J41" s="15">
        <f>IF($G41=1,IF($J40="",$B41,$J40&amp;"、"&amp;$B41),$J40)</f>
        <v/>
      </c>
      <c r="K41" s="15">
        <f>IF($H41=1,IF($K40="",$B41,$K40&amp;"、"&amp;$B41),$K40)</f>
        <v/>
      </c>
      <c r="L41" s="15">
        <f>IF($I41=1,IF($L40="",$B41,$L40&amp;"、"&amp;$B41),$L40)</f>
        <v/>
      </c>
    </row>
    <row r="42">
      <c r="A42" s="15" t="inlineStr">
        <is>
          <t>五·司法</t>
        </is>
      </c>
      <c r="B42" s="16" t="inlineStr">
        <is>
          <t>藐视法庭罪</t>
        </is>
      </c>
      <c r="C42" s="18" t="inlineStr">
        <is>
          <t>重罪</t>
        </is>
      </c>
      <c r="D42" s="15" t="n">
        <v>48</v>
      </c>
      <c r="E42" s="15" t="n">
        <v>25000</v>
      </c>
      <c r="F42" s="15" t="inlineStr">
        <is>
          <t>扰乱法庭秩序/无视法庭命令(须法官当庭宣布)</t>
        </is>
      </c>
      <c r="G42" s="15">
        <f>IF(SUMIFS('关键词表'!$C$2:$C$336,'关键词表'!$B$2:$B$336,$B42)&gt;0,1,0)</f>
        <v/>
      </c>
      <c r="H42" s="15">
        <f>IF(SUMIFS('关键词表'!$D$2:$D$336,'关键词表'!$B$2:$B$336,$B42)&gt;0,1,0)</f>
        <v/>
      </c>
      <c r="I42" s="15">
        <f>IF(SUMIFS('关键词表'!$E$2:$E$336,'关键词表'!$B$2:$B$336,$B42)&gt;0,1,0)</f>
        <v/>
      </c>
      <c r="J42" s="15">
        <f>IF($G42=1,IF($J41="",$B42,$J41&amp;"、"&amp;$B42),$J41)</f>
        <v/>
      </c>
      <c r="K42" s="15">
        <f>IF($H42=1,IF($K41="",$B42,$K41&amp;"、"&amp;$B42),$K41)</f>
        <v/>
      </c>
      <c r="L42" s="15">
        <f>IF($I42=1,IF($L41="",$B42,$L41&amp;"、"&amp;$B42),$L41)</f>
        <v/>
      </c>
    </row>
    <row r="43">
      <c r="A43" s="15" t="inlineStr">
        <is>
          <t>五·司法</t>
        </is>
      </c>
      <c r="B43" s="16" t="inlineStr">
        <is>
          <t>恶意占用公共资源罪</t>
        </is>
      </c>
      <c r="C43" s="17" t="inlineStr">
        <is>
          <t>轻罪</t>
        </is>
      </c>
      <c r="D43" s="15" t="n">
        <v>12</v>
      </c>
      <c r="E43" s="15" t="n">
        <v>5000</v>
      </c>
      <c r="F43" s="15" t="inlineStr">
        <is>
          <t>非紧急/恶意占用政府紧急热线</t>
        </is>
      </c>
      <c r="G43" s="15">
        <f>IF(SUMIFS('关键词表'!$C$2:$C$336,'关键词表'!$B$2:$B$336,$B43)&gt;0,1,0)</f>
        <v/>
      </c>
      <c r="H43" s="15">
        <f>IF(SUMIFS('关键词表'!$D$2:$D$336,'关键词表'!$B$2:$B$336,$B43)&gt;0,1,0)</f>
        <v/>
      </c>
      <c r="I43" s="15">
        <f>IF(SUMIFS('关键词表'!$E$2:$E$336,'关键词表'!$B$2:$B$336,$B43)&gt;0,1,0)</f>
        <v/>
      </c>
      <c r="J43" s="15">
        <f>IF($G43=1,IF($J42="",$B43,$J42&amp;"、"&amp;$B43),$J42)</f>
        <v/>
      </c>
      <c r="K43" s="15">
        <f>IF($H43=1,IF($K42="",$B43,$K42&amp;"、"&amp;$B43),$K42)</f>
        <v/>
      </c>
      <c r="L43" s="15">
        <f>IF($I43=1,IF($L42="",$B43,$L42&amp;"、"&amp;$B43),$L42)</f>
        <v/>
      </c>
    </row>
    <row r="44">
      <c r="A44" s="15" t="inlineStr">
        <is>
          <t>五·司法</t>
        </is>
      </c>
      <c r="B44" s="16" t="inlineStr">
        <is>
          <t>未经许可进入封闭紧急区域罪</t>
        </is>
      </c>
      <c r="C44" s="17" t="inlineStr">
        <is>
          <t>轻罪</t>
        </is>
      </c>
      <c r="D44" s="15" t="n">
        <v>12</v>
      </c>
      <c r="E44" s="15" t="n">
        <v>15000</v>
      </c>
      <c r="F44" s="15" t="inlineStr">
        <is>
          <t>未经授权进入被警戒线封闭的紧急区域</t>
        </is>
      </c>
      <c r="G44" s="15">
        <f>IF(SUMIFS('关键词表'!$C$2:$C$336,'关键词表'!$B$2:$B$336,$B44)&gt;0,1,0)</f>
        <v/>
      </c>
      <c r="H44" s="15">
        <f>IF(SUMIFS('关键词表'!$D$2:$D$336,'关键词表'!$B$2:$B$336,$B44)&gt;0,1,0)</f>
        <v/>
      </c>
      <c r="I44" s="15">
        <f>IF(SUMIFS('关键词表'!$E$2:$E$336,'关键词表'!$B$2:$B$336,$B44)&gt;0,1,0)</f>
        <v/>
      </c>
      <c r="J44" s="15">
        <f>IF($G44=1,IF($J43="",$B44,$J43&amp;"、"&amp;$B44),$J43)</f>
        <v/>
      </c>
      <c r="K44" s="15">
        <f>IF($H44=1,IF($K43="",$B44,$K43&amp;"、"&amp;$B44),$K43)</f>
        <v/>
      </c>
      <c r="L44" s="15">
        <f>IF($I44=1,IF($L43="",$B44,$L43&amp;"、"&amp;$B44),$L43)</f>
        <v/>
      </c>
    </row>
    <row r="45">
      <c r="A45" s="15" t="inlineStr">
        <is>
          <t>五·司法</t>
        </is>
      </c>
      <c r="B45" s="16" t="inlineStr">
        <is>
          <t>袭警罪</t>
        </is>
      </c>
      <c r="C45" s="18" t="inlineStr">
        <is>
          <t>重罪</t>
        </is>
      </c>
      <c r="D45" s="15" t="n">
        <v>48</v>
      </c>
      <c r="E45" s="15" t="n">
        <v>25000</v>
      </c>
      <c r="F45" s="15" t="inlineStr">
        <is>
          <t>袭击/伤害警务人员/警车/警犬</t>
        </is>
      </c>
      <c r="G45" s="15">
        <f>IF(SUMIFS('关键词表'!$C$2:$C$336,'关键词表'!$B$2:$B$336,$B45)&gt;0,1,0)</f>
        <v/>
      </c>
      <c r="H45" s="15">
        <f>IF(SUMIFS('关键词表'!$D$2:$D$336,'关键词表'!$B$2:$B$336,$B45)&gt;0,1,0)</f>
        <v/>
      </c>
      <c r="I45" s="15">
        <f>IF(SUMIFS('关键词表'!$E$2:$E$336,'关键词表'!$B$2:$B$336,$B45)&gt;0,1,0)</f>
        <v/>
      </c>
      <c r="J45" s="15">
        <f>IF($G45=1,IF($J44="",$B45,$J44&amp;"、"&amp;$B45),$J44)</f>
        <v/>
      </c>
      <c r="K45" s="15">
        <f>IF($H45=1,IF($K44="",$B45,$K44&amp;"、"&amp;$B45),$K44)</f>
        <v/>
      </c>
      <c r="L45" s="15">
        <f>IF($I45=1,IF($L44="",$B45,$L44&amp;"、"&amp;$B45),$L44)</f>
        <v/>
      </c>
    </row>
    <row r="46">
      <c r="A46" s="15" t="inlineStr">
        <is>
          <t>六·秩序</t>
        </is>
      </c>
      <c r="B46" s="16" t="inlineStr">
        <is>
          <t>扰乱治安罪</t>
        </is>
      </c>
      <c r="C46" s="17" t="inlineStr">
        <is>
          <t>轻罪</t>
        </is>
      </c>
      <c r="D46" s="15" t="n">
        <v>12</v>
      </c>
      <c r="E46" s="15" t="n">
        <v>5000</v>
      </c>
      <c r="F46" s="15" t="inlineStr">
        <is>
          <t>公共场所挑衅/扰乱/冒犯性言语</t>
        </is>
      </c>
      <c r="G46" s="15">
        <f>IF(SUMIFS('关键词表'!$C$2:$C$336,'关键词表'!$B$2:$B$336,$B46)&gt;0,1,0)</f>
        <v/>
      </c>
      <c r="H46" s="15">
        <f>IF(SUMIFS('关键词表'!$D$2:$D$336,'关键词表'!$B$2:$B$336,$B46)&gt;0,1,0)</f>
        <v/>
      </c>
      <c r="I46" s="15">
        <f>IF(SUMIFS('关键词表'!$E$2:$E$336,'关键词表'!$B$2:$B$336,$B46)&gt;0,1,0)</f>
        <v/>
      </c>
      <c r="J46" s="15">
        <f>IF($G46=1,IF($J45="",$B46,$J45&amp;"、"&amp;$B46),$J45)</f>
        <v/>
      </c>
      <c r="K46" s="15">
        <f>IF($H46=1,IF($K45="",$B46,$K45&amp;"、"&amp;$B46),$K45)</f>
        <v/>
      </c>
      <c r="L46" s="15">
        <f>IF($I46=1,IF($L45="",$B46,$L45&amp;"、"&amp;$B46),$L45)</f>
        <v/>
      </c>
    </row>
    <row r="47">
      <c r="A47" s="15" t="inlineStr">
        <is>
          <t>六·秩序</t>
        </is>
      </c>
      <c r="B47" s="16" t="inlineStr">
        <is>
          <t>非法集会罪</t>
        </is>
      </c>
      <c r="C47" s="17" t="inlineStr">
        <is>
          <t>轻罪</t>
        </is>
      </c>
      <c r="D47" s="15" t="n">
        <v>12</v>
      </c>
      <c r="E47" s="15" t="n">
        <v>20000</v>
      </c>
      <c r="F47" s="15" t="inlineStr">
        <is>
          <t>两人以上聚集引发骚乱/非法行动</t>
        </is>
      </c>
      <c r="G47" s="15">
        <f>IF(SUMIFS('关键词表'!$C$2:$C$336,'关键词表'!$B$2:$B$336,$B47)&gt;0,1,0)</f>
        <v/>
      </c>
      <c r="H47" s="15">
        <f>IF(SUMIFS('关键词表'!$D$2:$D$336,'关键词表'!$B$2:$B$336,$B47)&gt;0,1,0)</f>
        <v/>
      </c>
      <c r="I47" s="15">
        <f>IF(SUMIFS('关键词表'!$E$2:$E$336,'关键词表'!$B$2:$B$336,$B47)&gt;0,1,0)</f>
        <v/>
      </c>
      <c r="J47" s="15">
        <f>IF($G47=1,IF($J46="",$B47,$J46&amp;"、"&amp;$B47),$J46)</f>
        <v/>
      </c>
      <c r="K47" s="15">
        <f>IF($H47=1,IF($K46="",$B47,$K46&amp;"、"&amp;$B47),$K46)</f>
        <v/>
      </c>
      <c r="L47" s="15">
        <f>IF($I47=1,IF($L46="",$B47,$L46&amp;"、"&amp;$B47),$L46)</f>
        <v/>
      </c>
    </row>
    <row r="48">
      <c r="A48" s="15" t="inlineStr">
        <is>
          <t>六·秩序</t>
        </is>
      </c>
      <c r="B48" s="16" t="inlineStr">
        <is>
          <t>煽动暴乱罪</t>
        </is>
      </c>
      <c r="C48" s="18" t="inlineStr">
        <is>
          <t>重罪</t>
        </is>
      </c>
      <c r="D48" s="15" t="n">
        <v>48</v>
      </c>
      <c r="E48" s="15" t="n">
        <v>0</v>
      </c>
      <c r="F48" s="15" t="inlineStr">
        <is>
          <t>意图引起暴乱/鼓励他人暴力破坏(仅监禁)</t>
        </is>
      </c>
      <c r="G48" s="15">
        <f>IF(SUMIFS('关键词表'!$C$2:$C$336,'关键词表'!$B$2:$B$336,$B48)&gt;0,1,0)</f>
        <v/>
      </c>
      <c r="H48" s="15">
        <f>IF(SUMIFS('关键词表'!$D$2:$D$336,'关键词表'!$B$2:$B$336,$B48)&gt;0,1,0)</f>
        <v/>
      </c>
      <c r="I48" s="15">
        <f>IF(SUMIFS('关键词表'!$E$2:$E$336,'关键词表'!$B$2:$B$336,$B48)&gt;0,1,0)</f>
        <v/>
      </c>
      <c r="J48" s="15">
        <f>IF($G48=1,IF($J47="",$B48,$J47&amp;"、"&amp;$B48),$J47)</f>
        <v/>
      </c>
      <c r="K48" s="15">
        <f>IF($H48=1,IF($K47="",$B48,$K47&amp;"、"&amp;$B48),$K47)</f>
        <v/>
      </c>
      <c r="L48" s="15">
        <f>IF($I48=1,IF($L47="",$B48,$L47&amp;"、"&amp;$B48),$L47)</f>
        <v/>
      </c>
    </row>
    <row r="49">
      <c r="A49" s="15" t="inlineStr">
        <is>
          <t>六·秩序</t>
        </is>
      </c>
      <c r="B49" s="16" t="inlineStr">
        <is>
          <t>遮挡面部罪</t>
        </is>
      </c>
      <c r="C49" s="17" t="inlineStr">
        <is>
          <t>轻罪</t>
        </is>
      </c>
      <c r="D49" s="15" t="n">
        <v>24</v>
      </c>
      <c r="E49" s="15" t="n">
        <v>5000</v>
      </c>
      <c r="F49" s="15" t="inlineStr">
        <is>
          <t>遮面拒揭 / 犯罪过程中遮面(节庆等除外)</t>
        </is>
      </c>
      <c r="G49" s="15">
        <f>IF(SUMIFS('关键词表'!$C$2:$C$336,'关键词表'!$B$2:$B$336,$B49)&gt;0,1,0)</f>
        <v/>
      </c>
      <c r="H49" s="15">
        <f>IF(SUMIFS('关键词表'!$D$2:$D$336,'关键词表'!$B$2:$B$336,$B49)&gt;0,1,0)</f>
        <v/>
      </c>
      <c r="I49" s="15">
        <f>IF(SUMIFS('关键词表'!$E$2:$E$336,'关键词表'!$B$2:$B$336,$B49)&gt;0,1,0)</f>
        <v/>
      </c>
      <c r="J49" s="15">
        <f>IF($G49=1,IF($J48="",$B49,$J48&amp;"、"&amp;$B49),$J48)</f>
        <v/>
      </c>
      <c r="K49" s="15">
        <f>IF($H49=1,IF($K48="",$B49,$K48&amp;"、"&amp;$B49),$K48)</f>
        <v/>
      </c>
      <c r="L49" s="15">
        <f>IF($I49=1,IF($L48="",$B49,$L48&amp;"、"&amp;$B49),$L48)</f>
        <v/>
      </c>
    </row>
    <row r="50">
      <c r="A50" s="15" t="inlineStr">
        <is>
          <t>七·热武器</t>
        </is>
      </c>
      <c r="B50" s="16" t="inlineStr">
        <is>
          <t>非法持有热武器罪</t>
        </is>
      </c>
      <c r="C50" s="18" t="inlineStr">
        <is>
          <t>重罪</t>
        </is>
      </c>
      <c r="D50" s="15" t="n">
        <v>24</v>
      </c>
      <c r="E50" s="15" t="n">
        <v>15000</v>
      </c>
      <c r="F50" s="15" t="inlineStr">
        <is>
          <t>无证/非法持有枪支/爆炸物(执法公务除外)</t>
        </is>
      </c>
      <c r="G50" s="15">
        <f>IF(SUMIFS('关键词表'!$C$2:$C$336,'关键词表'!$B$2:$B$336,$B50)&gt;0,1,0)</f>
        <v/>
      </c>
      <c r="H50" s="15">
        <f>IF(SUMIFS('关键词表'!$D$2:$D$336,'关键词表'!$B$2:$B$336,$B50)&gt;0,1,0)</f>
        <v/>
      </c>
      <c r="I50" s="15">
        <f>IF(SUMIFS('关键词表'!$E$2:$E$336,'关键词表'!$B$2:$B$336,$B50)&gt;0,1,0)</f>
        <v/>
      </c>
      <c r="J50" s="15">
        <f>IF($G50=1,IF($J49="",$B50,$J49&amp;"、"&amp;$B50),$J49)</f>
        <v/>
      </c>
      <c r="K50" s="15">
        <f>IF($H50=1,IF($K49="",$B50,$K49&amp;"、"&amp;$B50),$K49)</f>
        <v/>
      </c>
      <c r="L50" s="15">
        <f>IF($I50=1,IF($L49="",$B50,$L49&amp;"、"&amp;$B50),$L49)</f>
        <v/>
      </c>
    </row>
    <row r="51">
      <c r="A51" s="15" t="inlineStr">
        <is>
          <t>七·热武器</t>
        </is>
      </c>
      <c r="B51" s="16" t="inlineStr">
        <is>
          <t>非法展示热武器罪</t>
        </is>
      </c>
      <c r="C51" s="17" t="inlineStr">
        <is>
          <t>轻罪</t>
        </is>
      </c>
      <c r="D51" s="15" t="n">
        <v>12</v>
      </c>
      <c r="E51" s="15" t="n">
        <v>8000</v>
      </c>
      <c r="F51" s="15" t="inlineStr">
        <is>
          <t>公共场所公开携带/挥舞展示武器</t>
        </is>
      </c>
      <c r="G51" s="15">
        <f>IF(SUMIFS('关键词表'!$C$2:$C$336,'关键词表'!$B$2:$B$336,$B51)&gt;0,1,0)</f>
        <v/>
      </c>
      <c r="H51" s="15">
        <f>IF(SUMIFS('关键词表'!$D$2:$D$336,'关键词表'!$B$2:$B$336,$B51)&gt;0,1,0)</f>
        <v/>
      </c>
      <c r="I51" s="15">
        <f>IF(SUMIFS('关键词表'!$E$2:$E$336,'关键词表'!$B$2:$B$336,$B51)&gt;0,1,0)</f>
        <v/>
      </c>
      <c r="J51" s="15">
        <f>IF($G51=1,IF($J50="",$B51,$J50&amp;"、"&amp;$B51),$J50)</f>
        <v/>
      </c>
      <c r="K51" s="15">
        <f>IF($H51=1,IF($K50="",$B51,$K50&amp;"、"&amp;$B51),$K50)</f>
        <v/>
      </c>
      <c r="L51" s="15">
        <f>IF($I51=1,IF($L50="",$B51,$L50&amp;"、"&amp;$B51),$L50)</f>
        <v/>
      </c>
    </row>
    <row r="52">
      <c r="A52" s="15" t="inlineStr">
        <is>
          <t>七·热武器</t>
        </is>
      </c>
      <c r="B52" s="16" t="inlineStr">
        <is>
          <t>非法使用热武器罪</t>
        </is>
      </c>
      <c r="C52" s="18" t="inlineStr">
        <is>
          <t>重罪</t>
        </is>
      </c>
      <c r="D52" s="15" t="n">
        <v>24</v>
      </c>
      <c r="E52" s="15" t="n">
        <v>15000</v>
      </c>
      <c r="F52" s="15" t="inlineStr">
        <is>
          <t>鲁莽/蓄意/威胁公共安全方式开枪</t>
        </is>
      </c>
      <c r="G52" s="15">
        <f>IF(SUMIFS('关键词表'!$C$2:$C$336,'关键词表'!$B$2:$B$336,$B52)&gt;0,1,0)</f>
        <v/>
      </c>
      <c r="H52" s="15">
        <f>IF(SUMIFS('关键词表'!$D$2:$D$336,'关键词表'!$B$2:$B$336,$B52)&gt;0,1,0)</f>
        <v/>
      </c>
      <c r="I52" s="15">
        <f>IF(SUMIFS('关键词表'!$E$2:$E$336,'关键词表'!$B$2:$B$336,$B52)&gt;0,1,0)</f>
        <v/>
      </c>
      <c r="J52" s="15">
        <f>IF($G52=1,IF($J51="",$B52,$J51&amp;"、"&amp;$B52),$J51)</f>
        <v/>
      </c>
      <c r="K52" s="15">
        <f>IF($H52=1,IF($K51="",$B52,$K51&amp;"、"&amp;$B52),$K51)</f>
        <v/>
      </c>
      <c r="L52" s="15">
        <f>IF($I52=1,IF($L51="",$B52,$L51&amp;"、"&amp;$B52),$L51)</f>
        <v/>
      </c>
    </row>
    <row r="53">
      <c r="A53" s="15" t="inlineStr">
        <is>
          <t>七·热武器</t>
        </is>
      </c>
      <c r="B53" s="16" t="inlineStr">
        <is>
          <t>非法贩卖武器罪</t>
        </is>
      </c>
      <c r="C53" s="18" t="inlineStr">
        <is>
          <t>重罪</t>
        </is>
      </c>
      <c r="D53" s="15" t="n">
        <v>48</v>
      </c>
      <c r="E53" s="15" t="n">
        <v>25000</v>
      </c>
      <c r="F53" s="15" t="inlineStr">
        <is>
          <t>贩卖/转让/出售非法或未认证武器</t>
        </is>
      </c>
      <c r="G53" s="15">
        <f>IF(SUMIFS('关键词表'!$C$2:$C$336,'关键词表'!$B$2:$B$336,$B53)&gt;0,1,0)</f>
        <v/>
      </c>
      <c r="H53" s="15">
        <f>IF(SUMIFS('关键词表'!$D$2:$D$336,'关键词表'!$B$2:$B$336,$B53)&gt;0,1,0)</f>
        <v/>
      </c>
      <c r="I53" s="15">
        <f>IF(SUMIFS('关键词表'!$E$2:$E$336,'关键词表'!$B$2:$B$336,$B53)&gt;0,1,0)</f>
        <v/>
      </c>
      <c r="J53" s="15">
        <f>IF($G53=1,IF($J52="",$B53,$J52&amp;"、"&amp;$B53),$J52)</f>
        <v/>
      </c>
      <c r="K53" s="15">
        <f>IF($H53=1,IF($K52="",$B53,$K52&amp;"、"&amp;$B53),$K52)</f>
        <v/>
      </c>
      <c r="L53" s="15">
        <f>IF($I53=1,IF($L52="",$B53,$L52&amp;"、"&amp;$B53),$L52)</f>
        <v/>
      </c>
    </row>
    <row r="54">
      <c r="A54" s="15" t="inlineStr">
        <is>
          <t>七·热武器</t>
        </is>
      </c>
      <c r="B54" s="16" t="inlineStr">
        <is>
          <t>走私罪</t>
        </is>
      </c>
      <c r="C54" s="18" t="inlineStr">
        <is>
          <t>重罪</t>
        </is>
      </c>
      <c r="D54" s="15" t="n">
        <v>48</v>
      </c>
      <c r="E54" s="15" t="n">
        <v>30000</v>
      </c>
      <c r="F54" s="15" t="inlineStr">
        <is>
          <t>非法运输/转让武器爆炸物 / 参与军火走私</t>
        </is>
      </c>
      <c r="G54" s="15">
        <f>IF(SUMIFS('关键词表'!$C$2:$C$336,'关键词表'!$B$2:$B$336,$B54)&gt;0,1,0)</f>
        <v/>
      </c>
      <c r="H54" s="15">
        <f>IF(SUMIFS('关键词表'!$D$2:$D$336,'关键词表'!$B$2:$B$336,$B54)&gt;0,1,0)</f>
        <v/>
      </c>
      <c r="I54" s="15">
        <f>IF(SUMIFS('关键词表'!$E$2:$E$336,'关键词表'!$B$2:$B$336,$B54)&gt;0,1,0)</f>
        <v/>
      </c>
      <c r="J54" s="15">
        <f>IF($G54=1,IF($J53="",$B54,$J53&amp;"、"&amp;$B54),$J53)</f>
        <v/>
      </c>
      <c r="K54" s="15">
        <f>IF($H54=1,IF($K53="",$B54,$K53&amp;"、"&amp;$B54),$K53)</f>
        <v/>
      </c>
      <c r="L54" s="15">
        <f>IF($I54=1,IF($L53="",$B54,$L53&amp;"、"&amp;$B54),$L53)</f>
        <v/>
      </c>
    </row>
    <row r="55">
      <c r="A55" s="15" t="inlineStr">
        <is>
          <t>十·公共安全</t>
        </is>
      </c>
      <c r="B55" s="16" t="inlineStr">
        <is>
          <t>非法持有管制物品罪</t>
        </is>
      </c>
      <c r="C55" s="18" t="inlineStr">
        <is>
          <t>重罪</t>
        </is>
      </c>
      <c r="D55" s="15" t="n">
        <v>48</v>
      </c>
      <c r="E55" s="15" t="n">
        <v>30000</v>
      </c>
      <c r="F55" s="15" t="inlineStr">
        <is>
          <t>默认毒品/非法枪支(重罪4年$30000); 工具/8cm刀具=轻罪1年$15000</t>
        </is>
      </c>
      <c r="G55" s="15">
        <f>IF(SUMIFS('关键词表'!$C$2:$C$336,'关键词表'!$B$2:$B$336,$B55)&gt;0,1,0)</f>
        <v/>
      </c>
      <c r="H55" s="15">
        <f>IF(SUMIFS('关键词表'!$D$2:$D$336,'关键词表'!$B$2:$B$336,$B55)&gt;0,1,0)</f>
        <v/>
      </c>
      <c r="I55" s="15">
        <f>IF(SUMIFS('关键词表'!$E$2:$E$336,'关键词表'!$B$2:$B$336,$B55)&gt;0,1,0)</f>
        <v/>
      </c>
      <c r="J55" s="15">
        <f>IF($G55=1,IF($J54="",$B55,$J54&amp;"、"&amp;$B55),$J54)</f>
        <v/>
      </c>
      <c r="K55" s="15">
        <f>IF($H55=1,IF($K54="",$B55,$K54&amp;"、"&amp;$B55),$K54)</f>
        <v/>
      </c>
      <c r="L55" s="15">
        <f>IF($I55=1,IF($L54="",$B55,$L54&amp;"、"&amp;$B55),$L54)</f>
        <v/>
      </c>
    </row>
    <row r="56">
      <c r="A56" s="15" t="inlineStr">
        <is>
          <t>十·公共安全</t>
        </is>
      </c>
      <c r="B56" s="16" t="inlineStr">
        <is>
          <t>非法持有大量管制物品罪</t>
        </is>
      </c>
      <c r="C56" s="18" t="inlineStr">
        <is>
          <t>重罪</t>
        </is>
      </c>
      <c r="D56" s="15" t="n">
        <v>36</v>
      </c>
      <c r="E56" s="15" t="n">
        <v>6000</v>
      </c>
      <c r="F56" s="15" t="inlineStr">
        <is>
          <t>按量: 10-50个=3年$6000; 51-200=2-4年$10000; 201-500=4-6年$15000; 501-999=6-10年$30000(可超5年)</t>
        </is>
      </c>
      <c r="G56" s="15">
        <f>IF(SUMIFS('关键词表'!$C$2:$C$336,'关键词表'!$B$2:$B$336,$B56)&gt;0,1,0)</f>
        <v/>
      </c>
      <c r="H56" s="15">
        <f>IF(SUMIFS('关键词表'!$D$2:$D$336,'关键词表'!$B$2:$B$336,$B56)&gt;0,1,0)</f>
        <v/>
      </c>
      <c r="I56" s="15">
        <f>IF(SUMIFS('关键词表'!$E$2:$E$336,'关键词表'!$B$2:$B$336,$B56)&gt;0,1,0)</f>
        <v/>
      </c>
      <c r="J56" s="15">
        <f>IF($G56=1,IF($J55="",$B56,$J55&amp;"、"&amp;$B56),$J55)</f>
        <v/>
      </c>
      <c r="K56" s="15">
        <f>IF($H56=1,IF($K55="",$B56,$K55&amp;"、"&amp;$B56),$K55)</f>
        <v/>
      </c>
      <c r="L56" s="15">
        <f>IF($I56=1,IF($L55="",$B56,$L55&amp;"、"&amp;$B56),$L55)</f>
        <v/>
      </c>
    </row>
    <row r="57">
      <c r="A57" s="15" t="inlineStr">
        <is>
          <t>十·公共安全</t>
        </is>
      </c>
      <c r="B57" s="16" t="inlineStr">
        <is>
          <t>非法经营和分发管制物品罪</t>
        </is>
      </c>
      <c r="C57" s="18" t="inlineStr">
        <is>
          <t>重罪</t>
        </is>
      </c>
      <c r="D57" s="15" t="n">
        <v>12</v>
      </c>
      <c r="E57" s="15" t="n">
        <v>5000</v>
      </c>
      <c r="F57" s="15" t="inlineStr">
        <is>
          <t>以出售/分发/储存为目的经营管制物品</t>
        </is>
      </c>
      <c r="G57" s="15">
        <f>IF(SUMIFS('关键词表'!$C$2:$C$336,'关键词表'!$B$2:$B$336,$B57)&gt;0,1,0)</f>
        <v/>
      </c>
      <c r="H57" s="15">
        <f>IF(SUMIFS('关键词表'!$D$2:$D$336,'关键词表'!$B$2:$B$336,$B57)&gt;0,1,0)</f>
        <v/>
      </c>
      <c r="I57" s="15">
        <f>IF(SUMIFS('关键词表'!$E$2:$E$336,'关键词表'!$B$2:$B$336,$B57)&gt;0,1,0)</f>
        <v/>
      </c>
      <c r="J57" s="15">
        <f>IF($G57=1,IF($J56="",$B57,$J56&amp;"、"&amp;$B57),$J56)</f>
        <v/>
      </c>
      <c r="K57" s="15">
        <f>IF($H57=1,IF($K56="",$B57,$K56&amp;"、"&amp;$B57),$K56)</f>
        <v/>
      </c>
      <c r="L57" s="15">
        <f>IF($I57=1,IF($L56="",$B57,$L56&amp;"、"&amp;$B57),$L56)</f>
        <v/>
      </c>
    </row>
    <row r="58">
      <c r="A58" s="15" t="inlineStr">
        <is>
          <t>十·公共安全</t>
        </is>
      </c>
      <c r="B58" s="16" t="inlineStr">
        <is>
          <t>非法制造管制物品罪</t>
        </is>
      </c>
      <c r="C58" s="18" t="inlineStr">
        <is>
          <t>重罪</t>
        </is>
      </c>
      <c r="D58" s="15" t="n">
        <v>24</v>
      </c>
      <c r="E58" s="15" t="n">
        <v>8000</v>
      </c>
      <c r="F58" s="15" t="inlineStr">
        <is>
          <t>生产/制造处方药/大麻等管制物品</t>
        </is>
      </c>
      <c r="G58" s="15">
        <f>IF(SUMIFS('关键词表'!$C$2:$C$336,'关键词表'!$B$2:$B$336,$B58)&gt;0,1,0)</f>
        <v/>
      </c>
      <c r="H58" s="15">
        <f>IF(SUMIFS('关键词表'!$D$2:$D$336,'关键词表'!$B$2:$B$336,$B58)&gt;0,1,0)</f>
        <v/>
      </c>
      <c r="I58" s="15">
        <f>IF(SUMIFS('关键词表'!$E$2:$E$336,'关键词表'!$B$2:$B$336,$B58)&gt;0,1,0)</f>
        <v/>
      </c>
      <c r="J58" s="15">
        <f>IF($G58=1,IF($J57="",$B58,$J57&amp;"、"&amp;$B58),$J57)</f>
        <v/>
      </c>
      <c r="K58" s="15">
        <f>IF($H58=1,IF($K57="",$B58,$K57&amp;"、"&amp;$B58),$K57)</f>
        <v/>
      </c>
      <c r="L58" s="15">
        <f>IF($I58=1,IF($L57="",$B58,$L57&amp;"、"&amp;$B58),$L57)</f>
        <v/>
      </c>
    </row>
    <row r="59">
      <c r="A59" s="15" t="inlineStr">
        <is>
          <t>十·公共安全</t>
        </is>
      </c>
      <c r="B59" s="16" t="inlineStr">
        <is>
          <t>非法贩卖管制物品罪</t>
        </is>
      </c>
      <c r="C59" s="18" t="inlineStr">
        <is>
          <t>重罪</t>
        </is>
      </c>
      <c r="D59" s="15" t="n">
        <v>36</v>
      </c>
      <c r="E59" s="15" t="n">
        <v>10000</v>
      </c>
      <c r="F59" s="15" t="inlineStr">
        <is>
          <t>非法出售/赠送/运输管制物品给他人</t>
        </is>
      </c>
      <c r="G59" s="15">
        <f>IF(SUMIFS('关键词表'!$C$2:$C$336,'关键词表'!$B$2:$B$336,$B59)&gt;0,1,0)</f>
        <v/>
      </c>
      <c r="H59" s="15">
        <f>IF(SUMIFS('关键词表'!$D$2:$D$336,'关键词表'!$B$2:$B$336,$B59)&gt;0,1,0)</f>
        <v/>
      </c>
      <c r="I59" s="15">
        <f>IF(SUMIFS('关键词表'!$E$2:$E$336,'关键词表'!$B$2:$B$336,$B59)&gt;0,1,0)</f>
        <v/>
      </c>
      <c r="J59" s="15">
        <f>IF($G59=1,IF($J58="",$B59,$J58&amp;"、"&amp;$B59),$J58)</f>
        <v/>
      </c>
      <c r="K59" s="15">
        <f>IF($H59=1,IF($K58="",$B59,$K58&amp;"、"&amp;$B59),$K58)</f>
        <v/>
      </c>
      <c r="L59" s="15">
        <f>IF($I59=1,IF($L58="",$B59,$L58&amp;"、"&amp;$B59),$L58)</f>
        <v/>
      </c>
    </row>
    <row r="60">
      <c r="A60" s="15" t="inlineStr">
        <is>
          <t>十一·其他</t>
        </is>
      </c>
      <c r="B60" s="16" t="inlineStr">
        <is>
          <t>有组织犯罪</t>
        </is>
      </c>
      <c r="C60" s="18" t="inlineStr">
        <is>
          <t>重罪</t>
        </is>
      </c>
      <c r="D60" s="15" t="n">
        <v>24</v>
      </c>
      <c r="E60" s="15" t="n">
        <v>10000</v>
      </c>
      <c r="F60" s="15" t="inlineStr">
        <is>
          <t>团体以牟利为目的实施违法犯罪(逮捕须先取逮捕令)</t>
        </is>
      </c>
      <c r="G60" s="15">
        <f>IF(SUMIFS('关键词表'!$C$2:$C$336,'关键词表'!$B$2:$B$336,$B60)&gt;0,1,0)</f>
        <v/>
      </c>
      <c r="H60" s="15">
        <f>IF(SUMIFS('关键词表'!$D$2:$D$336,'关键词表'!$B$2:$B$336,$B60)&gt;0,1,0)</f>
        <v/>
      </c>
      <c r="I60" s="15">
        <f>IF(SUMIFS('关键词表'!$E$2:$E$336,'关键词表'!$B$2:$B$336,$B60)&gt;0,1,0)</f>
        <v/>
      </c>
      <c r="J60" s="15">
        <f>IF($G60=1,IF($J59="",$B60,$J59&amp;"、"&amp;$B60),$J59)</f>
        <v/>
      </c>
      <c r="K60" s="15">
        <f>IF($H60=1,IF($K59="",$B60,$K59&amp;"、"&amp;$B60),$K59)</f>
        <v/>
      </c>
      <c r="L60" s="15">
        <f>IF($I60=1,IF($L59="",$B60,$L59&amp;"、"&amp;$B60),$L59)</f>
        <v/>
      </c>
    </row>
    <row r="61">
      <c r="A61" s="15" t="inlineStr">
        <is>
          <t>十一·其他</t>
        </is>
      </c>
      <c r="B61" s="16" t="inlineStr">
        <is>
          <t>洗钱罪</t>
        </is>
      </c>
      <c r="C61" s="18" t="inlineStr">
        <is>
          <t>重罪</t>
        </is>
      </c>
      <c r="D61" s="15" t="n">
        <v>48</v>
      </c>
      <c r="E61" s="15" t="n">
        <v>30000</v>
      </c>
      <c r="F61" s="15" t="inlineStr">
        <is>
          <t>持有/隐藏/转移违法所得 / 协助洗钱</t>
        </is>
      </c>
      <c r="G61" s="15">
        <f>IF(SUMIFS('关键词表'!$C$2:$C$336,'关键词表'!$B$2:$B$336,$B61)&gt;0,1,0)</f>
        <v/>
      </c>
      <c r="H61" s="15">
        <f>IF(SUMIFS('关键词表'!$D$2:$D$336,'关键词表'!$B$2:$B$336,$B61)&gt;0,1,0)</f>
        <v/>
      </c>
      <c r="I61" s="15">
        <f>IF(SUMIFS('关键词表'!$E$2:$E$336,'关键词表'!$B$2:$B$336,$B61)&gt;0,1,0)</f>
        <v/>
      </c>
      <c r="J61" s="15">
        <f>IF($G61=1,IF($J60="",$B61,$J60&amp;"、"&amp;$B61),$J60)</f>
        <v/>
      </c>
      <c r="K61" s="15">
        <f>IF($H61=1,IF($K60="",$B61,$K60&amp;"、"&amp;$B61),$K60)</f>
        <v/>
      </c>
      <c r="L61" s="15">
        <f>IF($I61=1,IF($L60="",$B61,$L60&amp;"、"&amp;$B61),$L60)</f>
        <v/>
      </c>
    </row>
    <row r="62">
      <c r="A62" s="15" t="inlineStr">
        <is>
          <t>十一·其他</t>
        </is>
      </c>
      <c r="B62" s="16" t="inlineStr">
        <is>
          <t>身份盗用罪</t>
        </is>
      </c>
      <c r="C62" s="17" t="inlineStr">
        <is>
          <t>轻罪</t>
        </is>
      </c>
      <c r="D62" s="15" t="n">
        <v>12</v>
      </c>
      <c r="E62" s="15" t="n">
        <v>8000</v>
      </c>
      <c r="F62" s="15" t="inlineStr">
        <is>
          <t>未经许可盗取/使用他人个人信息, 另需赔偿</t>
        </is>
      </c>
      <c r="G62" s="15">
        <f>IF(SUMIFS('关键词表'!$C$2:$C$336,'关键词表'!$B$2:$B$336,$B62)&gt;0,1,0)</f>
        <v/>
      </c>
      <c r="H62" s="15">
        <f>IF(SUMIFS('关键词表'!$D$2:$D$336,'关键词表'!$B$2:$B$336,$B62)&gt;0,1,0)</f>
        <v/>
      </c>
      <c r="I62" s="15">
        <f>IF(SUMIFS('关键词表'!$E$2:$E$336,'关键词表'!$B$2:$B$336,$B62)&gt;0,1,0)</f>
        <v/>
      </c>
      <c r="J62" s="15">
        <f>IF($G62=1,IF($J61="",$B62,$J61&amp;"、"&amp;$B62),$J61)</f>
        <v/>
      </c>
      <c r="K62" s="15">
        <f>IF($H62=1,IF($K61="",$B62,$K61&amp;"、"&amp;$B62),$K61)</f>
        <v/>
      </c>
      <c r="L62" s="15">
        <f>IF($I62=1,IF($L61="",$B62,$L61&amp;"、"&amp;$B62),$L61)</f>
        <v/>
      </c>
    </row>
  </sheetData>
  <conditionalFormatting sqref="A2:F62">
    <cfRule type="expression" priority="1" dxfId="0">
      <formula>$G2=1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8" customWidth="1" min="3" max="3"/>
    <col width="8" customWidth="1" min="4" max="4"/>
    <col width="8" customWidth="1" min="5" max="5"/>
  </cols>
  <sheetData>
    <row r="1">
      <c r="A1" s="6" t="inlineStr">
        <is>
          <t>关键词</t>
        </is>
      </c>
      <c r="B1" s="6" t="inlineStr">
        <is>
          <t>对应罪名</t>
        </is>
      </c>
      <c r="C1" s="6" t="inlineStr">
        <is>
          <t>甲出现</t>
        </is>
      </c>
      <c r="D1" s="6" t="inlineStr">
        <is>
          <t>乙出现</t>
        </is>
      </c>
      <c r="E1" s="6" t="inlineStr">
        <is>
          <t>丙出现</t>
        </is>
      </c>
    </row>
    <row r="2">
      <c r="A2" t="inlineStr">
        <is>
          <t>威胁</t>
        </is>
      </c>
      <c r="B2" t="inlineStr">
        <is>
          <t>威胁罪</t>
        </is>
      </c>
      <c r="C2">
        <f>IF(AND($A2&lt;&gt;"",'算罪台'!$B$4&lt;&gt;"",ISNUMBER(SEARCH($A2,'算罪台'!$B$4))),1,0)</f>
        <v/>
      </c>
      <c r="D2">
        <f>IF(AND($A2&lt;&gt;"",'算罪台'!$B$5&lt;&gt;"",ISNUMBER(SEARCH($A2,'算罪台'!$B$5))),1,0)</f>
        <v/>
      </c>
      <c r="E2">
        <f>IF(AND($A2&lt;&gt;"",'算罪台'!$B$6&lt;&gt;"",ISNUMBER(SEARCH($A2,'算罪台'!$B$6))),1,0)</f>
        <v/>
      </c>
    </row>
    <row r="3">
      <c r="A3" t="inlineStr">
        <is>
          <t>恐吓</t>
        </is>
      </c>
      <c r="B3" t="inlineStr">
        <is>
          <t>威胁罪</t>
        </is>
      </c>
      <c r="C3">
        <f>IF(AND($A3&lt;&gt;"",'算罪台'!$B$4&lt;&gt;"",ISNUMBER(SEARCH($A3,'算罪台'!$B$4))),1,0)</f>
        <v/>
      </c>
      <c r="D3">
        <f>IF(AND($A3&lt;&gt;"",'算罪台'!$B$5&lt;&gt;"",ISNUMBER(SEARCH($A3,'算罪台'!$B$5))),1,0)</f>
        <v/>
      </c>
      <c r="E3">
        <f>IF(AND($A3&lt;&gt;"",'算罪台'!$B$6&lt;&gt;"",ISNUMBER(SEARCH($A3,'算罪台'!$B$6))),1,0)</f>
        <v/>
      </c>
    </row>
    <row r="4">
      <c r="A4" t="inlineStr">
        <is>
          <t>口头威胁</t>
        </is>
      </c>
      <c r="B4" t="inlineStr">
        <is>
          <t>威胁罪</t>
        </is>
      </c>
      <c r="C4">
        <f>IF(AND($A4&lt;&gt;"",'算罪台'!$B$4&lt;&gt;"",ISNUMBER(SEARCH($A4,'算罪台'!$B$4))),1,0)</f>
        <v/>
      </c>
      <c r="D4">
        <f>IF(AND($A4&lt;&gt;"",'算罪台'!$B$5&lt;&gt;"",ISNUMBER(SEARCH($A4,'算罪台'!$B$5))),1,0)</f>
        <v/>
      </c>
      <c r="E4">
        <f>IF(AND($A4&lt;&gt;"",'算罪台'!$B$6&lt;&gt;"",ISNUMBER(SEARCH($A4,'算罪台'!$B$6))),1,0)</f>
        <v/>
      </c>
    </row>
    <row r="5">
      <c r="A5" t="inlineStr">
        <is>
          <t>书面威胁</t>
        </is>
      </c>
      <c r="B5" t="inlineStr">
        <is>
          <t>威胁罪</t>
        </is>
      </c>
      <c r="C5">
        <f>IF(AND($A5&lt;&gt;"",'算罪台'!$B$4&lt;&gt;"",ISNUMBER(SEARCH($A5,'算罪台'!$B$4))),1,0)</f>
        <v/>
      </c>
      <c r="D5">
        <f>IF(AND($A5&lt;&gt;"",'算罪台'!$B$5&lt;&gt;"",ISNUMBER(SEARCH($A5,'算罪台'!$B$5))),1,0)</f>
        <v/>
      </c>
      <c r="E5">
        <f>IF(AND($A5&lt;&gt;"",'算罪台'!$B$6&lt;&gt;"",ISNUMBER(SEARCH($A5,'算罪台'!$B$6))),1,0)</f>
        <v/>
      </c>
    </row>
    <row r="6">
      <c r="A6" t="inlineStr">
        <is>
          <t>扬言</t>
        </is>
      </c>
      <c r="B6" t="inlineStr">
        <is>
          <t>威胁罪</t>
        </is>
      </c>
      <c r="C6">
        <f>IF(AND($A6&lt;&gt;"",'算罪台'!$B$4&lt;&gt;"",ISNUMBER(SEARCH($A6,'算罪台'!$B$4))),1,0)</f>
        <v/>
      </c>
      <c r="D6">
        <f>IF(AND($A6&lt;&gt;"",'算罪台'!$B$5&lt;&gt;"",ISNUMBER(SEARCH($A6,'算罪台'!$B$5))),1,0)</f>
        <v/>
      </c>
      <c r="E6">
        <f>IF(AND($A6&lt;&gt;"",'算罪台'!$B$6&lt;&gt;"",ISNUMBER(SEARCH($A6,'算罪台'!$B$6))),1,0)</f>
        <v/>
      </c>
    </row>
    <row r="7">
      <c r="A7" t="inlineStr">
        <is>
          <t>制造恐慌</t>
        </is>
      </c>
      <c r="B7" t="inlineStr">
        <is>
          <t>威胁罪</t>
        </is>
      </c>
      <c r="C7">
        <f>IF(AND($A7&lt;&gt;"",'算罪台'!$B$4&lt;&gt;"",ISNUMBER(SEARCH($A7,'算罪台'!$B$4))),1,0)</f>
        <v/>
      </c>
      <c r="D7">
        <f>IF(AND($A7&lt;&gt;"",'算罪台'!$B$5&lt;&gt;"",ISNUMBER(SEARCH($A7,'算罪台'!$B$5))),1,0)</f>
        <v/>
      </c>
      <c r="E7">
        <f>IF(AND($A7&lt;&gt;"",'算罪台'!$B$6&lt;&gt;"",ISNUMBER(SEARCH($A7,'算罪台'!$B$6))),1,0)</f>
        <v/>
      </c>
    </row>
    <row r="8">
      <c r="A8" t="inlineStr">
        <is>
          <t>持械攻击</t>
        </is>
      </c>
      <c r="B8" t="inlineStr">
        <is>
          <t>持有危险武器人身攻击罪</t>
        </is>
      </c>
      <c r="C8">
        <f>IF(AND($A8&lt;&gt;"",'算罪台'!$B$4&lt;&gt;"",ISNUMBER(SEARCH($A8,'算罪台'!$B$4))),1,0)</f>
        <v/>
      </c>
      <c r="D8">
        <f>IF(AND($A8&lt;&gt;"",'算罪台'!$B$5&lt;&gt;"",ISNUMBER(SEARCH($A8,'算罪台'!$B$5))),1,0)</f>
        <v/>
      </c>
      <c r="E8">
        <f>IF(AND($A8&lt;&gt;"",'算罪台'!$B$6&lt;&gt;"",ISNUMBER(SEARCH($A8,'算罪台'!$B$6))),1,0)</f>
        <v/>
      </c>
    </row>
    <row r="9">
      <c r="A9" t="inlineStr">
        <is>
          <t>持刀攻击</t>
        </is>
      </c>
      <c r="B9" t="inlineStr">
        <is>
          <t>持有危险武器人身攻击罪</t>
        </is>
      </c>
      <c r="C9">
        <f>IF(AND($A9&lt;&gt;"",'算罪台'!$B$4&lt;&gt;"",ISNUMBER(SEARCH($A9,'算罪台'!$B$4))),1,0)</f>
        <v/>
      </c>
      <c r="D9">
        <f>IF(AND($A9&lt;&gt;"",'算罪台'!$B$5&lt;&gt;"",ISNUMBER(SEARCH($A9,'算罪台'!$B$5))),1,0)</f>
        <v/>
      </c>
      <c r="E9">
        <f>IF(AND($A9&lt;&gt;"",'算罪台'!$B$6&lt;&gt;"",ISNUMBER(SEARCH($A9,'算罪台'!$B$6))),1,0)</f>
        <v/>
      </c>
    </row>
    <row r="10">
      <c r="A10" t="inlineStr">
        <is>
          <t>持武器攻击</t>
        </is>
      </c>
      <c r="B10" t="inlineStr">
        <is>
          <t>持有危险武器人身攻击罪</t>
        </is>
      </c>
      <c r="C10">
        <f>IF(AND($A10&lt;&gt;"",'算罪台'!$B$4&lt;&gt;"",ISNUMBER(SEARCH($A10,'算罪台'!$B$4))),1,0)</f>
        <v/>
      </c>
      <c r="D10">
        <f>IF(AND($A10&lt;&gt;"",'算罪台'!$B$5&lt;&gt;"",ISNUMBER(SEARCH($A10,'算罪台'!$B$5))),1,0)</f>
        <v/>
      </c>
      <c r="E10">
        <f>IF(AND($A10&lt;&gt;"",'算罪台'!$B$6&lt;&gt;"",ISNUMBER(SEARCH($A10,'算罪台'!$B$6))),1,0)</f>
        <v/>
      </c>
    </row>
    <row r="11">
      <c r="A11" t="inlineStr">
        <is>
          <t>持械伤人</t>
        </is>
      </c>
      <c r="B11" t="inlineStr">
        <is>
          <t>持有危险武器人身攻击罪</t>
        </is>
      </c>
      <c r="C11">
        <f>IF(AND($A11&lt;&gt;"",'算罪台'!$B$4&lt;&gt;"",ISNUMBER(SEARCH($A11,'算罪台'!$B$4))),1,0)</f>
        <v/>
      </c>
      <c r="D11">
        <f>IF(AND($A11&lt;&gt;"",'算罪台'!$B$5&lt;&gt;"",ISNUMBER(SEARCH($A11,'算罪台'!$B$5))),1,0)</f>
        <v/>
      </c>
      <c r="E11">
        <f>IF(AND($A11&lt;&gt;"",'算罪台'!$B$6&lt;&gt;"",ISNUMBER(SEARCH($A11,'算罪台'!$B$6))),1,0)</f>
        <v/>
      </c>
    </row>
    <row r="12">
      <c r="A12" t="inlineStr">
        <is>
          <t>用刀砍</t>
        </is>
      </c>
      <c r="B12" t="inlineStr">
        <is>
          <t>持有危险武器人身攻击罪</t>
        </is>
      </c>
      <c r="C12">
        <f>IF(AND($A12&lt;&gt;"",'算罪台'!$B$4&lt;&gt;"",ISNUMBER(SEARCH($A12,'算罪台'!$B$4))),1,0)</f>
        <v/>
      </c>
      <c r="D12">
        <f>IF(AND($A12&lt;&gt;"",'算罪台'!$B$5&lt;&gt;"",ISNUMBER(SEARCH($A12,'算罪台'!$B$5))),1,0)</f>
        <v/>
      </c>
      <c r="E12">
        <f>IF(AND($A12&lt;&gt;"",'算罪台'!$B$6&lt;&gt;"",ISNUMBER(SEARCH($A12,'算罪台'!$B$6))),1,0)</f>
        <v/>
      </c>
    </row>
    <row r="13">
      <c r="A13" t="inlineStr">
        <is>
          <t>用刀捅</t>
        </is>
      </c>
      <c r="B13" t="inlineStr">
        <is>
          <t>持有危险武器人身攻击罪</t>
        </is>
      </c>
      <c r="C13">
        <f>IF(AND($A13&lt;&gt;"",'算罪台'!$B$4&lt;&gt;"",ISNUMBER(SEARCH($A13,'算罪台'!$B$4))),1,0)</f>
        <v/>
      </c>
      <c r="D13">
        <f>IF(AND($A13&lt;&gt;"",'算罪台'!$B$5&lt;&gt;"",ISNUMBER(SEARCH($A13,'算罪台'!$B$5))),1,0)</f>
        <v/>
      </c>
      <c r="E13">
        <f>IF(AND($A13&lt;&gt;"",'算罪台'!$B$6&lt;&gt;"",ISNUMBER(SEARCH($A13,'算罪台'!$B$6))),1,0)</f>
        <v/>
      </c>
    </row>
    <row r="14">
      <c r="A14" t="inlineStr">
        <is>
          <t>拿刀</t>
        </is>
      </c>
      <c r="B14" t="inlineStr">
        <is>
          <t>持有危险武器人身攻击罪</t>
        </is>
      </c>
      <c r="C14">
        <f>IF(AND($A14&lt;&gt;"",'算罪台'!$B$4&lt;&gt;"",ISNUMBER(SEARCH($A14,'算罪台'!$B$4))),1,0)</f>
        <v/>
      </c>
      <c r="D14">
        <f>IF(AND($A14&lt;&gt;"",'算罪台'!$B$5&lt;&gt;"",ISNUMBER(SEARCH($A14,'算罪台'!$B$5))),1,0)</f>
        <v/>
      </c>
      <c r="E14">
        <f>IF(AND($A14&lt;&gt;"",'算罪台'!$B$6&lt;&gt;"",ISNUMBER(SEARCH($A14,'算罪台'!$B$6))),1,0)</f>
        <v/>
      </c>
    </row>
    <row r="15">
      <c r="A15" t="inlineStr">
        <is>
          <t>致命武器</t>
        </is>
      </c>
      <c r="B15" t="inlineStr">
        <is>
          <t>持有危险武器人身攻击罪</t>
        </is>
      </c>
      <c r="C15">
        <f>IF(AND($A15&lt;&gt;"",'算罪台'!$B$4&lt;&gt;"",ISNUMBER(SEARCH($A15,'算罪台'!$B$4))),1,0)</f>
        <v/>
      </c>
      <c r="D15">
        <f>IF(AND($A15&lt;&gt;"",'算罪台'!$B$5&lt;&gt;"",ISNUMBER(SEARCH($A15,'算罪台'!$B$5))),1,0)</f>
        <v/>
      </c>
      <c r="E15">
        <f>IF(AND($A15&lt;&gt;"",'算罪台'!$B$6&lt;&gt;"",ISNUMBER(SEARCH($A15,'算罪台'!$B$6))),1,0)</f>
        <v/>
      </c>
    </row>
    <row r="16">
      <c r="A16" t="inlineStr">
        <is>
          <t>用武器打</t>
        </is>
      </c>
      <c r="B16" t="inlineStr">
        <is>
          <t>持有危险武器人身攻击罪</t>
        </is>
      </c>
      <c r="C16">
        <f>IF(AND($A16&lt;&gt;"",'算罪台'!$B$4&lt;&gt;"",ISNUMBER(SEARCH($A16,'算罪台'!$B$4))),1,0)</f>
        <v/>
      </c>
      <c r="D16">
        <f>IF(AND($A16&lt;&gt;"",'算罪台'!$B$5&lt;&gt;"",ISNUMBER(SEARCH($A16,'算罪台'!$B$5))),1,0)</f>
        <v/>
      </c>
      <c r="E16">
        <f>IF(AND($A16&lt;&gt;"",'算罪台'!$B$6&lt;&gt;"",ISNUMBER(SEARCH($A16,'算罪台'!$B$6))),1,0)</f>
        <v/>
      </c>
    </row>
    <row r="17">
      <c r="A17" t="inlineStr">
        <is>
          <t>一级谋杀</t>
        </is>
      </c>
      <c r="B17" t="inlineStr">
        <is>
          <t>一级谋杀罪</t>
        </is>
      </c>
      <c r="C17">
        <f>IF(AND($A17&lt;&gt;"",'算罪台'!$B$4&lt;&gt;"",ISNUMBER(SEARCH($A17,'算罪台'!$B$4))),1,0)</f>
        <v/>
      </c>
      <c r="D17">
        <f>IF(AND($A17&lt;&gt;"",'算罪台'!$B$5&lt;&gt;"",ISNUMBER(SEARCH($A17,'算罪台'!$B$5))),1,0)</f>
        <v/>
      </c>
      <c r="E17">
        <f>IF(AND($A17&lt;&gt;"",'算罪台'!$B$6&lt;&gt;"",ISNUMBER(SEARCH($A17,'算罪台'!$B$6))),1,0)</f>
        <v/>
      </c>
    </row>
    <row r="18">
      <c r="A18" t="inlineStr">
        <is>
          <t>预谋杀人</t>
        </is>
      </c>
      <c r="B18" t="inlineStr">
        <is>
          <t>一级谋杀罪</t>
        </is>
      </c>
      <c r="C18">
        <f>IF(AND($A18&lt;&gt;"",'算罪台'!$B$4&lt;&gt;"",ISNUMBER(SEARCH($A18,'算罪台'!$B$4))),1,0)</f>
        <v/>
      </c>
      <c r="D18">
        <f>IF(AND($A18&lt;&gt;"",'算罪台'!$B$5&lt;&gt;"",ISNUMBER(SEARCH($A18,'算罪台'!$B$5))),1,0)</f>
        <v/>
      </c>
      <c r="E18">
        <f>IF(AND($A18&lt;&gt;"",'算罪台'!$B$6&lt;&gt;"",ISNUMBER(SEARCH($A18,'算罪台'!$B$6))),1,0)</f>
        <v/>
      </c>
    </row>
    <row r="19">
      <c r="A19" t="inlineStr">
        <is>
          <t>谋杀</t>
        </is>
      </c>
      <c r="B19" t="inlineStr">
        <is>
          <t>一级谋杀罪</t>
        </is>
      </c>
      <c r="C19">
        <f>IF(AND($A19&lt;&gt;"",'算罪台'!$B$4&lt;&gt;"",ISNUMBER(SEARCH($A19,'算罪台'!$B$4))),1,0)</f>
        <v/>
      </c>
      <c r="D19">
        <f>IF(AND($A19&lt;&gt;"",'算罪台'!$B$5&lt;&gt;"",ISNUMBER(SEARCH($A19,'算罪台'!$B$5))),1,0)</f>
        <v/>
      </c>
      <c r="E19">
        <f>IF(AND($A19&lt;&gt;"",'算罪台'!$B$6&lt;&gt;"",ISNUMBER(SEARCH($A19,'算罪台'!$B$6))),1,0)</f>
        <v/>
      </c>
    </row>
    <row r="20">
      <c r="A20" t="inlineStr">
        <is>
          <t>蓄意杀人</t>
        </is>
      </c>
      <c r="B20" t="inlineStr">
        <is>
          <t>一级谋杀罪</t>
        </is>
      </c>
      <c r="C20">
        <f>IF(AND($A20&lt;&gt;"",'算罪台'!$B$4&lt;&gt;"",ISNUMBER(SEARCH($A20,'算罪台'!$B$4))),1,0)</f>
        <v/>
      </c>
      <c r="D20">
        <f>IF(AND($A20&lt;&gt;"",'算罪台'!$B$5&lt;&gt;"",ISNUMBER(SEARCH($A20,'算罪台'!$B$5))),1,0)</f>
        <v/>
      </c>
      <c r="E20">
        <f>IF(AND($A20&lt;&gt;"",'算罪台'!$B$6&lt;&gt;"",ISNUMBER(SEARCH($A20,'算罪台'!$B$6))),1,0)</f>
        <v/>
      </c>
    </row>
    <row r="21">
      <c r="A21" t="inlineStr">
        <is>
          <t>二级谋杀</t>
        </is>
      </c>
      <c r="B21" t="inlineStr">
        <is>
          <t>二级谋杀罪</t>
        </is>
      </c>
      <c r="C21">
        <f>IF(AND($A21&lt;&gt;"",'算罪台'!$B$4&lt;&gt;"",ISNUMBER(SEARCH($A21,'算罪台'!$B$4))),1,0)</f>
        <v/>
      </c>
      <c r="D21">
        <f>IF(AND($A21&lt;&gt;"",'算罪台'!$B$5&lt;&gt;"",ISNUMBER(SEARCH($A21,'算罪台'!$B$5))),1,0)</f>
        <v/>
      </c>
      <c r="E21">
        <f>IF(AND($A21&lt;&gt;"",'算罪台'!$B$6&lt;&gt;"",ISNUMBER(SEARCH($A21,'算罪台'!$B$6))),1,0)</f>
        <v/>
      </c>
    </row>
    <row r="22">
      <c r="A22" t="inlineStr">
        <is>
          <t>故意杀人</t>
        </is>
      </c>
      <c r="B22" t="inlineStr">
        <is>
          <t>二级谋杀罪</t>
        </is>
      </c>
      <c r="C22">
        <f>IF(AND($A22&lt;&gt;"",'算罪台'!$B$4&lt;&gt;"",ISNUMBER(SEARCH($A22,'算罪台'!$B$4))),1,0)</f>
        <v/>
      </c>
      <c r="D22">
        <f>IF(AND($A22&lt;&gt;"",'算罪台'!$B$5&lt;&gt;"",ISNUMBER(SEARCH($A22,'算罪台'!$B$5))),1,0)</f>
        <v/>
      </c>
      <c r="E22">
        <f>IF(AND($A22&lt;&gt;"",'算罪台'!$B$6&lt;&gt;"",ISNUMBER(SEARCH($A22,'算罪台'!$B$6))),1,0)</f>
        <v/>
      </c>
    </row>
    <row r="23">
      <c r="A23" t="inlineStr">
        <is>
          <t>杀人</t>
        </is>
      </c>
      <c r="B23" t="inlineStr">
        <is>
          <t>二级谋杀罪</t>
        </is>
      </c>
      <c r="C23">
        <f>IF(AND($A23&lt;&gt;"",'算罪台'!$B$4&lt;&gt;"",ISNUMBER(SEARCH($A23,'算罪台'!$B$4))),1,0)</f>
        <v/>
      </c>
      <c r="D23">
        <f>IF(AND($A23&lt;&gt;"",'算罪台'!$B$5&lt;&gt;"",ISNUMBER(SEARCH($A23,'算罪台'!$B$5))),1,0)</f>
        <v/>
      </c>
      <c r="E23">
        <f>IF(AND($A23&lt;&gt;"",'算罪台'!$B$6&lt;&gt;"",ISNUMBER(SEARCH($A23,'算罪台'!$B$6))),1,0)</f>
        <v/>
      </c>
    </row>
    <row r="24">
      <c r="A24" t="inlineStr">
        <is>
          <t>打死</t>
        </is>
      </c>
      <c r="B24" t="inlineStr">
        <is>
          <t>二级谋杀罪</t>
        </is>
      </c>
      <c r="C24">
        <f>IF(AND($A24&lt;&gt;"",'算罪台'!$B$4&lt;&gt;"",ISNUMBER(SEARCH($A24,'算罪台'!$B$4))),1,0)</f>
        <v/>
      </c>
      <c r="D24">
        <f>IF(AND($A24&lt;&gt;"",'算罪台'!$B$5&lt;&gt;"",ISNUMBER(SEARCH($A24,'算罪台'!$B$5))),1,0)</f>
        <v/>
      </c>
      <c r="E24">
        <f>IF(AND($A24&lt;&gt;"",'算罪台'!$B$6&lt;&gt;"",ISNUMBER(SEARCH($A24,'算罪台'!$B$6))),1,0)</f>
        <v/>
      </c>
    </row>
    <row r="25">
      <c r="A25" t="inlineStr">
        <is>
          <t>枪杀</t>
        </is>
      </c>
      <c r="B25" t="inlineStr">
        <is>
          <t>二级谋杀罪</t>
        </is>
      </c>
      <c r="C25">
        <f>IF(AND($A25&lt;&gt;"",'算罪台'!$B$4&lt;&gt;"",ISNUMBER(SEARCH($A25,'算罪台'!$B$4))),1,0)</f>
        <v/>
      </c>
      <c r="D25">
        <f>IF(AND($A25&lt;&gt;"",'算罪台'!$B$5&lt;&gt;"",ISNUMBER(SEARCH($A25,'算罪台'!$B$5))),1,0)</f>
        <v/>
      </c>
      <c r="E25">
        <f>IF(AND($A25&lt;&gt;"",'算罪台'!$B$6&lt;&gt;"",ISNUMBER(SEARCH($A25,'算罪台'!$B$6))),1,0)</f>
        <v/>
      </c>
    </row>
    <row r="26">
      <c r="A26" t="inlineStr">
        <is>
          <t>致人死亡</t>
        </is>
      </c>
      <c r="B26" t="inlineStr">
        <is>
          <t>二级谋杀罪</t>
        </is>
      </c>
      <c r="C26">
        <f>IF(AND($A26&lt;&gt;"",'算罪台'!$B$4&lt;&gt;"",ISNUMBER(SEARCH($A26,'算罪台'!$B$4))),1,0)</f>
        <v/>
      </c>
      <c r="D26">
        <f>IF(AND($A26&lt;&gt;"",'算罪台'!$B$5&lt;&gt;"",ISNUMBER(SEARCH($A26,'算罪台'!$B$5))),1,0)</f>
        <v/>
      </c>
      <c r="E26">
        <f>IF(AND($A26&lt;&gt;"",'算罪台'!$B$6&lt;&gt;"",ISNUMBER(SEARCH($A26,'算罪台'!$B$6))),1,0)</f>
        <v/>
      </c>
    </row>
    <row r="27">
      <c r="A27" t="inlineStr">
        <is>
          <t>三级谋杀</t>
        </is>
      </c>
      <c r="B27" t="inlineStr">
        <is>
          <t>三级谋杀罪</t>
        </is>
      </c>
      <c r="C27">
        <f>IF(AND($A27&lt;&gt;"",'算罪台'!$B$4&lt;&gt;"",ISNUMBER(SEARCH($A27,'算罪台'!$B$4))),1,0)</f>
        <v/>
      </c>
      <c r="D27">
        <f>IF(AND($A27&lt;&gt;"",'算罪台'!$B$5&lt;&gt;"",ISNUMBER(SEARCH($A27,'算罪台'!$B$5))),1,0)</f>
        <v/>
      </c>
      <c r="E27">
        <f>IF(AND($A27&lt;&gt;"",'算罪台'!$B$6&lt;&gt;"",ISNUMBER(SEARCH($A27,'算罪台'!$B$6))),1,0)</f>
        <v/>
      </c>
    </row>
    <row r="28">
      <c r="A28" t="inlineStr">
        <is>
          <t>过失致死</t>
        </is>
      </c>
      <c r="B28" t="inlineStr">
        <is>
          <t>三级谋杀罪</t>
        </is>
      </c>
      <c r="C28">
        <f>IF(AND($A28&lt;&gt;"",'算罪台'!$B$4&lt;&gt;"",ISNUMBER(SEARCH($A28,'算罪台'!$B$4))),1,0)</f>
        <v/>
      </c>
      <c r="D28">
        <f>IF(AND($A28&lt;&gt;"",'算罪台'!$B$5&lt;&gt;"",ISNUMBER(SEARCH($A28,'算罪台'!$B$5))),1,0)</f>
        <v/>
      </c>
      <c r="E28">
        <f>IF(AND($A28&lt;&gt;"",'算罪台'!$B$6&lt;&gt;"",ISNUMBER(SEARCH($A28,'算罪台'!$B$6))),1,0)</f>
        <v/>
      </c>
    </row>
    <row r="29">
      <c r="A29" t="inlineStr">
        <is>
          <t>意外致死</t>
        </is>
      </c>
      <c r="B29" t="inlineStr">
        <is>
          <t>三级谋杀罪</t>
        </is>
      </c>
      <c r="C29">
        <f>IF(AND($A29&lt;&gt;"",'算罪台'!$B$4&lt;&gt;"",ISNUMBER(SEARCH($A29,'算罪台'!$B$4))),1,0)</f>
        <v/>
      </c>
      <c r="D29">
        <f>IF(AND($A29&lt;&gt;"",'算罪台'!$B$5&lt;&gt;"",ISNUMBER(SEARCH($A29,'算罪台'!$B$5))),1,0)</f>
        <v/>
      </c>
      <c r="E29">
        <f>IF(AND($A29&lt;&gt;"",'算罪台'!$B$6&lt;&gt;"",ISNUMBER(SEARCH($A29,'算罪台'!$B$6))),1,0)</f>
        <v/>
      </c>
    </row>
    <row r="30">
      <c r="A30" t="inlineStr">
        <is>
          <t>误杀</t>
        </is>
      </c>
      <c r="B30" t="inlineStr">
        <is>
          <t>三级谋杀罪</t>
        </is>
      </c>
      <c r="C30">
        <f>IF(AND($A30&lt;&gt;"",'算罪台'!$B$4&lt;&gt;"",ISNUMBER(SEARCH($A30,'算罪台'!$B$4))),1,0)</f>
        <v/>
      </c>
      <c r="D30">
        <f>IF(AND($A30&lt;&gt;"",'算罪台'!$B$5&lt;&gt;"",ISNUMBER(SEARCH($A30,'算罪台'!$B$5))),1,0)</f>
        <v/>
      </c>
      <c r="E30">
        <f>IF(AND($A30&lt;&gt;"",'算罪台'!$B$6&lt;&gt;"",ISNUMBER(SEARCH($A30,'算罪台'!$B$6))),1,0)</f>
        <v/>
      </c>
    </row>
    <row r="31">
      <c r="A31" t="inlineStr">
        <is>
          <t>冲突致死</t>
        </is>
      </c>
      <c r="B31" t="inlineStr">
        <is>
          <t>三级谋杀罪</t>
        </is>
      </c>
      <c r="C31">
        <f>IF(AND($A31&lt;&gt;"",'算罪台'!$B$4&lt;&gt;"",ISNUMBER(SEARCH($A31,'算罪台'!$B$4))),1,0)</f>
        <v/>
      </c>
      <c r="D31">
        <f>IF(AND($A31&lt;&gt;"",'算罪台'!$B$5&lt;&gt;"",ISNUMBER(SEARCH($A31,'算罪台'!$B$5))),1,0)</f>
        <v/>
      </c>
      <c r="E31">
        <f>IF(AND($A31&lt;&gt;"",'算罪台'!$B$6&lt;&gt;"",ISNUMBER(SEARCH($A31,'算罪台'!$B$6))),1,0)</f>
        <v/>
      </c>
    </row>
    <row r="32">
      <c r="A32" t="inlineStr">
        <is>
          <t>非法拘禁</t>
        </is>
      </c>
      <c r="B32" t="inlineStr">
        <is>
          <t>非法拘禁罪</t>
        </is>
      </c>
      <c r="C32">
        <f>IF(AND($A32&lt;&gt;"",'算罪台'!$B$4&lt;&gt;"",ISNUMBER(SEARCH($A32,'算罪台'!$B$4))),1,0)</f>
        <v/>
      </c>
      <c r="D32">
        <f>IF(AND($A32&lt;&gt;"",'算罪台'!$B$5&lt;&gt;"",ISNUMBER(SEARCH($A32,'算罪台'!$B$5))),1,0)</f>
        <v/>
      </c>
      <c r="E32">
        <f>IF(AND($A32&lt;&gt;"",'算罪台'!$B$6&lt;&gt;"",ISNUMBER(SEARCH($A32,'算罪台'!$B$6))),1,0)</f>
        <v/>
      </c>
    </row>
    <row r="33">
      <c r="A33" t="inlineStr">
        <is>
          <t>拘禁</t>
        </is>
      </c>
      <c r="B33" t="inlineStr">
        <is>
          <t>非法拘禁罪</t>
        </is>
      </c>
      <c r="C33">
        <f>IF(AND($A33&lt;&gt;"",'算罪台'!$B$4&lt;&gt;"",ISNUMBER(SEARCH($A33,'算罪台'!$B$4))),1,0)</f>
        <v/>
      </c>
      <c r="D33">
        <f>IF(AND($A33&lt;&gt;"",'算罪台'!$B$5&lt;&gt;"",ISNUMBER(SEARCH($A33,'算罪台'!$B$5))),1,0)</f>
        <v/>
      </c>
      <c r="E33">
        <f>IF(AND($A33&lt;&gt;"",'算罪台'!$B$6&lt;&gt;"",ISNUMBER(SEARCH($A33,'算罪台'!$B$6))),1,0)</f>
        <v/>
      </c>
    </row>
    <row r="34">
      <c r="A34" t="inlineStr">
        <is>
          <t>扣押他人</t>
        </is>
      </c>
      <c r="B34" t="inlineStr">
        <is>
          <t>非法拘禁罪</t>
        </is>
      </c>
      <c r="C34">
        <f>IF(AND($A34&lt;&gt;"",'算罪台'!$B$4&lt;&gt;"",ISNUMBER(SEARCH($A34,'算罪台'!$B$4))),1,0)</f>
        <v/>
      </c>
      <c r="D34">
        <f>IF(AND($A34&lt;&gt;"",'算罪台'!$B$5&lt;&gt;"",ISNUMBER(SEARCH($A34,'算罪台'!$B$5))),1,0)</f>
        <v/>
      </c>
      <c r="E34">
        <f>IF(AND($A34&lt;&gt;"",'算罪台'!$B$6&lt;&gt;"",ISNUMBER(SEARCH($A34,'算罪台'!$B$6))),1,0)</f>
        <v/>
      </c>
    </row>
    <row r="35">
      <c r="A35" t="inlineStr">
        <is>
          <t>限制人身自由</t>
        </is>
      </c>
      <c r="B35" t="inlineStr">
        <is>
          <t>非法拘禁罪</t>
        </is>
      </c>
      <c r="C35">
        <f>IF(AND($A35&lt;&gt;"",'算罪台'!$B$4&lt;&gt;"",ISNUMBER(SEARCH($A35,'算罪台'!$B$4))),1,0)</f>
        <v/>
      </c>
      <c r="D35">
        <f>IF(AND($A35&lt;&gt;"",'算罪台'!$B$5&lt;&gt;"",ISNUMBER(SEARCH($A35,'算罪台'!$B$5))),1,0)</f>
        <v/>
      </c>
      <c r="E35">
        <f>IF(AND($A35&lt;&gt;"",'算罪台'!$B$6&lt;&gt;"",ISNUMBER(SEARCH($A35,'算罪台'!$B$6))),1,0)</f>
        <v/>
      </c>
    </row>
    <row r="36">
      <c r="A36" t="inlineStr">
        <is>
          <t>强行关押</t>
        </is>
      </c>
      <c r="B36" t="inlineStr">
        <is>
          <t>非法拘禁罪</t>
        </is>
      </c>
      <c r="C36">
        <f>IF(AND($A36&lt;&gt;"",'算罪台'!$B$4&lt;&gt;"",ISNUMBER(SEARCH($A36,'算罪台'!$B$4))),1,0)</f>
        <v/>
      </c>
      <c r="D36">
        <f>IF(AND($A36&lt;&gt;"",'算罪台'!$B$5&lt;&gt;"",ISNUMBER(SEARCH($A36,'算罪台'!$B$5))),1,0)</f>
        <v/>
      </c>
      <c r="E36">
        <f>IF(AND($A36&lt;&gt;"",'算罪台'!$B$6&lt;&gt;"",ISNUMBER(SEARCH($A36,'算罪台'!$B$6))),1,0)</f>
        <v/>
      </c>
    </row>
    <row r="37">
      <c r="A37" t="inlineStr">
        <is>
          <t>私自关押</t>
        </is>
      </c>
      <c r="B37" t="inlineStr">
        <is>
          <t>非法拘禁罪</t>
        </is>
      </c>
      <c r="C37">
        <f>IF(AND($A37&lt;&gt;"",'算罪台'!$B$4&lt;&gt;"",ISNUMBER(SEARCH($A37,'算罪台'!$B$4))),1,0)</f>
        <v/>
      </c>
      <c r="D37">
        <f>IF(AND($A37&lt;&gt;"",'算罪台'!$B$5&lt;&gt;"",ISNUMBER(SEARCH($A37,'算罪台'!$B$5))),1,0)</f>
        <v/>
      </c>
      <c r="E37">
        <f>IF(AND($A37&lt;&gt;"",'算罪台'!$B$6&lt;&gt;"",ISNUMBER(SEARCH($A37,'算罪台'!$B$6))),1,0)</f>
        <v/>
      </c>
    </row>
    <row r="38">
      <c r="A38" t="inlineStr">
        <is>
          <t>故意袭击</t>
        </is>
      </c>
      <c r="B38" t="inlineStr">
        <is>
          <t>故意袭击罪</t>
        </is>
      </c>
      <c r="C38">
        <f>IF(AND($A38&lt;&gt;"",'算罪台'!$B$4&lt;&gt;"",ISNUMBER(SEARCH($A38,'算罪台'!$B$4))),1,0)</f>
        <v/>
      </c>
      <c r="D38">
        <f>IF(AND($A38&lt;&gt;"",'算罪台'!$B$5&lt;&gt;"",ISNUMBER(SEARCH($A38,'算罪台'!$B$5))),1,0)</f>
        <v/>
      </c>
      <c r="E38">
        <f>IF(AND($A38&lt;&gt;"",'算罪台'!$B$6&lt;&gt;"",ISNUMBER(SEARCH($A38,'算罪台'!$B$6))),1,0)</f>
        <v/>
      </c>
    </row>
    <row r="39">
      <c r="A39" t="inlineStr">
        <is>
          <t>袭击</t>
        </is>
      </c>
      <c r="B39" t="inlineStr">
        <is>
          <t>故意袭击罪</t>
        </is>
      </c>
      <c r="C39">
        <f>IF(AND($A39&lt;&gt;"",'算罪台'!$B$4&lt;&gt;"",ISNUMBER(SEARCH($A39,'算罪台'!$B$4))),1,0)</f>
        <v/>
      </c>
      <c r="D39">
        <f>IF(AND($A39&lt;&gt;"",'算罪台'!$B$5&lt;&gt;"",ISNUMBER(SEARCH($A39,'算罪台'!$B$5))),1,0)</f>
        <v/>
      </c>
      <c r="E39">
        <f>IF(AND($A39&lt;&gt;"",'算罪台'!$B$6&lt;&gt;"",ISNUMBER(SEARCH($A39,'算罪台'!$B$6))),1,0)</f>
        <v/>
      </c>
    </row>
    <row r="40">
      <c r="A40" t="inlineStr">
        <is>
          <t>殴打</t>
        </is>
      </c>
      <c r="B40" t="inlineStr">
        <is>
          <t>故意袭击罪</t>
        </is>
      </c>
      <c r="C40">
        <f>IF(AND($A40&lt;&gt;"",'算罪台'!$B$4&lt;&gt;"",ISNUMBER(SEARCH($A40,'算罪台'!$B$4))),1,0)</f>
        <v/>
      </c>
      <c r="D40">
        <f>IF(AND($A40&lt;&gt;"",'算罪台'!$B$5&lt;&gt;"",ISNUMBER(SEARCH($A40,'算罪台'!$B$5))),1,0)</f>
        <v/>
      </c>
      <c r="E40">
        <f>IF(AND($A40&lt;&gt;"",'算罪台'!$B$6&lt;&gt;"",ISNUMBER(SEARCH($A40,'算罪台'!$B$6))),1,0)</f>
        <v/>
      </c>
    </row>
    <row r="41">
      <c r="A41" t="inlineStr">
        <is>
          <t>打人</t>
        </is>
      </c>
      <c r="B41" t="inlineStr">
        <is>
          <t>故意袭击罪</t>
        </is>
      </c>
      <c r="C41">
        <f>IF(AND($A41&lt;&gt;"",'算罪台'!$B$4&lt;&gt;"",ISNUMBER(SEARCH($A41,'算罪台'!$B$4))),1,0)</f>
        <v/>
      </c>
      <c r="D41">
        <f>IF(AND($A41&lt;&gt;"",'算罪台'!$B$5&lt;&gt;"",ISNUMBER(SEARCH($A41,'算罪台'!$B$5))),1,0)</f>
        <v/>
      </c>
      <c r="E41">
        <f>IF(AND($A41&lt;&gt;"",'算罪台'!$B$6&lt;&gt;"",ISNUMBER(SEARCH($A41,'算罪台'!$B$6))),1,0)</f>
        <v/>
      </c>
    </row>
    <row r="42">
      <c r="A42" t="inlineStr">
        <is>
          <t>动手打</t>
        </is>
      </c>
      <c r="B42" t="inlineStr">
        <is>
          <t>故意袭击罪</t>
        </is>
      </c>
      <c r="C42">
        <f>IF(AND($A42&lt;&gt;"",'算罪台'!$B$4&lt;&gt;"",ISNUMBER(SEARCH($A42,'算罪台'!$B$4))),1,0)</f>
        <v/>
      </c>
      <c r="D42">
        <f>IF(AND($A42&lt;&gt;"",'算罪台'!$B$5&lt;&gt;"",ISNUMBER(SEARCH($A42,'算罪台'!$B$5))),1,0)</f>
        <v/>
      </c>
      <c r="E42">
        <f>IF(AND($A42&lt;&gt;"",'算罪台'!$B$6&lt;&gt;"",ISNUMBER(SEARCH($A42,'算罪台'!$B$6))),1,0)</f>
        <v/>
      </c>
    </row>
    <row r="43">
      <c r="A43" t="inlineStr">
        <is>
          <t>拳打脚踢</t>
        </is>
      </c>
      <c r="B43" t="inlineStr">
        <is>
          <t>故意袭击罪</t>
        </is>
      </c>
      <c r="C43">
        <f>IF(AND($A43&lt;&gt;"",'算罪台'!$B$4&lt;&gt;"",ISNUMBER(SEARCH($A43,'算罪台'!$B$4))),1,0)</f>
        <v/>
      </c>
      <c r="D43">
        <f>IF(AND($A43&lt;&gt;"",'算罪台'!$B$5&lt;&gt;"",ISNUMBER(SEARCH($A43,'算罪台'!$B$5))),1,0)</f>
        <v/>
      </c>
      <c r="E43">
        <f>IF(AND($A43&lt;&gt;"",'算罪台'!$B$6&lt;&gt;"",ISNUMBER(SEARCH($A43,'算罪台'!$B$6))),1,0)</f>
        <v/>
      </c>
    </row>
    <row r="44">
      <c r="A44" t="inlineStr">
        <is>
          <t>暴力伤人</t>
        </is>
      </c>
      <c r="B44" t="inlineStr">
        <is>
          <t>故意袭击罪</t>
        </is>
      </c>
      <c r="C44">
        <f>IF(AND($A44&lt;&gt;"",'算罪台'!$B$4&lt;&gt;"",ISNUMBER(SEARCH($A44,'算罪台'!$B$4))),1,0)</f>
        <v/>
      </c>
      <c r="D44">
        <f>IF(AND($A44&lt;&gt;"",'算罪台'!$B$5&lt;&gt;"",ISNUMBER(SEARCH($A44,'算罪台'!$B$5))),1,0)</f>
        <v/>
      </c>
      <c r="E44">
        <f>IF(AND($A44&lt;&gt;"",'算罪台'!$B$6&lt;&gt;"",ISNUMBER(SEARCH($A44,'算罪台'!$B$6))),1,0)</f>
        <v/>
      </c>
    </row>
    <row r="45">
      <c r="A45" t="inlineStr">
        <is>
          <t>绑架</t>
        </is>
      </c>
      <c r="B45" t="inlineStr">
        <is>
          <t>绑架罪</t>
        </is>
      </c>
      <c r="C45">
        <f>IF(AND($A45&lt;&gt;"",'算罪台'!$B$4&lt;&gt;"",ISNUMBER(SEARCH($A45,'算罪台'!$B$4))),1,0)</f>
        <v/>
      </c>
      <c r="D45">
        <f>IF(AND($A45&lt;&gt;"",'算罪台'!$B$5&lt;&gt;"",ISNUMBER(SEARCH($A45,'算罪台'!$B$5))),1,0)</f>
        <v/>
      </c>
      <c r="E45">
        <f>IF(AND($A45&lt;&gt;"",'算罪台'!$B$6&lt;&gt;"",ISNUMBER(SEARCH($A45,'算罪台'!$B$6))),1,0)</f>
        <v/>
      </c>
    </row>
    <row r="46">
      <c r="A46" t="inlineStr">
        <is>
          <t>劫持</t>
        </is>
      </c>
      <c r="B46" t="inlineStr">
        <is>
          <t>绑架罪</t>
        </is>
      </c>
      <c r="C46">
        <f>IF(AND($A46&lt;&gt;"",'算罪台'!$B$4&lt;&gt;"",ISNUMBER(SEARCH($A46,'算罪台'!$B$4))),1,0)</f>
        <v/>
      </c>
      <c r="D46">
        <f>IF(AND($A46&lt;&gt;"",'算罪台'!$B$5&lt;&gt;"",ISNUMBER(SEARCH($A46,'算罪台'!$B$5))),1,0)</f>
        <v/>
      </c>
      <c r="E46">
        <f>IF(AND($A46&lt;&gt;"",'算罪台'!$B$6&lt;&gt;"",ISNUMBER(SEARCH($A46,'算罪台'!$B$6))),1,0)</f>
        <v/>
      </c>
    </row>
    <row r="47">
      <c r="A47" t="inlineStr">
        <is>
          <t>挟持</t>
        </is>
      </c>
      <c r="B47" t="inlineStr">
        <is>
          <t>绑架罪</t>
        </is>
      </c>
      <c r="C47">
        <f>IF(AND($A47&lt;&gt;"",'算罪台'!$B$4&lt;&gt;"",ISNUMBER(SEARCH($A47,'算罪台'!$B$4))),1,0)</f>
        <v/>
      </c>
      <c r="D47">
        <f>IF(AND($A47&lt;&gt;"",'算罪台'!$B$5&lt;&gt;"",ISNUMBER(SEARCH($A47,'算罪台'!$B$5))),1,0)</f>
        <v/>
      </c>
      <c r="E47">
        <f>IF(AND($A47&lt;&gt;"",'算罪台'!$B$6&lt;&gt;"",ISNUMBER(SEARCH($A47,'算罪台'!$B$6))),1,0)</f>
        <v/>
      </c>
    </row>
    <row r="48">
      <c r="A48" t="inlineStr">
        <is>
          <t>绑票</t>
        </is>
      </c>
      <c r="B48" t="inlineStr">
        <is>
          <t>绑架罪</t>
        </is>
      </c>
      <c r="C48">
        <f>IF(AND($A48&lt;&gt;"",'算罪台'!$B$4&lt;&gt;"",ISNUMBER(SEARCH($A48,'算罪台'!$B$4))),1,0)</f>
        <v/>
      </c>
      <c r="D48">
        <f>IF(AND($A48&lt;&gt;"",'算罪台'!$B$5&lt;&gt;"",ISNUMBER(SEARCH($A48,'算罪台'!$B$5))),1,0)</f>
        <v/>
      </c>
      <c r="E48">
        <f>IF(AND($A48&lt;&gt;"",'算罪台'!$B$6&lt;&gt;"",ISNUMBER(SEARCH($A48,'算罪台'!$B$6))),1,0)</f>
        <v/>
      </c>
    </row>
    <row r="49">
      <c r="A49" t="inlineStr">
        <is>
          <t>控制人质</t>
        </is>
      </c>
      <c r="B49" t="inlineStr">
        <is>
          <t>绑架罪</t>
        </is>
      </c>
      <c r="C49">
        <f>IF(AND($A49&lt;&gt;"",'算罪台'!$B$4&lt;&gt;"",ISNUMBER(SEARCH($A49,'算罪台'!$B$4))),1,0)</f>
        <v/>
      </c>
      <c r="D49">
        <f>IF(AND($A49&lt;&gt;"",'算罪台'!$B$5&lt;&gt;"",ISNUMBER(SEARCH($A49,'算罪台'!$B$5))),1,0)</f>
        <v/>
      </c>
      <c r="E49">
        <f>IF(AND($A49&lt;&gt;"",'算罪台'!$B$6&lt;&gt;"",ISNUMBER(SEARCH($A49,'算罪台'!$B$6))),1,0)</f>
        <v/>
      </c>
    </row>
    <row r="50">
      <c r="A50" t="inlineStr">
        <is>
          <t>亵渎尸体</t>
        </is>
      </c>
      <c r="B50" t="inlineStr">
        <is>
          <t>亵渎尸体罪</t>
        </is>
      </c>
      <c r="C50">
        <f>IF(AND($A50&lt;&gt;"",'算罪台'!$B$4&lt;&gt;"",ISNUMBER(SEARCH($A50,'算罪台'!$B$4))),1,0)</f>
        <v/>
      </c>
      <c r="D50">
        <f>IF(AND($A50&lt;&gt;"",'算罪台'!$B$5&lt;&gt;"",ISNUMBER(SEARCH($A50,'算罪台'!$B$5))),1,0)</f>
        <v/>
      </c>
      <c r="E50">
        <f>IF(AND($A50&lt;&gt;"",'算罪台'!$B$6&lt;&gt;"",ISNUMBER(SEARCH($A50,'算罪台'!$B$6))),1,0)</f>
        <v/>
      </c>
    </row>
    <row r="51">
      <c r="A51" t="inlineStr">
        <is>
          <t>毁尸</t>
        </is>
      </c>
      <c r="B51" t="inlineStr">
        <is>
          <t>亵渎尸体罪</t>
        </is>
      </c>
      <c r="C51">
        <f>IF(AND($A51&lt;&gt;"",'算罪台'!$B$4&lt;&gt;"",ISNUMBER(SEARCH($A51,'算罪台'!$B$4))),1,0)</f>
        <v/>
      </c>
      <c r="D51">
        <f>IF(AND($A51&lt;&gt;"",'算罪台'!$B$5&lt;&gt;"",ISNUMBER(SEARCH($A51,'算罪台'!$B$5))),1,0)</f>
        <v/>
      </c>
      <c r="E51">
        <f>IF(AND($A51&lt;&gt;"",'算罪台'!$B$6&lt;&gt;"",ISNUMBER(SEARCH($A51,'算罪台'!$B$6))),1,0)</f>
        <v/>
      </c>
    </row>
    <row r="52">
      <c r="A52" t="inlineStr">
        <is>
          <t>处置尸体</t>
        </is>
      </c>
      <c r="B52" t="inlineStr">
        <is>
          <t>亵渎尸体罪</t>
        </is>
      </c>
      <c r="C52">
        <f>IF(AND($A52&lt;&gt;"",'算罪台'!$B$4&lt;&gt;"",ISNUMBER(SEARCH($A52,'算罪台'!$B$4))),1,0)</f>
        <v/>
      </c>
      <c r="D52">
        <f>IF(AND($A52&lt;&gt;"",'算罪台'!$B$5&lt;&gt;"",ISNUMBER(SEARCH($A52,'算罪台'!$B$5))),1,0)</f>
        <v/>
      </c>
      <c r="E52">
        <f>IF(AND($A52&lt;&gt;"",'算罪台'!$B$6&lt;&gt;"",ISNUMBER(SEARCH($A52,'算罪台'!$B$6))),1,0)</f>
        <v/>
      </c>
    </row>
    <row r="53">
      <c r="A53" t="inlineStr">
        <is>
          <t>销毁尸体</t>
        </is>
      </c>
      <c r="B53" t="inlineStr">
        <is>
          <t>亵渎尸体罪</t>
        </is>
      </c>
      <c r="C53">
        <f>IF(AND($A53&lt;&gt;"",'算罪台'!$B$4&lt;&gt;"",ISNUMBER(SEARCH($A53,'算罪台'!$B$4))),1,0)</f>
        <v/>
      </c>
      <c r="D53">
        <f>IF(AND($A53&lt;&gt;"",'算罪台'!$B$5&lt;&gt;"",ISNUMBER(SEARCH($A53,'算罪台'!$B$5))),1,0)</f>
        <v/>
      </c>
      <c r="E53">
        <f>IF(AND($A53&lt;&gt;"",'算罪台'!$B$6&lt;&gt;"",ISNUMBER(SEARCH($A53,'算罪台'!$B$6))),1,0)</f>
        <v/>
      </c>
    </row>
    <row r="54">
      <c r="A54" t="inlineStr">
        <is>
          <t>藏尸</t>
        </is>
      </c>
      <c r="B54" t="inlineStr">
        <is>
          <t>亵渎尸体罪</t>
        </is>
      </c>
      <c r="C54">
        <f>IF(AND($A54&lt;&gt;"",'算罪台'!$B$4&lt;&gt;"",ISNUMBER(SEARCH($A54,'算罪台'!$B$4))),1,0)</f>
        <v/>
      </c>
      <c r="D54">
        <f>IF(AND($A54&lt;&gt;"",'算罪台'!$B$5&lt;&gt;"",ISNUMBER(SEARCH($A54,'算罪台'!$B$5))),1,0)</f>
        <v/>
      </c>
      <c r="E54">
        <f>IF(AND($A54&lt;&gt;"",'算罪台'!$B$6&lt;&gt;"",ISNUMBER(SEARCH($A54,'算罪台'!$B$6))),1,0)</f>
        <v/>
      </c>
    </row>
    <row r="55">
      <c r="A55" t="inlineStr">
        <is>
          <t>诈骗</t>
        </is>
      </c>
      <c r="B55" t="inlineStr">
        <is>
          <t>诈骗罪</t>
        </is>
      </c>
      <c r="C55">
        <f>IF(AND($A55&lt;&gt;"",'算罪台'!$B$4&lt;&gt;"",ISNUMBER(SEARCH($A55,'算罪台'!$B$4))),1,0)</f>
        <v/>
      </c>
      <c r="D55">
        <f>IF(AND($A55&lt;&gt;"",'算罪台'!$B$5&lt;&gt;"",ISNUMBER(SEARCH($A55,'算罪台'!$B$5))),1,0)</f>
        <v/>
      </c>
      <c r="E55">
        <f>IF(AND($A55&lt;&gt;"",'算罪台'!$B$6&lt;&gt;"",ISNUMBER(SEARCH($A55,'算罪台'!$B$6))),1,0)</f>
        <v/>
      </c>
    </row>
    <row r="56">
      <c r="A56" t="inlineStr">
        <is>
          <t>欺诈</t>
        </is>
      </c>
      <c r="B56" t="inlineStr">
        <is>
          <t>诈骗罪</t>
        </is>
      </c>
      <c r="C56">
        <f>IF(AND($A56&lt;&gt;"",'算罪台'!$B$4&lt;&gt;"",ISNUMBER(SEARCH($A56,'算罪台'!$B$4))),1,0)</f>
        <v/>
      </c>
      <c r="D56">
        <f>IF(AND($A56&lt;&gt;"",'算罪台'!$B$5&lt;&gt;"",ISNUMBER(SEARCH($A56,'算罪台'!$B$5))),1,0)</f>
        <v/>
      </c>
      <c r="E56">
        <f>IF(AND($A56&lt;&gt;"",'算罪台'!$B$6&lt;&gt;"",ISNUMBER(SEARCH($A56,'算罪台'!$B$6))),1,0)</f>
        <v/>
      </c>
    </row>
    <row r="57">
      <c r="A57" t="inlineStr">
        <is>
          <t>骗钱</t>
        </is>
      </c>
      <c r="B57" t="inlineStr">
        <is>
          <t>诈骗罪</t>
        </is>
      </c>
      <c r="C57">
        <f>IF(AND($A57&lt;&gt;"",'算罪台'!$B$4&lt;&gt;"",ISNUMBER(SEARCH($A57,'算罪台'!$B$4))),1,0)</f>
        <v/>
      </c>
      <c r="D57">
        <f>IF(AND($A57&lt;&gt;"",'算罪台'!$B$5&lt;&gt;"",ISNUMBER(SEARCH($A57,'算罪台'!$B$5))),1,0)</f>
        <v/>
      </c>
      <c r="E57">
        <f>IF(AND($A57&lt;&gt;"",'算罪台'!$B$6&lt;&gt;"",ISNUMBER(SEARCH($A57,'算罪台'!$B$6))),1,0)</f>
        <v/>
      </c>
    </row>
    <row r="58">
      <c r="A58" t="inlineStr">
        <is>
          <t>行骗</t>
        </is>
      </c>
      <c r="B58" t="inlineStr">
        <is>
          <t>诈骗罪</t>
        </is>
      </c>
      <c r="C58">
        <f>IF(AND($A58&lt;&gt;"",'算罪台'!$B$4&lt;&gt;"",ISNUMBER(SEARCH($A58,'算罪台'!$B$4))),1,0)</f>
        <v/>
      </c>
      <c r="D58">
        <f>IF(AND($A58&lt;&gt;"",'算罪台'!$B$5&lt;&gt;"",ISNUMBER(SEARCH($A58,'算罪台'!$B$5))),1,0)</f>
        <v/>
      </c>
      <c r="E58">
        <f>IF(AND($A58&lt;&gt;"",'算罪台'!$B$6&lt;&gt;"",ISNUMBER(SEARCH($A58,'算罪台'!$B$6))),1,0)</f>
        <v/>
      </c>
    </row>
    <row r="59">
      <c r="A59" t="inlineStr">
        <is>
          <t>诈骗钱财</t>
        </is>
      </c>
      <c r="B59" t="inlineStr">
        <is>
          <t>诈骗罪</t>
        </is>
      </c>
      <c r="C59">
        <f>IF(AND($A59&lt;&gt;"",'算罪台'!$B$4&lt;&gt;"",ISNUMBER(SEARCH($A59,'算罪台'!$B$4))),1,0)</f>
        <v/>
      </c>
      <c r="D59">
        <f>IF(AND($A59&lt;&gt;"",'算罪台'!$B$5&lt;&gt;"",ISNUMBER(SEARCH($A59,'算罪台'!$B$5))),1,0)</f>
        <v/>
      </c>
      <c r="E59">
        <f>IF(AND($A59&lt;&gt;"",'算罪台'!$B$6&lt;&gt;"",ISNUMBER(SEARCH($A59,'算罪台'!$B$6))),1,0)</f>
        <v/>
      </c>
    </row>
    <row r="60">
      <c r="A60" t="inlineStr">
        <is>
          <t>骗取</t>
        </is>
      </c>
      <c r="B60" t="inlineStr">
        <is>
          <t>诈骗罪</t>
        </is>
      </c>
      <c r="C60">
        <f>IF(AND($A60&lt;&gt;"",'算罪台'!$B$4&lt;&gt;"",ISNUMBER(SEARCH($A60,'算罪台'!$B$4))),1,0)</f>
        <v/>
      </c>
      <c r="D60">
        <f>IF(AND($A60&lt;&gt;"",'算罪台'!$B$5&lt;&gt;"",ISNUMBER(SEARCH($A60,'算罪台'!$B$5))),1,0)</f>
        <v/>
      </c>
      <c r="E60">
        <f>IF(AND($A60&lt;&gt;"",'算罪台'!$B$6&lt;&gt;"",ISNUMBER(SEARCH($A60,'算罪台'!$B$6))),1,0)</f>
        <v/>
      </c>
    </row>
    <row r="61">
      <c r="A61" t="inlineStr">
        <is>
          <t>非法入侵</t>
        </is>
      </c>
      <c r="B61" t="inlineStr">
        <is>
          <t>非法入侵罪</t>
        </is>
      </c>
      <c r="C61">
        <f>IF(AND($A61&lt;&gt;"",'算罪台'!$B$4&lt;&gt;"",ISNUMBER(SEARCH($A61,'算罪台'!$B$4))),1,0)</f>
        <v/>
      </c>
      <c r="D61">
        <f>IF(AND($A61&lt;&gt;"",'算罪台'!$B$5&lt;&gt;"",ISNUMBER(SEARCH($A61,'算罪台'!$B$5))),1,0)</f>
        <v/>
      </c>
      <c r="E61">
        <f>IF(AND($A61&lt;&gt;"",'算罪台'!$B$6&lt;&gt;"",ISNUMBER(SEARCH($A61,'算罪台'!$B$6))),1,0)</f>
        <v/>
      </c>
    </row>
    <row r="62">
      <c r="A62" t="inlineStr">
        <is>
          <t>拒绝离开</t>
        </is>
      </c>
      <c r="B62" t="inlineStr">
        <is>
          <t>非法入侵罪</t>
        </is>
      </c>
      <c r="C62">
        <f>IF(AND($A62&lt;&gt;"",'算罪台'!$B$4&lt;&gt;"",ISNUMBER(SEARCH($A62,'算罪台'!$B$4))),1,0)</f>
        <v/>
      </c>
      <c r="D62">
        <f>IF(AND($A62&lt;&gt;"",'算罪台'!$B$5&lt;&gt;"",ISNUMBER(SEARCH($A62,'算罪台'!$B$5))),1,0)</f>
        <v/>
      </c>
      <c r="E62">
        <f>IF(AND($A62&lt;&gt;"",'算罪台'!$B$6&lt;&gt;"",ISNUMBER(SEARCH($A62,'算罪台'!$B$6))),1,0)</f>
        <v/>
      </c>
    </row>
    <row r="63">
      <c r="A63" t="inlineStr">
        <is>
          <t>私闯</t>
        </is>
      </c>
      <c r="B63" t="inlineStr">
        <is>
          <t>非法入侵罪</t>
        </is>
      </c>
      <c r="C63">
        <f>IF(AND($A63&lt;&gt;"",'算罪台'!$B$4&lt;&gt;"",ISNUMBER(SEARCH($A63,'算罪台'!$B$4))),1,0)</f>
        <v/>
      </c>
      <c r="D63">
        <f>IF(AND($A63&lt;&gt;"",'算罪台'!$B$5&lt;&gt;"",ISNUMBER(SEARCH($A63,'算罪台'!$B$5))),1,0)</f>
        <v/>
      </c>
      <c r="E63">
        <f>IF(AND($A63&lt;&gt;"",'算罪台'!$B$6&lt;&gt;"",ISNUMBER(SEARCH($A63,'算罪台'!$B$6))),1,0)</f>
        <v/>
      </c>
    </row>
    <row r="64">
      <c r="A64" t="inlineStr">
        <is>
          <t>擅自闯入</t>
        </is>
      </c>
      <c r="B64" t="inlineStr">
        <is>
          <t>非法入侵罪</t>
        </is>
      </c>
      <c r="C64">
        <f>IF(AND($A64&lt;&gt;"",'算罪台'!$B$4&lt;&gt;"",ISNUMBER(SEARCH($A64,'算罪台'!$B$4))),1,0)</f>
        <v/>
      </c>
      <c r="D64">
        <f>IF(AND($A64&lt;&gt;"",'算罪台'!$B$5&lt;&gt;"",ISNUMBER(SEARCH($A64,'算罪台'!$B$5))),1,0)</f>
        <v/>
      </c>
      <c r="E64">
        <f>IF(AND($A64&lt;&gt;"",'算罪台'!$B$6&lt;&gt;"",ISNUMBER(SEARCH($A64,'算罪台'!$B$6))),1,0)</f>
        <v/>
      </c>
    </row>
    <row r="65">
      <c r="A65" t="inlineStr">
        <is>
          <t>赖着不走</t>
        </is>
      </c>
      <c r="B65" t="inlineStr">
        <is>
          <t>非法入侵罪</t>
        </is>
      </c>
      <c r="C65">
        <f>IF(AND($A65&lt;&gt;"",'算罪台'!$B$4&lt;&gt;"",ISNUMBER(SEARCH($A65,'算罪台'!$B$4))),1,0)</f>
        <v/>
      </c>
      <c r="D65">
        <f>IF(AND($A65&lt;&gt;"",'算罪台'!$B$5&lt;&gt;"",ISNUMBER(SEARCH($A65,'算罪台'!$B$5))),1,0)</f>
        <v/>
      </c>
      <c r="E65">
        <f>IF(AND($A65&lt;&gt;"",'算罪台'!$B$6&lt;&gt;"",ISNUMBER(SEARCH($A65,'算罪台'!$B$6))),1,0)</f>
        <v/>
      </c>
    </row>
    <row r="66">
      <c r="A66" t="inlineStr">
        <is>
          <t>非法入侵禁区</t>
        </is>
      </c>
      <c r="B66" t="inlineStr">
        <is>
          <t>非法入侵禁区罪</t>
        </is>
      </c>
      <c r="C66">
        <f>IF(AND($A66&lt;&gt;"",'算罪台'!$B$4&lt;&gt;"",ISNUMBER(SEARCH($A66,'算罪台'!$B$4))),1,0)</f>
        <v/>
      </c>
      <c r="D66">
        <f>IF(AND($A66&lt;&gt;"",'算罪台'!$B$5&lt;&gt;"",ISNUMBER(SEARCH($A66,'算罪台'!$B$5))),1,0)</f>
        <v/>
      </c>
      <c r="E66">
        <f>IF(AND($A66&lt;&gt;"",'算罪台'!$B$6&lt;&gt;"",ISNUMBER(SEARCH($A66,'算罪台'!$B$6))),1,0)</f>
        <v/>
      </c>
    </row>
    <row r="67">
      <c r="A67" t="inlineStr">
        <is>
          <t>闯入禁区</t>
        </is>
      </c>
      <c r="B67" t="inlineStr">
        <is>
          <t>非法入侵禁区罪</t>
        </is>
      </c>
      <c r="C67">
        <f>IF(AND($A67&lt;&gt;"",'算罪台'!$B$4&lt;&gt;"",ISNUMBER(SEARCH($A67,'算罪台'!$B$4))),1,0)</f>
        <v/>
      </c>
      <c r="D67">
        <f>IF(AND($A67&lt;&gt;"",'算罪台'!$B$5&lt;&gt;"",ISNUMBER(SEARCH($A67,'算罪台'!$B$5))),1,0)</f>
        <v/>
      </c>
      <c r="E67">
        <f>IF(AND($A67&lt;&gt;"",'算罪台'!$B$6&lt;&gt;"",ISNUMBER(SEARCH($A67,'算罪台'!$B$6))),1,0)</f>
        <v/>
      </c>
    </row>
    <row r="68">
      <c r="A68" t="inlineStr">
        <is>
          <t>擅闯警局</t>
        </is>
      </c>
      <c r="B68" t="inlineStr">
        <is>
          <t>非法入侵禁区罪</t>
        </is>
      </c>
      <c r="C68">
        <f>IF(AND($A68&lt;&gt;"",'算罪台'!$B$4&lt;&gt;"",ISNUMBER(SEARCH($A68,'算罪台'!$B$4))),1,0)</f>
        <v/>
      </c>
      <c r="D68">
        <f>IF(AND($A68&lt;&gt;"",'算罪台'!$B$5&lt;&gt;"",ISNUMBER(SEARCH($A68,'算罪台'!$B$5))),1,0)</f>
        <v/>
      </c>
      <c r="E68">
        <f>IF(AND($A68&lt;&gt;"",'算罪台'!$B$6&lt;&gt;"",ISNUMBER(SEARCH($A68,'算罪台'!$B$6))),1,0)</f>
        <v/>
      </c>
    </row>
    <row r="69">
      <c r="A69" t="inlineStr">
        <is>
          <t>擅闯机场</t>
        </is>
      </c>
      <c r="B69" t="inlineStr">
        <is>
          <t>非法入侵禁区罪</t>
        </is>
      </c>
      <c r="C69">
        <f>IF(AND($A69&lt;&gt;"",'算罪台'!$B$4&lt;&gt;"",ISNUMBER(SEARCH($A69,'算罪台'!$B$4))),1,0)</f>
        <v/>
      </c>
      <c r="D69">
        <f>IF(AND($A69&lt;&gt;"",'算罪台'!$B$5&lt;&gt;"",ISNUMBER(SEARCH($A69,'算罪台'!$B$5))),1,0)</f>
        <v/>
      </c>
      <c r="E69">
        <f>IF(AND($A69&lt;&gt;"",'算罪台'!$B$6&lt;&gt;"",ISNUMBER(SEARCH($A69,'算罪台'!$B$6))),1,0)</f>
        <v/>
      </c>
    </row>
    <row r="70">
      <c r="A70" t="inlineStr">
        <is>
          <t>擅闯军事基地</t>
        </is>
      </c>
      <c r="B70" t="inlineStr">
        <is>
          <t>非法入侵禁区罪</t>
        </is>
      </c>
      <c r="C70">
        <f>IF(AND($A70&lt;&gt;"",'算罪台'!$B$4&lt;&gt;"",ISNUMBER(SEARCH($A70,'算罪台'!$B$4))),1,0)</f>
        <v/>
      </c>
      <c r="D70">
        <f>IF(AND($A70&lt;&gt;"",'算罪台'!$B$5&lt;&gt;"",ISNUMBER(SEARCH($A70,'算罪台'!$B$5))),1,0)</f>
        <v/>
      </c>
      <c r="E70">
        <f>IF(AND($A70&lt;&gt;"",'算罪台'!$B$6&lt;&gt;"",ISNUMBER(SEARCH($A70,'算罪台'!$B$6))),1,0)</f>
        <v/>
      </c>
    </row>
    <row r="71">
      <c r="A71" t="inlineStr">
        <is>
          <t>限制区域</t>
        </is>
      </c>
      <c r="B71" t="inlineStr">
        <is>
          <t>非法入侵禁区罪</t>
        </is>
      </c>
      <c r="C71">
        <f>IF(AND($A71&lt;&gt;"",'算罪台'!$B$4&lt;&gt;"",ISNUMBER(SEARCH($A71,'算罪台'!$B$4))),1,0)</f>
        <v/>
      </c>
      <c r="D71">
        <f>IF(AND($A71&lt;&gt;"",'算罪台'!$B$5&lt;&gt;"",ISNUMBER(SEARCH($A71,'算罪台'!$B$5))),1,0)</f>
        <v/>
      </c>
      <c r="E71">
        <f>IF(AND($A71&lt;&gt;"",'算罪台'!$B$6&lt;&gt;"",ISNUMBER(SEARCH($A71,'算罪台'!$B$6))),1,0)</f>
        <v/>
      </c>
    </row>
    <row r="72">
      <c r="A72" t="inlineStr">
        <is>
          <t>闯入监狱</t>
        </is>
      </c>
      <c r="B72" t="inlineStr">
        <is>
          <t>非法入侵禁区罪</t>
        </is>
      </c>
      <c r="C72">
        <f>IF(AND($A72&lt;&gt;"",'算罪台'!$B$4&lt;&gt;"",ISNUMBER(SEARCH($A72,'算罪台'!$B$4))),1,0)</f>
        <v/>
      </c>
      <c r="D72">
        <f>IF(AND($A72&lt;&gt;"",'算罪台'!$B$5&lt;&gt;"",ISNUMBER(SEARCH($A72,'算罪台'!$B$5))),1,0)</f>
        <v/>
      </c>
      <c r="E72">
        <f>IF(AND($A72&lt;&gt;"",'算罪台'!$B$6&lt;&gt;"",ISNUMBER(SEARCH($A72,'算罪台'!$B$6))),1,0)</f>
        <v/>
      </c>
    </row>
    <row r="73">
      <c r="A73" t="inlineStr">
        <is>
          <t>入室盗窃</t>
        </is>
      </c>
      <c r="B73" t="inlineStr">
        <is>
          <t>入室盗窃罪</t>
        </is>
      </c>
      <c r="C73">
        <f>IF(AND($A73&lt;&gt;"",'算罪台'!$B$4&lt;&gt;"",ISNUMBER(SEARCH($A73,'算罪台'!$B$4))),1,0)</f>
        <v/>
      </c>
      <c r="D73">
        <f>IF(AND($A73&lt;&gt;"",'算罪台'!$B$5&lt;&gt;"",ISNUMBER(SEARCH($A73,'算罪台'!$B$5))),1,0)</f>
        <v/>
      </c>
      <c r="E73">
        <f>IF(AND($A73&lt;&gt;"",'算罪台'!$B$6&lt;&gt;"",ISNUMBER(SEARCH($A73,'算罪台'!$B$6))),1,0)</f>
        <v/>
      </c>
    </row>
    <row r="74">
      <c r="A74" t="inlineStr">
        <is>
          <t>入室</t>
        </is>
      </c>
      <c r="B74" t="inlineStr">
        <is>
          <t>入室盗窃罪</t>
        </is>
      </c>
      <c r="C74">
        <f>IF(AND($A74&lt;&gt;"",'算罪台'!$B$4&lt;&gt;"",ISNUMBER(SEARCH($A74,'算罪台'!$B$4))),1,0)</f>
        <v/>
      </c>
      <c r="D74">
        <f>IF(AND($A74&lt;&gt;"",'算罪台'!$B$5&lt;&gt;"",ISNUMBER(SEARCH($A74,'算罪台'!$B$5))),1,0)</f>
        <v/>
      </c>
      <c r="E74">
        <f>IF(AND($A74&lt;&gt;"",'算罪台'!$B$6&lt;&gt;"",ISNUMBER(SEARCH($A74,'算罪台'!$B$6))),1,0)</f>
        <v/>
      </c>
    </row>
    <row r="75">
      <c r="A75" t="inlineStr">
        <is>
          <t>撬门盗窃</t>
        </is>
      </c>
      <c r="B75" t="inlineStr">
        <is>
          <t>入室盗窃罪</t>
        </is>
      </c>
      <c r="C75">
        <f>IF(AND($A75&lt;&gt;"",'算罪台'!$B$4&lt;&gt;"",ISNUMBER(SEARCH($A75,'算罪台'!$B$4))),1,0)</f>
        <v/>
      </c>
      <c r="D75">
        <f>IF(AND($A75&lt;&gt;"",'算罪台'!$B$5&lt;&gt;"",ISNUMBER(SEARCH($A75,'算罪台'!$B$5))),1,0)</f>
        <v/>
      </c>
      <c r="E75">
        <f>IF(AND($A75&lt;&gt;"",'算罪台'!$B$6&lt;&gt;"",ISNUMBER(SEARCH($A75,'算罪台'!$B$6))),1,0)</f>
        <v/>
      </c>
    </row>
    <row r="76">
      <c r="A76" t="inlineStr">
        <is>
          <t>闯入盗窃</t>
        </is>
      </c>
      <c r="B76" t="inlineStr">
        <is>
          <t>入室盗窃罪</t>
        </is>
      </c>
      <c r="C76">
        <f>IF(AND($A76&lt;&gt;"",'算罪台'!$B$4&lt;&gt;"",ISNUMBER(SEARCH($A76,'算罪台'!$B$4))),1,0)</f>
        <v/>
      </c>
      <c r="D76">
        <f>IF(AND($A76&lt;&gt;"",'算罪台'!$B$5&lt;&gt;"",ISNUMBER(SEARCH($A76,'算罪台'!$B$5))),1,0)</f>
        <v/>
      </c>
      <c r="E76">
        <f>IF(AND($A76&lt;&gt;"",'算罪台'!$B$6&lt;&gt;"",ISNUMBER(SEARCH($A76,'算罪台'!$B$6))),1,0)</f>
        <v/>
      </c>
    </row>
    <row r="77">
      <c r="A77" t="inlineStr">
        <is>
          <t>破门盗窃</t>
        </is>
      </c>
      <c r="B77" t="inlineStr">
        <is>
          <t>入室盗窃罪</t>
        </is>
      </c>
      <c r="C77">
        <f>IF(AND($A77&lt;&gt;"",'算罪台'!$B$4&lt;&gt;"",ISNUMBER(SEARCH($A77,'算罪台'!$B$4))),1,0)</f>
        <v/>
      </c>
      <c r="D77">
        <f>IF(AND($A77&lt;&gt;"",'算罪台'!$B$5&lt;&gt;"",ISNUMBER(SEARCH($A77,'算罪台'!$B$5))),1,0)</f>
        <v/>
      </c>
      <c r="E77">
        <f>IF(AND($A77&lt;&gt;"",'算罪台'!$B$6&lt;&gt;"",ISNUMBER(SEARCH($A77,'算罪台'!$B$6))),1,0)</f>
        <v/>
      </c>
    </row>
    <row r="78">
      <c r="A78" t="inlineStr">
        <is>
          <t>抢劫</t>
        </is>
      </c>
      <c r="B78" t="inlineStr">
        <is>
          <t>抢劫罪</t>
        </is>
      </c>
      <c r="C78">
        <f>IF(AND($A78&lt;&gt;"",'算罪台'!$B$4&lt;&gt;"",ISNUMBER(SEARCH($A78,'算罪台'!$B$4))),1,0)</f>
        <v/>
      </c>
      <c r="D78">
        <f>IF(AND($A78&lt;&gt;"",'算罪台'!$B$5&lt;&gt;"",ISNUMBER(SEARCH($A78,'算罪台'!$B$5))),1,0)</f>
        <v/>
      </c>
      <c r="E78">
        <f>IF(AND($A78&lt;&gt;"",'算罪台'!$B$6&lt;&gt;"",ISNUMBER(SEARCH($A78,'算罪台'!$B$6))),1,0)</f>
        <v/>
      </c>
    </row>
    <row r="79">
      <c r="A79" t="inlineStr">
        <is>
          <t>持械抢劫</t>
        </is>
      </c>
      <c r="B79" t="inlineStr">
        <is>
          <t>抢劫罪</t>
        </is>
      </c>
      <c r="C79">
        <f>IF(AND($A79&lt;&gt;"",'算罪台'!$B$4&lt;&gt;"",ISNUMBER(SEARCH($A79,'算罪台'!$B$4))),1,0)</f>
        <v/>
      </c>
      <c r="D79">
        <f>IF(AND($A79&lt;&gt;"",'算罪台'!$B$5&lt;&gt;"",ISNUMBER(SEARCH($A79,'算罪台'!$B$5))),1,0)</f>
        <v/>
      </c>
      <c r="E79">
        <f>IF(AND($A79&lt;&gt;"",'算罪台'!$B$6&lt;&gt;"",ISNUMBER(SEARCH($A79,'算罪台'!$B$6))),1,0)</f>
        <v/>
      </c>
    </row>
    <row r="80">
      <c r="A80" t="inlineStr">
        <is>
          <t>持枪抢劫</t>
        </is>
      </c>
      <c r="B80" t="inlineStr">
        <is>
          <t>抢劫罪</t>
        </is>
      </c>
      <c r="C80">
        <f>IF(AND($A80&lt;&gt;"",'算罪台'!$B$4&lt;&gt;"",ISNUMBER(SEARCH($A80,'算罪台'!$B$4))),1,0)</f>
        <v/>
      </c>
      <c r="D80">
        <f>IF(AND($A80&lt;&gt;"",'算罪台'!$B$5&lt;&gt;"",ISNUMBER(SEARCH($A80,'算罪台'!$B$5))),1,0)</f>
        <v/>
      </c>
      <c r="E80">
        <f>IF(AND($A80&lt;&gt;"",'算罪台'!$B$6&lt;&gt;"",ISNUMBER(SEARCH($A80,'算罪台'!$B$6))),1,0)</f>
        <v/>
      </c>
    </row>
    <row r="81">
      <c r="A81" t="inlineStr">
        <is>
          <t>抢夺财物</t>
        </is>
      </c>
      <c r="B81" t="inlineStr">
        <is>
          <t>抢劫罪</t>
        </is>
      </c>
      <c r="C81">
        <f>IF(AND($A81&lt;&gt;"",'算罪台'!$B$4&lt;&gt;"",ISNUMBER(SEARCH($A81,'算罪台'!$B$4))),1,0)</f>
        <v/>
      </c>
      <c r="D81">
        <f>IF(AND($A81&lt;&gt;"",'算罪台'!$B$5&lt;&gt;"",ISNUMBER(SEARCH($A81,'算罪台'!$B$5))),1,0)</f>
        <v/>
      </c>
      <c r="E81">
        <f>IF(AND($A81&lt;&gt;"",'算罪台'!$B$6&lt;&gt;"",ISNUMBER(SEARCH($A81,'算罪台'!$B$6))),1,0)</f>
        <v/>
      </c>
    </row>
    <row r="82">
      <c r="A82" t="inlineStr">
        <is>
          <t>武力抢</t>
        </is>
      </c>
      <c r="B82" t="inlineStr">
        <is>
          <t>抢劫罪</t>
        </is>
      </c>
      <c r="C82">
        <f>IF(AND($A82&lt;&gt;"",'算罪台'!$B$4&lt;&gt;"",ISNUMBER(SEARCH($A82,'算罪台'!$B$4))),1,0)</f>
        <v/>
      </c>
      <c r="D82">
        <f>IF(AND($A82&lt;&gt;"",'算罪台'!$B$5&lt;&gt;"",ISNUMBER(SEARCH($A82,'算罪台'!$B$5))),1,0)</f>
        <v/>
      </c>
      <c r="E82">
        <f>IF(AND($A82&lt;&gt;"",'算罪台'!$B$6&lt;&gt;"",ISNUMBER(SEARCH($A82,'算罪台'!$B$6))),1,0)</f>
        <v/>
      </c>
    </row>
    <row r="83">
      <c r="A83" t="inlineStr">
        <is>
          <t>威胁抢</t>
        </is>
      </c>
      <c r="B83" t="inlineStr">
        <is>
          <t>抢劫罪</t>
        </is>
      </c>
      <c r="C83">
        <f>IF(AND($A83&lt;&gt;"",'算罪台'!$B$4&lt;&gt;"",ISNUMBER(SEARCH($A83,'算罪台'!$B$4))),1,0)</f>
        <v/>
      </c>
      <c r="D83">
        <f>IF(AND($A83&lt;&gt;"",'算罪台'!$B$5&lt;&gt;"",ISNUMBER(SEARCH($A83,'算罪台'!$B$5))),1,0)</f>
        <v/>
      </c>
      <c r="E83">
        <f>IF(AND($A83&lt;&gt;"",'算罪台'!$B$6&lt;&gt;"",ISNUMBER(SEARCH($A83,'算罪台'!$B$6))),1,0)</f>
        <v/>
      </c>
    </row>
    <row r="84">
      <c r="A84" t="inlineStr">
        <is>
          <t>盗窃</t>
        </is>
      </c>
      <c r="B84" t="inlineStr">
        <is>
          <t>盗窃罪</t>
        </is>
      </c>
      <c r="C84">
        <f>IF(AND($A84&lt;&gt;"",'算罪台'!$B$4&lt;&gt;"",ISNUMBER(SEARCH($A84,'算罪台'!$B$4))),1,0)</f>
        <v/>
      </c>
      <c r="D84">
        <f>IF(AND($A84&lt;&gt;"",'算罪台'!$B$5&lt;&gt;"",ISNUMBER(SEARCH($A84,'算罪台'!$B$5))),1,0)</f>
        <v/>
      </c>
      <c r="E84">
        <f>IF(AND($A84&lt;&gt;"",'算罪台'!$B$6&lt;&gt;"",ISNUMBER(SEARCH($A84,'算罪台'!$B$6))),1,0)</f>
        <v/>
      </c>
    </row>
    <row r="85">
      <c r="A85" t="inlineStr">
        <is>
          <t>偷窃</t>
        </is>
      </c>
      <c r="B85" t="inlineStr">
        <is>
          <t>盗窃罪</t>
        </is>
      </c>
      <c r="C85">
        <f>IF(AND($A85&lt;&gt;"",'算罪台'!$B$4&lt;&gt;"",ISNUMBER(SEARCH($A85,'算罪台'!$B$4))),1,0)</f>
        <v/>
      </c>
      <c r="D85">
        <f>IF(AND($A85&lt;&gt;"",'算罪台'!$B$5&lt;&gt;"",ISNUMBER(SEARCH($A85,'算罪台'!$B$5))),1,0)</f>
        <v/>
      </c>
      <c r="E85">
        <f>IF(AND($A85&lt;&gt;"",'算罪台'!$B$6&lt;&gt;"",ISNUMBER(SEARCH($A85,'算罪台'!$B$6))),1,0)</f>
        <v/>
      </c>
    </row>
    <row r="86">
      <c r="A86" t="inlineStr">
        <is>
          <t>偷东西</t>
        </is>
      </c>
      <c r="B86" t="inlineStr">
        <is>
          <t>盗窃罪</t>
        </is>
      </c>
      <c r="C86">
        <f>IF(AND($A86&lt;&gt;"",'算罪台'!$B$4&lt;&gt;"",ISNUMBER(SEARCH($A86,'算罪台'!$B$4))),1,0)</f>
        <v/>
      </c>
      <c r="D86">
        <f>IF(AND($A86&lt;&gt;"",'算罪台'!$B$5&lt;&gt;"",ISNUMBER(SEARCH($A86,'算罪台'!$B$5))),1,0)</f>
        <v/>
      </c>
      <c r="E86">
        <f>IF(AND($A86&lt;&gt;"",'算罪台'!$B$6&lt;&gt;"",ISNUMBER(SEARCH($A86,'算罪台'!$B$6))),1,0)</f>
        <v/>
      </c>
    </row>
    <row r="87">
      <c r="A87" t="inlineStr">
        <is>
          <t>顺走</t>
        </is>
      </c>
      <c r="B87" t="inlineStr">
        <is>
          <t>盗窃罪</t>
        </is>
      </c>
      <c r="C87">
        <f>IF(AND($A87&lt;&gt;"",'算罪台'!$B$4&lt;&gt;"",ISNUMBER(SEARCH($A87,'算罪台'!$B$4))),1,0)</f>
        <v/>
      </c>
      <c r="D87">
        <f>IF(AND($A87&lt;&gt;"",'算罪台'!$B$5&lt;&gt;"",ISNUMBER(SEARCH($A87,'算罪台'!$B$5))),1,0)</f>
        <v/>
      </c>
      <c r="E87">
        <f>IF(AND($A87&lt;&gt;"",'算罪台'!$B$6&lt;&gt;"",ISNUMBER(SEARCH($A87,'算罪台'!$B$6))),1,0)</f>
        <v/>
      </c>
    </row>
    <row r="88">
      <c r="A88" t="inlineStr">
        <is>
          <t>擅自使用他人财物</t>
        </is>
      </c>
      <c r="B88" t="inlineStr">
        <is>
          <t>盗窃罪</t>
        </is>
      </c>
      <c r="C88">
        <f>IF(AND($A88&lt;&gt;"",'算罪台'!$B$4&lt;&gt;"",ISNUMBER(SEARCH($A88,'算罪台'!$B$4))),1,0)</f>
        <v/>
      </c>
      <c r="D88">
        <f>IF(AND($A88&lt;&gt;"",'算罪台'!$B$5&lt;&gt;"",ISNUMBER(SEARCH($A88,'算罪台'!$B$5))),1,0)</f>
        <v/>
      </c>
      <c r="E88">
        <f>IF(AND($A88&lt;&gt;"",'算罪台'!$B$6&lt;&gt;"",ISNUMBER(SEARCH($A88,'算罪台'!$B$6))),1,0)</f>
        <v/>
      </c>
    </row>
    <row r="89">
      <c r="A89" t="inlineStr">
        <is>
          <t>盗窃车辆</t>
        </is>
      </c>
      <c r="B89" t="inlineStr">
        <is>
          <t>盗窃车辆罪</t>
        </is>
      </c>
      <c r="C89">
        <f>IF(AND($A89&lt;&gt;"",'算罪台'!$B$4&lt;&gt;"",ISNUMBER(SEARCH($A89,'算罪台'!$B$4))),1,0)</f>
        <v/>
      </c>
      <c r="D89">
        <f>IF(AND($A89&lt;&gt;"",'算罪台'!$B$5&lt;&gt;"",ISNUMBER(SEARCH($A89,'算罪台'!$B$5))),1,0)</f>
        <v/>
      </c>
      <c r="E89">
        <f>IF(AND($A89&lt;&gt;"",'算罪台'!$B$6&lt;&gt;"",ISNUMBER(SEARCH($A89,'算罪台'!$B$6))),1,0)</f>
        <v/>
      </c>
    </row>
    <row r="90">
      <c r="A90" t="inlineStr">
        <is>
          <t>偷车</t>
        </is>
      </c>
      <c r="B90" t="inlineStr">
        <is>
          <t>盗窃车辆罪</t>
        </is>
      </c>
      <c r="C90">
        <f>IF(AND($A90&lt;&gt;"",'算罪台'!$B$4&lt;&gt;"",ISNUMBER(SEARCH($A90,'算罪台'!$B$4))),1,0)</f>
        <v/>
      </c>
      <c r="D90">
        <f>IF(AND($A90&lt;&gt;"",'算罪台'!$B$5&lt;&gt;"",ISNUMBER(SEARCH($A90,'算罪台'!$B$5))),1,0)</f>
        <v/>
      </c>
      <c r="E90">
        <f>IF(AND($A90&lt;&gt;"",'算罪台'!$B$6&lt;&gt;"",ISNUMBER(SEARCH($A90,'算罪台'!$B$6))),1,0)</f>
        <v/>
      </c>
    </row>
    <row r="91">
      <c r="A91" t="inlineStr">
        <is>
          <t>偷公务车</t>
        </is>
      </c>
      <c r="B91" t="inlineStr">
        <is>
          <t>盗窃车辆罪</t>
        </is>
      </c>
      <c r="C91">
        <f>IF(AND($A91&lt;&gt;"",'算罪台'!$B$4&lt;&gt;"",ISNUMBER(SEARCH($A91,'算罪台'!$B$4))),1,0)</f>
        <v/>
      </c>
      <c r="D91">
        <f>IF(AND($A91&lt;&gt;"",'算罪台'!$B$5&lt;&gt;"",ISNUMBER(SEARCH($A91,'算罪台'!$B$5))),1,0)</f>
        <v/>
      </c>
      <c r="E91">
        <f>IF(AND($A91&lt;&gt;"",'算罪台'!$B$6&lt;&gt;"",ISNUMBER(SEARCH($A91,'算罪台'!$B$6))),1,0)</f>
        <v/>
      </c>
    </row>
    <row r="92">
      <c r="A92" t="inlineStr">
        <is>
          <t>开走他人车</t>
        </is>
      </c>
      <c r="B92" t="inlineStr">
        <is>
          <t>盗窃车辆罪</t>
        </is>
      </c>
      <c r="C92">
        <f>IF(AND($A92&lt;&gt;"",'算罪台'!$B$4&lt;&gt;"",ISNUMBER(SEARCH($A92,'算罪台'!$B$4))),1,0)</f>
        <v/>
      </c>
      <c r="D92">
        <f>IF(AND($A92&lt;&gt;"",'算罪台'!$B$5&lt;&gt;"",ISNUMBER(SEARCH($A92,'算罪台'!$B$5))),1,0)</f>
        <v/>
      </c>
      <c r="E92">
        <f>IF(AND($A92&lt;&gt;"",'算罪台'!$B$6&lt;&gt;"",ISNUMBER(SEARCH($A92,'算罪台'!$B$6))),1,0)</f>
        <v/>
      </c>
    </row>
    <row r="93">
      <c r="A93" t="inlineStr">
        <is>
          <t>擅自开走</t>
        </is>
      </c>
      <c r="B93" t="inlineStr">
        <is>
          <t>盗窃车辆罪</t>
        </is>
      </c>
      <c r="C93">
        <f>IF(AND($A93&lt;&gt;"",'算罪台'!$B$4&lt;&gt;"",ISNUMBER(SEARCH($A93,'算罪台'!$B$4))),1,0)</f>
        <v/>
      </c>
      <c r="D93">
        <f>IF(AND($A93&lt;&gt;"",'算罪台'!$B$5&lt;&gt;"",ISNUMBER(SEARCH($A93,'算罪台'!$B$5))),1,0)</f>
        <v/>
      </c>
      <c r="E93">
        <f>IF(AND($A93&lt;&gt;"",'算罪台'!$B$6&lt;&gt;"",ISNUMBER(SEARCH($A93,'算罪台'!$B$6))),1,0)</f>
        <v/>
      </c>
    </row>
    <row r="94">
      <c r="A94" t="inlineStr">
        <is>
          <t>收受赃物</t>
        </is>
      </c>
      <c r="B94" t="inlineStr">
        <is>
          <t>收受赃物罪</t>
        </is>
      </c>
      <c r="C94">
        <f>IF(AND($A94&lt;&gt;"",'算罪台'!$B$4&lt;&gt;"",ISNUMBER(SEARCH($A94,'算罪台'!$B$4))),1,0)</f>
        <v/>
      </c>
      <c r="D94">
        <f>IF(AND($A94&lt;&gt;"",'算罪台'!$B$5&lt;&gt;"",ISNUMBER(SEARCH($A94,'算罪台'!$B$5))),1,0)</f>
        <v/>
      </c>
      <c r="E94">
        <f>IF(AND($A94&lt;&gt;"",'算罪台'!$B$6&lt;&gt;"",ISNUMBER(SEARCH($A94,'算罪台'!$B$6))),1,0)</f>
        <v/>
      </c>
    </row>
    <row r="95">
      <c r="A95" t="inlineStr">
        <is>
          <t>销赃</t>
        </is>
      </c>
      <c r="B95" t="inlineStr">
        <is>
          <t>收受赃物罪</t>
        </is>
      </c>
      <c r="C95">
        <f>IF(AND($A95&lt;&gt;"",'算罪台'!$B$4&lt;&gt;"",ISNUMBER(SEARCH($A95,'算罪台'!$B$4))),1,0)</f>
        <v/>
      </c>
      <c r="D95">
        <f>IF(AND($A95&lt;&gt;"",'算罪台'!$B$5&lt;&gt;"",ISNUMBER(SEARCH($A95,'算罪台'!$B$5))),1,0)</f>
        <v/>
      </c>
      <c r="E95">
        <f>IF(AND($A95&lt;&gt;"",'算罪台'!$B$6&lt;&gt;"",ISNUMBER(SEARCH($A95,'算罪台'!$B$6))),1,0)</f>
        <v/>
      </c>
    </row>
    <row r="96">
      <c r="A96" t="inlineStr">
        <is>
          <t>买赃物</t>
        </is>
      </c>
      <c r="B96" t="inlineStr">
        <is>
          <t>收受赃物罪</t>
        </is>
      </c>
      <c r="C96">
        <f>IF(AND($A96&lt;&gt;"",'算罪台'!$B$4&lt;&gt;"",ISNUMBER(SEARCH($A96,'算罪台'!$B$4))),1,0)</f>
        <v/>
      </c>
      <c r="D96">
        <f>IF(AND($A96&lt;&gt;"",'算罪台'!$B$5&lt;&gt;"",ISNUMBER(SEARCH($A96,'算罪台'!$B$5))),1,0)</f>
        <v/>
      </c>
      <c r="E96">
        <f>IF(AND($A96&lt;&gt;"",'算罪台'!$B$6&lt;&gt;"",ISNUMBER(SEARCH($A96,'算罪台'!$B$6))),1,0)</f>
        <v/>
      </c>
    </row>
    <row r="97">
      <c r="A97" t="inlineStr">
        <is>
          <t>藏赃</t>
        </is>
      </c>
      <c r="B97" t="inlineStr">
        <is>
          <t>收受赃物罪</t>
        </is>
      </c>
      <c r="C97">
        <f>IF(AND($A97&lt;&gt;"",'算罪台'!$B$4&lt;&gt;"",ISNUMBER(SEARCH($A97,'算罪台'!$B$4))),1,0)</f>
        <v/>
      </c>
      <c r="D97">
        <f>IF(AND($A97&lt;&gt;"",'算罪台'!$B$5&lt;&gt;"",ISNUMBER(SEARCH($A97,'算罪台'!$B$5))),1,0)</f>
        <v/>
      </c>
      <c r="E97">
        <f>IF(AND($A97&lt;&gt;"",'算罪台'!$B$6&lt;&gt;"",ISNUMBER(SEARCH($A97,'算罪台'!$B$6))),1,0)</f>
        <v/>
      </c>
    </row>
    <row r="98">
      <c r="A98" t="inlineStr">
        <is>
          <t>收赃</t>
        </is>
      </c>
      <c r="B98" t="inlineStr">
        <is>
          <t>收受赃物罪</t>
        </is>
      </c>
      <c r="C98">
        <f>IF(AND($A98&lt;&gt;"",'算罪台'!$B$4&lt;&gt;"",ISNUMBER(SEARCH($A98,'算罪台'!$B$4))),1,0)</f>
        <v/>
      </c>
      <c r="D98">
        <f>IF(AND($A98&lt;&gt;"",'算罪台'!$B$5&lt;&gt;"",ISNUMBER(SEARCH($A98,'算罪台'!$B$5))),1,0)</f>
        <v/>
      </c>
      <c r="E98">
        <f>IF(AND($A98&lt;&gt;"",'算罪台'!$B$6&lt;&gt;"",ISNUMBER(SEARCH($A98,'算罪台'!$B$6))),1,0)</f>
        <v/>
      </c>
    </row>
    <row r="99">
      <c r="A99" t="inlineStr">
        <is>
          <t>敲诈</t>
        </is>
      </c>
      <c r="B99" t="inlineStr">
        <is>
          <t>敲诈勒索罪</t>
        </is>
      </c>
      <c r="C99">
        <f>IF(AND($A99&lt;&gt;"",'算罪台'!$B$4&lt;&gt;"",ISNUMBER(SEARCH($A99,'算罪台'!$B$4))),1,0)</f>
        <v/>
      </c>
      <c r="D99">
        <f>IF(AND($A99&lt;&gt;"",'算罪台'!$B$5&lt;&gt;"",ISNUMBER(SEARCH($A99,'算罪台'!$B$5))),1,0)</f>
        <v/>
      </c>
      <c r="E99">
        <f>IF(AND($A99&lt;&gt;"",'算罪台'!$B$6&lt;&gt;"",ISNUMBER(SEARCH($A99,'算罪台'!$B$6))),1,0)</f>
        <v/>
      </c>
    </row>
    <row r="100">
      <c r="A100" t="inlineStr">
        <is>
          <t>勒索</t>
        </is>
      </c>
      <c r="B100" t="inlineStr">
        <is>
          <t>敲诈勒索罪</t>
        </is>
      </c>
      <c r="C100">
        <f>IF(AND($A100&lt;&gt;"",'算罪台'!$B$4&lt;&gt;"",ISNUMBER(SEARCH($A100,'算罪台'!$B$4))),1,0)</f>
        <v/>
      </c>
      <c r="D100">
        <f>IF(AND($A100&lt;&gt;"",'算罪台'!$B$5&lt;&gt;"",ISNUMBER(SEARCH($A100,'算罪台'!$B$5))),1,0)</f>
        <v/>
      </c>
      <c r="E100">
        <f>IF(AND($A100&lt;&gt;"",'算罪台'!$B$6&lt;&gt;"",ISNUMBER(SEARCH($A100,'算罪台'!$B$6))),1,0)</f>
        <v/>
      </c>
    </row>
    <row r="101">
      <c r="A101" t="inlineStr">
        <is>
          <t>敲诈勒索</t>
        </is>
      </c>
      <c r="B101" t="inlineStr">
        <is>
          <t>敲诈勒索罪</t>
        </is>
      </c>
      <c r="C101">
        <f>IF(AND($A101&lt;&gt;"",'算罪台'!$B$4&lt;&gt;"",ISNUMBER(SEARCH($A101,'算罪台'!$B$4))),1,0)</f>
        <v/>
      </c>
      <c r="D101">
        <f>IF(AND($A101&lt;&gt;"",'算罪台'!$B$5&lt;&gt;"",ISNUMBER(SEARCH($A101,'算罪台'!$B$5))),1,0)</f>
        <v/>
      </c>
      <c r="E101">
        <f>IF(AND($A101&lt;&gt;"",'算罪台'!$B$6&lt;&gt;"",ISNUMBER(SEARCH($A101,'算罪台'!$B$6))),1,0)</f>
        <v/>
      </c>
    </row>
    <row r="102">
      <c r="A102" t="inlineStr">
        <is>
          <t>威胁索财</t>
        </is>
      </c>
      <c r="B102" t="inlineStr">
        <is>
          <t>敲诈勒索罪</t>
        </is>
      </c>
      <c r="C102">
        <f>IF(AND($A102&lt;&gt;"",'算罪台'!$B$4&lt;&gt;"",ISNUMBER(SEARCH($A102,'算罪台'!$B$4))),1,0)</f>
        <v/>
      </c>
      <c r="D102">
        <f>IF(AND($A102&lt;&gt;"",'算罪台'!$B$5&lt;&gt;"",ISNUMBER(SEARCH($A102,'算罪台'!$B$5))),1,0)</f>
        <v/>
      </c>
      <c r="E102">
        <f>IF(AND($A102&lt;&gt;"",'算罪台'!$B$6&lt;&gt;"",ISNUMBER(SEARCH($A102,'算罪台'!$B$6))),1,0)</f>
        <v/>
      </c>
    </row>
    <row r="103">
      <c r="A103" t="inlineStr">
        <is>
          <t>强迫交钱</t>
        </is>
      </c>
      <c r="B103" t="inlineStr">
        <is>
          <t>敲诈勒索罪</t>
        </is>
      </c>
      <c r="C103">
        <f>IF(AND($A103&lt;&gt;"",'算罪台'!$B$4&lt;&gt;"",ISNUMBER(SEARCH($A103,'算罪台'!$B$4))),1,0)</f>
        <v/>
      </c>
      <c r="D103">
        <f>IF(AND($A103&lt;&gt;"",'算罪台'!$B$5&lt;&gt;"",ISNUMBER(SEARCH($A103,'算罪台'!$B$5))),1,0)</f>
        <v/>
      </c>
      <c r="E103">
        <f>IF(AND($A103&lt;&gt;"",'算罪台'!$B$6&lt;&gt;"",ISNUMBER(SEARCH($A103,'算罪台'!$B$6))),1,0)</f>
        <v/>
      </c>
    </row>
    <row r="104">
      <c r="A104" t="inlineStr">
        <is>
          <t>蓄意破坏</t>
        </is>
      </c>
      <c r="B104" t="inlineStr">
        <is>
          <t>蓄意破坏罪</t>
        </is>
      </c>
      <c r="C104">
        <f>IF(AND($A104&lt;&gt;"",'算罪台'!$B$4&lt;&gt;"",ISNUMBER(SEARCH($A104,'算罪台'!$B$4))),1,0)</f>
        <v/>
      </c>
      <c r="D104">
        <f>IF(AND($A104&lt;&gt;"",'算罪台'!$B$5&lt;&gt;"",ISNUMBER(SEARCH($A104,'算罪台'!$B$5))),1,0)</f>
        <v/>
      </c>
      <c r="E104">
        <f>IF(AND($A104&lt;&gt;"",'算罪台'!$B$6&lt;&gt;"",ISNUMBER(SEARCH($A104,'算罪台'!$B$6))),1,0)</f>
        <v/>
      </c>
    </row>
    <row r="105">
      <c r="A105" t="inlineStr">
        <is>
          <t>破坏财物</t>
        </is>
      </c>
      <c r="B105" t="inlineStr">
        <is>
          <t>蓄意破坏罪</t>
        </is>
      </c>
      <c r="C105">
        <f>IF(AND($A105&lt;&gt;"",'算罪台'!$B$4&lt;&gt;"",ISNUMBER(SEARCH($A105,'算罪台'!$B$4))),1,0)</f>
        <v/>
      </c>
      <c r="D105">
        <f>IF(AND($A105&lt;&gt;"",'算罪台'!$B$5&lt;&gt;"",ISNUMBER(SEARCH($A105,'算罪台'!$B$5))),1,0)</f>
        <v/>
      </c>
      <c r="E105">
        <f>IF(AND($A105&lt;&gt;"",'算罪台'!$B$6&lt;&gt;"",ISNUMBER(SEARCH($A105,'算罪台'!$B$6))),1,0)</f>
        <v/>
      </c>
    </row>
    <row r="106">
      <c r="A106" t="inlineStr">
        <is>
          <t>毁损</t>
        </is>
      </c>
      <c r="B106" t="inlineStr">
        <is>
          <t>蓄意破坏罪</t>
        </is>
      </c>
      <c r="C106">
        <f>IF(AND($A106&lt;&gt;"",'算罪台'!$B$4&lt;&gt;"",ISNUMBER(SEARCH($A106,'算罪台'!$B$4))),1,0)</f>
        <v/>
      </c>
      <c r="D106">
        <f>IF(AND($A106&lt;&gt;"",'算罪台'!$B$5&lt;&gt;"",ISNUMBER(SEARCH($A106,'算罪台'!$B$5))),1,0)</f>
        <v/>
      </c>
      <c r="E106">
        <f>IF(AND($A106&lt;&gt;"",'算罪台'!$B$6&lt;&gt;"",ISNUMBER(SEARCH($A106,'算罪台'!$B$6))),1,0)</f>
        <v/>
      </c>
    </row>
    <row r="107">
      <c r="A107" t="inlineStr">
        <is>
          <t>砸车</t>
        </is>
      </c>
      <c r="B107" t="inlineStr">
        <is>
          <t>蓄意破坏罪</t>
        </is>
      </c>
      <c r="C107">
        <f>IF(AND($A107&lt;&gt;"",'算罪台'!$B$4&lt;&gt;"",ISNUMBER(SEARCH($A107,'算罪台'!$B$4))),1,0)</f>
        <v/>
      </c>
      <c r="D107">
        <f>IF(AND($A107&lt;&gt;"",'算罪台'!$B$5&lt;&gt;"",ISNUMBER(SEARCH($A107,'算罪台'!$B$5))),1,0)</f>
        <v/>
      </c>
      <c r="E107">
        <f>IF(AND($A107&lt;&gt;"",'算罪台'!$B$6&lt;&gt;"",ISNUMBER(SEARCH($A107,'算罪台'!$B$6))),1,0)</f>
        <v/>
      </c>
    </row>
    <row r="108">
      <c r="A108" t="inlineStr">
        <is>
          <t>打砸</t>
        </is>
      </c>
      <c r="B108" t="inlineStr">
        <is>
          <t>蓄意破坏罪</t>
        </is>
      </c>
      <c r="C108">
        <f>IF(AND($A108&lt;&gt;"",'算罪台'!$B$4&lt;&gt;"",ISNUMBER(SEARCH($A108,'算罪台'!$B$4))),1,0)</f>
        <v/>
      </c>
      <c r="D108">
        <f>IF(AND($A108&lt;&gt;"",'算罪台'!$B$5&lt;&gt;"",ISNUMBER(SEARCH($A108,'算罪台'!$B$5))),1,0)</f>
        <v/>
      </c>
      <c r="E108">
        <f>IF(AND($A108&lt;&gt;"",'算罪台'!$B$6&lt;&gt;"",ISNUMBER(SEARCH($A108,'算罪台'!$B$6))),1,0)</f>
        <v/>
      </c>
    </row>
    <row r="109">
      <c r="A109" t="inlineStr">
        <is>
          <t>损毁车辆</t>
        </is>
      </c>
      <c r="B109" t="inlineStr">
        <is>
          <t>蓄意破坏罪</t>
        </is>
      </c>
      <c r="C109">
        <f>IF(AND($A109&lt;&gt;"",'算罪台'!$B$4&lt;&gt;"",ISNUMBER(SEARCH($A109,'算罪台'!$B$4))),1,0)</f>
        <v/>
      </c>
      <c r="D109">
        <f>IF(AND($A109&lt;&gt;"",'算罪台'!$B$5&lt;&gt;"",ISNUMBER(SEARCH($A109,'算罪台'!$B$5))),1,0)</f>
        <v/>
      </c>
      <c r="E109">
        <f>IF(AND($A109&lt;&gt;"",'算罪台'!$B$6&lt;&gt;"",ISNUMBER(SEARCH($A109,'算罪台'!$B$6))),1,0)</f>
        <v/>
      </c>
    </row>
    <row r="110">
      <c r="A110" t="inlineStr">
        <is>
          <t>故意损坏</t>
        </is>
      </c>
      <c r="B110" t="inlineStr">
        <is>
          <t>蓄意破坏罪</t>
        </is>
      </c>
      <c r="C110">
        <f>IF(AND($A110&lt;&gt;"",'算罪台'!$B$4&lt;&gt;"",ISNUMBER(SEARCH($A110,'算罪台'!$B$4))),1,0)</f>
        <v/>
      </c>
      <c r="D110">
        <f>IF(AND($A110&lt;&gt;"",'算罪台'!$B$5&lt;&gt;"",ISNUMBER(SEARCH($A110,'算罪台'!$B$5))),1,0)</f>
        <v/>
      </c>
      <c r="E110">
        <f>IF(AND($A110&lt;&gt;"",'算罪台'!$B$6&lt;&gt;"",ISNUMBER(SEARCH($A110,'算罪台'!$B$6))),1,0)</f>
        <v/>
      </c>
    </row>
    <row r="111">
      <c r="A111" t="inlineStr">
        <is>
          <t>挪用公款</t>
        </is>
      </c>
      <c r="B111" t="inlineStr">
        <is>
          <t>挪用公款公物罪</t>
        </is>
      </c>
      <c r="C111">
        <f>IF(AND($A111&lt;&gt;"",'算罪台'!$B$4&lt;&gt;"",ISNUMBER(SEARCH($A111,'算罪台'!$B$4))),1,0)</f>
        <v/>
      </c>
      <c r="D111">
        <f>IF(AND($A111&lt;&gt;"",'算罪台'!$B$5&lt;&gt;"",ISNUMBER(SEARCH($A111,'算罪台'!$B$5))),1,0)</f>
        <v/>
      </c>
      <c r="E111">
        <f>IF(AND($A111&lt;&gt;"",'算罪台'!$B$6&lt;&gt;"",ISNUMBER(SEARCH($A111,'算罪台'!$B$6))),1,0)</f>
        <v/>
      </c>
    </row>
    <row r="112">
      <c r="A112" t="inlineStr">
        <is>
          <t>挪用公物</t>
        </is>
      </c>
      <c r="B112" t="inlineStr">
        <is>
          <t>挪用公款公物罪</t>
        </is>
      </c>
      <c r="C112">
        <f>IF(AND($A112&lt;&gt;"",'算罪台'!$B$4&lt;&gt;"",ISNUMBER(SEARCH($A112,'算罪台'!$B$4))),1,0)</f>
        <v/>
      </c>
      <c r="D112">
        <f>IF(AND($A112&lt;&gt;"",'算罪台'!$B$5&lt;&gt;"",ISNUMBER(SEARCH($A112,'算罪台'!$B$5))),1,0)</f>
        <v/>
      </c>
      <c r="E112">
        <f>IF(AND($A112&lt;&gt;"",'算罪台'!$B$6&lt;&gt;"",ISNUMBER(SEARCH($A112,'算罪台'!$B$6))),1,0)</f>
        <v/>
      </c>
    </row>
    <row r="113">
      <c r="A113" t="inlineStr">
        <is>
          <t>侵占公款</t>
        </is>
      </c>
      <c r="B113" t="inlineStr">
        <is>
          <t>挪用公款公物罪</t>
        </is>
      </c>
      <c r="C113">
        <f>IF(AND($A113&lt;&gt;"",'算罪台'!$B$4&lt;&gt;"",ISNUMBER(SEARCH($A113,'算罪台'!$B$4))),1,0)</f>
        <v/>
      </c>
      <c r="D113">
        <f>IF(AND($A113&lt;&gt;"",'算罪台'!$B$5&lt;&gt;"",ISNUMBER(SEARCH($A113,'算罪台'!$B$5))),1,0)</f>
        <v/>
      </c>
      <c r="E113">
        <f>IF(AND($A113&lt;&gt;"",'算罪台'!$B$6&lt;&gt;"",ISNUMBER(SEARCH($A113,'算罪台'!$B$6))),1,0)</f>
        <v/>
      </c>
    </row>
    <row r="114">
      <c r="A114" t="inlineStr">
        <is>
          <t>职务侵占</t>
        </is>
      </c>
      <c r="B114" t="inlineStr">
        <is>
          <t>挪用公款公物罪</t>
        </is>
      </c>
      <c r="C114">
        <f>IF(AND($A114&lt;&gt;"",'算罪台'!$B$4&lt;&gt;"",ISNUMBER(SEARCH($A114,'算罪台'!$B$4))),1,0)</f>
        <v/>
      </c>
      <c r="D114">
        <f>IF(AND($A114&lt;&gt;"",'算罪台'!$B$5&lt;&gt;"",ISNUMBER(SEARCH($A114,'算罪台'!$B$5))),1,0)</f>
        <v/>
      </c>
      <c r="E114">
        <f>IF(AND($A114&lt;&gt;"",'算罪台'!$B$6&lt;&gt;"",ISNUMBER(SEARCH($A114,'算罪台'!$B$6))),1,0)</f>
        <v/>
      </c>
    </row>
    <row r="115">
      <c r="A115" t="inlineStr">
        <is>
          <t>持有失窃物品</t>
        </is>
      </c>
      <c r="B115" t="inlineStr">
        <is>
          <t>持有失窃物品罪</t>
        </is>
      </c>
      <c r="C115">
        <f>IF(AND($A115&lt;&gt;"",'算罪台'!$B$4&lt;&gt;"",ISNUMBER(SEARCH($A115,'算罪台'!$B$4))),1,0)</f>
        <v/>
      </c>
      <c r="D115">
        <f>IF(AND($A115&lt;&gt;"",'算罪台'!$B$5&lt;&gt;"",ISNUMBER(SEARCH($A115,'算罪台'!$B$5))),1,0)</f>
        <v/>
      </c>
      <c r="E115">
        <f>IF(AND($A115&lt;&gt;"",'算罪台'!$B$6&lt;&gt;"",ISNUMBER(SEARCH($A115,'算罪台'!$B$6))),1,0)</f>
        <v/>
      </c>
    </row>
    <row r="116">
      <c r="A116" t="inlineStr">
        <is>
          <t>持有失窃</t>
        </is>
      </c>
      <c r="B116" t="inlineStr">
        <is>
          <t>持有失窃物品罪</t>
        </is>
      </c>
      <c r="C116">
        <f>IF(AND($A116&lt;&gt;"",'算罪台'!$B$4&lt;&gt;"",ISNUMBER(SEARCH($A116,'算罪台'!$B$4))),1,0)</f>
        <v/>
      </c>
      <c r="D116">
        <f>IF(AND($A116&lt;&gt;"",'算罪台'!$B$5&lt;&gt;"",ISNUMBER(SEARCH($A116,'算罪台'!$B$5))),1,0)</f>
        <v/>
      </c>
      <c r="E116">
        <f>IF(AND($A116&lt;&gt;"",'算罪台'!$B$6&lt;&gt;"",ISNUMBER(SEARCH($A116,'算罪台'!$B$6))),1,0)</f>
        <v/>
      </c>
    </row>
    <row r="117">
      <c r="A117" t="inlineStr">
        <is>
          <t>捡到不还</t>
        </is>
      </c>
      <c r="B117" t="inlineStr">
        <is>
          <t>持有失窃物品罪</t>
        </is>
      </c>
      <c r="C117">
        <f>IF(AND($A117&lt;&gt;"",'算罪台'!$B$4&lt;&gt;"",ISNUMBER(SEARCH($A117,'算罪台'!$B$4))),1,0)</f>
        <v/>
      </c>
      <c r="D117">
        <f>IF(AND($A117&lt;&gt;"",'算罪台'!$B$5&lt;&gt;"",ISNUMBER(SEARCH($A117,'算罪台'!$B$5))),1,0)</f>
        <v/>
      </c>
      <c r="E117">
        <f>IF(AND($A117&lt;&gt;"",'算罪台'!$B$6&lt;&gt;"",ISNUMBER(SEARCH($A117,'算罪台'!$B$6))),1,0)</f>
        <v/>
      </c>
    </row>
    <row r="118">
      <c r="A118" t="inlineStr">
        <is>
          <t>非法占有遗失物</t>
        </is>
      </c>
      <c r="B118" t="inlineStr">
        <is>
          <t>持有失窃物品罪</t>
        </is>
      </c>
      <c r="C118">
        <f>IF(AND($A118&lt;&gt;"",'算罪台'!$B$4&lt;&gt;"",ISNUMBER(SEARCH($A118,'算罪台'!$B$4))),1,0)</f>
        <v/>
      </c>
      <c r="D118">
        <f>IF(AND($A118&lt;&gt;"",'算罪台'!$B$5&lt;&gt;"",ISNUMBER(SEARCH($A118,'算罪台'!$B$5))),1,0)</f>
        <v/>
      </c>
      <c r="E118">
        <f>IF(AND($A118&lt;&gt;"",'算罪台'!$B$6&lt;&gt;"",ISNUMBER(SEARCH($A118,'算罪台'!$B$6))),1,0)</f>
        <v/>
      </c>
    </row>
    <row r="119">
      <c r="A119" t="inlineStr">
        <is>
          <t>公共场合淫秽</t>
        </is>
      </c>
      <c r="B119" t="inlineStr">
        <is>
          <t>在公共场合从事淫秽行为罪</t>
        </is>
      </c>
      <c r="C119">
        <f>IF(AND($A119&lt;&gt;"",'算罪台'!$B$4&lt;&gt;"",ISNUMBER(SEARCH($A119,'算罪台'!$B$4))),1,0)</f>
        <v/>
      </c>
      <c r="D119">
        <f>IF(AND($A119&lt;&gt;"",'算罪台'!$B$5&lt;&gt;"",ISNUMBER(SEARCH($A119,'算罪台'!$B$5))),1,0)</f>
        <v/>
      </c>
      <c r="E119">
        <f>IF(AND($A119&lt;&gt;"",'算罪台'!$B$6&lt;&gt;"",ISNUMBER(SEARCH($A119,'算罪台'!$B$6))),1,0)</f>
        <v/>
      </c>
    </row>
    <row r="120">
      <c r="A120" t="inlineStr">
        <is>
          <t>公然猥亵</t>
        </is>
      </c>
      <c r="B120" t="inlineStr">
        <is>
          <t>在公共场合从事淫秽行为罪</t>
        </is>
      </c>
      <c r="C120">
        <f>IF(AND($A120&lt;&gt;"",'算罪台'!$B$4&lt;&gt;"",ISNUMBER(SEARCH($A120,'算罪台'!$B$4))),1,0)</f>
        <v/>
      </c>
      <c r="D120">
        <f>IF(AND($A120&lt;&gt;"",'算罪台'!$B$5&lt;&gt;"",ISNUMBER(SEARCH($A120,'算罪台'!$B$5))),1,0)</f>
        <v/>
      </c>
      <c r="E120">
        <f>IF(AND($A120&lt;&gt;"",'算罪台'!$B$6&lt;&gt;"",ISNUMBER(SEARCH($A120,'算罪台'!$B$6))),1,0)</f>
        <v/>
      </c>
    </row>
    <row r="121">
      <c r="A121" t="inlineStr">
        <is>
          <t>淫秽行为</t>
        </is>
      </c>
      <c r="B121" t="inlineStr">
        <is>
          <t>在公共场合从事淫秽行为罪</t>
        </is>
      </c>
      <c r="C121">
        <f>IF(AND($A121&lt;&gt;"",'算罪台'!$B$4&lt;&gt;"",ISNUMBER(SEARCH($A121,'算罪台'!$B$4))),1,0)</f>
        <v/>
      </c>
      <c r="D121">
        <f>IF(AND($A121&lt;&gt;"",'算罪台'!$B$5&lt;&gt;"",ISNUMBER(SEARCH($A121,'算罪台'!$B$5))),1,0)</f>
        <v/>
      </c>
      <c r="E121">
        <f>IF(AND($A121&lt;&gt;"",'算罪台'!$B$6&lt;&gt;"",ISNUMBER(SEARCH($A121,'算罪台'!$B$6))),1,0)</f>
        <v/>
      </c>
    </row>
    <row r="122">
      <c r="A122" t="inlineStr">
        <is>
          <t>招嫖</t>
        </is>
      </c>
      <c r="B122" t="inlineStr">
        <is>
          <t>在公共场合从事淫秽行为罪</t>
        </is>
      </c>
      <c r="C122">
        <f>IF(AND($A122&lt;&gt;"",'算罪台'!$B$4&lt;&gt;"",ISNUMBER(SEARCH($A122,'算罪台'!$B$4))),1,0)</f>
        <v/>
      </c>
      <c r="D122">
        <f>IF(AND($A122&lt;&gt;"",'算罪台'!$B$5&lt;&gt;"",ISNUMBER(SEARCH($A122,'算罪台'!$B$5))),1,0)</f>
        <v/>
      </c>
      <c r="E122">
        <f>IF(AND($A122&lt;&gt;"",'算罪台'!$B$6&lt;&gt;"",ISNUMBER(SEARCH($A122,'算罪台'!$B$6))),1,0)</f>
        <v/>
      </c>
    </row>
    <row r="123">
      <c r="A123" t="inlineStr">
        <is>
          <t>公开招募性交易</t>
        </is>
      </c>
      <c r="B123" t="inlineStr">
        <is>
          <t>在公共场合从事淫秽行为罪</t>
        </is>
      </c>
      <c r="C123">
        <f>IF(AND($A123&lt;&gt;"",'算罪台'!$B$4&lt;&gt;"",ISNUMBER(SEARCH($A123,'算罪台'!$B$4))),1,0)</f>
        <v/>
      </c>
      <c r="D123">
        <f>IF(AND($A123&lt;&gt;"",'算罪台'!$B$5&lt;&gt;"",ISNUMBER(SEARCH($A123,'算罪台'!$B$5))),1,0)</f>
        <v/>
      </c>
      <c r="E123">
        <f>IF(AND($A123&lt;&gt;"",'算罪台'!$B$6&lt;&gt;"",ISNUMBER(SEARCH($A123,'算罪台'!$B$6))),1,0)</f>
        <v/>
      </c>
    </row>
    <row r="124">
      <c r="A124" t="inlineStr">
        <is>
          <t>组织卖淫</t>
        </is>
      </c>
      <c r="B124" t="inlineStr">
        <is>
          <t>组织卖淫罪</t>
        </is>
      </c>
      <c r="C124">
        <f>IF(AND($A124&lt;&gt;"",'算罪台'!$B$4&lt;&gt;"",ISNUMBER(SEARCH($A124,'算罪台'!$B$4))),1,0)</f>
        <v/>
      </c>
      <c r="D124">
        <f>IF(AND($A124&lt;&gt;"",'算罪台'!$B$5&lt;&gt;"",ISNUMBER(SEARCH($A124,'算罪台'!$B$5))),1,0)</f>
        <v/>
      </c>
      <c r="E124">
        <f>IF(AND($A124&lt;&gt;"",'算罪台'!$B$6&lt;&gt;"",ISNUMBER(SEARCH($A124,'算罪台'!$B$6))),1,0)</f>
        <v/>
      </c>
    </row>
    <row r="125">
      <c r="A125" t="inlineStr">
        <is>
          <t>拉皮条</t>
        </is>
      </c>
      <c r="B125" t="inlineStr">
        <is>
          <t>组织卖淫罪</t>
        </is>
      </c>
      <c r="C125">
        <f>IF(AND($A125&lt;&gt;"",'算罪台'!$B$4&lt;&gt;"",ISNUMBER(SEARCH($A125,'算罪台'!$B$4))),1,0)</f>
        <v/>
      </c>
      <c r="D125">
        <f>IF(AND($A125&lt;&gt;"",'算罪台'!$B$5&lt;&gt;"",ISNUMBER(SEARCH($A125,'算罪台'!$B$5))),1,0)</f>
        <v/>
      </c>
      <c r="E125">
        <f>IF(AND($A125&lt;&gt;"",'算罪台'!$B$6&lt;&gt;"",ISNUMBER(SEARCH($A125,'算罪台'!$B$6))),1,0)</f>
        <v/>
      </c>
    </row>
    <row r="126">
      <c r="A126" t="inlineStr">
        <is>
          <t>强迫卖淫</t>
        </is>
      </c>
      <c r="B126" t="inlineStr">
        <is>
          <t>组织卖淫罪</t>
        </is>
      </c>
      <c r="C126">
        <f>IF(AND($A126&lt;&gt;"",'算罪台'!$B$4&lt;&gt;"",ISNUMBER(SEARCH($A126,'算罪台'!$B$4))),1,0)</f>
        <v/>
      </c>
      <c r="D126">
        <f>IF(AND($A126&lt;&gt;"",'算罪台'!$B$5&lt;&gt;"",ISNUMBER(SEARCH($A126,'算罪台'!$B$5))),1,0)</f>
        <v/>
      </c>
      <c r="E126">
        <f>IF(AND($A126&lt;&gt;"",'算罪台'!$B$6&lt;&gt;"",ISNUMBER(SEARCH($A126,'算罪台'!$B$6))),1,0)</f>
        <v/>
      </c>
    </row>
    <row r="127">
      <c r="A127" t="inlineStr">
        <is>
          <t>介绍卖淫</t>
        </is>
      </c>
      <c r="B127" t="inlineStr">
        <is>
          <t>组织卖淫罪</t>
        </is>
      </c>
      <c r="C127">
        <f>IF(AND($A127&lt;&gt;"",'算罪台'!$B$4&lt;&gt;"",ISNUMBER(SEARCH($A127,'算罪台'!$B$4))),1,0)</f>
        <v/>
      </c>
      <c r="D127">
        <f>IF(AND($A127&lt;&gt;"",'算罪台'!$B$5&lt;&gt;"",ISNUMBER(SEARCH($A127,'算罪台'!$B$5))),1,0)</f>
        <v/>
      </c>
      <c r="E127">
        <f>IF(AND($A127&lt;&gt;"",'算罪台'!$B$6&lt;&gt;"",ISNUMBER(SEARCH($A127,'算罪台'!$B$6))),1,0)</f>
        <v/>
      </c>
    </row>
    <row r="128">
      <c r="A128" t="inlineStr">
        <is>
          <t>卖淫</t>
        </is>
      </c>
      <c r="B128" t="inlineStr">
        <is>
          <t>卖淫罪</t>
        </is>
      </c>
      <c r="C128">
        <f>IF(AND($A128&lt;&gt;"",'算罪台'!$B$4&lt;&gt;"",ISNUMBER(SEARCH($A128,'算罪台'!$B$4))),1,0)</f>
        <v/>
      </c>
      <c r="D128">
        <f>IF(AND($A128&lt;&gt;"",'算罪台'!$B$5&lt;&gt;"",ISNUMBER(SEARCH($A128,'算罪台'!$B$5))),1,0)</f>
        <v/>
      </c>
      <c r="E128">
        <f>IF(AND($A128&lt;&gt;"",'算罪台'!$B$6&lt;&gt;"",ISNUMBER(SEARCH($A128,'算罪台'!$B$6))),1,0)</f>
        <v/>
      </c>
    </row>
    <row r="129">
      <c r="A129" t="inlineStr">
        <is>
          <t>性交易</t>
        </is>
      </c>
      <c r="B129" t="inlineStr">
        <is>
          <t>卖淫罪</t>
        </is>
      </c>
      <c r="C129">
        <f>IF(AND($A129&lt;&gt;"",'算罪台'!$B$4&lt;&gt;"",ISNUMBER(SEARCH($A129,'算罪台'!$B$4))),1,0)</f>
        <v/>
      </c>
      <c r="D129">
        <f>IF(AND($A129&lt;&gt;"",'算罪台'!$B$5&lt;&gt;"",ISNUMBER(SEARCH($A129,'算罪台'!$B$5))),1,0)</f>
        <v/>
      </c>
      <c r="E129">
        <f>IF(AND($A129&lt;&gt;"",'算罪台'!$B$6&lt;&gt;"",ISNUMBER(SEARCH($A129,'算罪台'!$B$6))),1,0)</f>
        <v/>
      </c>
    </row>
    <row r="130">
      <c r="A130" t="inlineStr">
        <is>
          <t>提供性服务</t>
        </is>
      </c>
      <c r="B130" t="inlineStr">
        <is>
          <t>卖淫罪</t>
        </is>
      </c>
      <c r="C130">
        <f>IF(AND($A130&lt;&gt;"",'算罪台'!$B$4&lt;&gt;"",ISNUMBER(SEARCH($A130,'算罪台'!$B$4))),1,0)</f>
        <v/>
      </c>
      <c r="D130">
        <f>IF(AND($A130&lt;&gt;"",'算罪台'!$B$5&lt;&gt;"",ISNUMBER(SEARCH($A130,'算罪台'!$B$5))),1,0)</f>
        <v/>
      </c>
      <c r="E130">
        <f>IF(AND($A130&lt;&gt;"",'算罪台'!$B$6&lt;&gt;"",ISNUMBER(SEARCH($A130,'算罪台'!$B$6))),1,0)</f>
        <v/>
      </c>
    </row>
    <row r="131">
      <c r="A131" t="inlineStr">
        <is>
          <t>强奸</t>
        </is>
      </c>
      <c r="B131" t="inlineStr">
        <is>
          <t>强奸罪</t>
        </is>
      </c>
      <c r="C131">
        <f>IF(AND($A131&lt;&gt;"",'算罪台'!$B$4&lt;&gt;"",ISNUMBER(SEARCH($A131,'算罪台'!$B$4))),1,0)</f>
        <v/>
      </c>
      <c r="D131">
        <f>IF(AND($A131&lt;&gt;"",'算罪台'!$B$5&lt;&gt;"",ISNUMBER(SEARCH($A131,'算罪台'!$B$5))),1,0)</f>
        <v/>
      </c>
      <c r="E131">
        <f>IF(AND($A131&lt;&gt;"",'算罪台'!$B$6&lt;&gt;"",ISNUMBER(SEARCH($A131,'算罪台'!$B$6))),1,0)</f>
        <v/>
      </c>
    </row>
    <row r="132">
      <c r="A132" t="inlineStr">
        <is>
          <t>性侵</t>
        </is>
      </c>
      <c r="B132" t="inlineStr">
        <is>
          <t>强奸罪</t>
        </is>
      </c>
      <c r="C132">
        <f>IF(AND($A132&lt;&gt;"",'算罪台'!$B$4&lt;&gt;"",ISNUMBER(SEARCH($A132,'算罪台'!$B$4))),1,0)</f>
        <v/>
      </c>
      <c r="D132">
        <f>IF(AND($A132&lt;&gt;"",'算罪台'!$B$5&lt;&gt;"",ISNUMBER(SEARCH($A132,'算罪台'!$B$5))),1,0)</f>
        <v/>
      </c>
      <c r="E132">
        <f>IF(AND($A132&lt;&gt;"",'算罪台'!$B$6&lt;&gt;"",ISNUMBER(SEARCH($A132,'算罪台'!$B$6))),1,0)</f>
        <v/>
      </c>
    </row>
    <row r="133">
      <c r="A133" t="inlineStr">
        <is>
          <t>强迫性行为</t>
        </is>
      </c>
      <c r="B133" t="inlineStr">
        <is>
          <t>强奸罪</t>
        </is>
      </c>
      <c r="C133">
        <f>IF(AND($A133&lt;&gt;"",'算罪台'!$B$4&lt;&gt;"",ISNUMBER(SEARCH($A133,'算罪台'!$B$4))),1,0)</f>
        <v/>
      </c>
      <c r="D133">
        <f>IF(AND($A133&lt;&gt;"",'算罪台'!$B$5&lt;&gt;"",ISNUMBER(SEARCH($A133,'算罪台'!$B$5))),1,0)</f>
        <v/>
      </c>
      <c r="E133">
        <f>IF(AND($A133&lt;&gt;"",'算罪台'!$B$6&lt;&gt;"",ISNUMBER(SEARCH($A133,'算罪台'!$B$6))),1,0)</f>
        <v/>
      </c>
    </row>
    <row r="134">
      <c r="A134" t="inlineStr">
        <is>
          <t>强迫发生关系</t>
        </is>
      </c>
      <c r="B134" t="inlineStr">
        <is>
          <t>强奸罪</t>
        </is>
      </c>
      <c r="C134">
        <f>IF(AND($A134&lt;&gt;"",'算罪台'!$B$4&lt;&gt;"",ISNUMBER(SEARCH($A134,'算罪台'!$B$4))),1,0)</f>
        <v/>
      </c>
      <c r="D134">
        <f>IF(AND($A134&lt;&gt;"",'算罪台'!$B$5&lt;&gt;"",ISNUMBER(SEARCH($A134,'算罪台'!$B$5))),1,0)</f>
        <v/>
      </c>
      <c r="E134">
        <f>IF(AND($A134&lt;&gt;"",'算罪台'!$B$6&lt;&gt;"",ISNUMBER(SEARCH($A134,'算罪台'!$B$6))),1,0)</f>
        <v/>
      </c>
    </row>
    <row r="135">
      <c r="A135" t="inlineStr">
        <is>
          <t>传播淫秽</t>
        </is>
      </c>
      <c r="B135" t="inlineStr">
        <is>
          <t>传播淫秽色情罪</t>
        </is>
      </c>
      <c r="C135">
        <f>IF(AND($A135&lt;&gt;"",'算罪台'!$B$4&lt;&gt;"",ISNUMBER(SEARCH($A135,'算罪台'!$B$4))),1,0)</f>
        <v/>
      </c>
      <c r="D135">
        <f>IF(AND($A135&lt;&gt;"",'算罪台'!$B$5&lt;&gt;"",ISNUMBER(SEARCH($A135,'算罪台'!$B$5))),1,0)</f>
        <v/>
      </c>
      <c r="E135">
        <f>IF(AND($A135&lt;&gt;"",'算罪台'!$B$6&lt;&gt;"",ISNUMBER(SEARCH($A135,'算罪台'!$B$6))),1,0)</f>
        <v/>
      </c>
    </row>
    <row r="136">
      <c r="A136" t="inlineStr">
        <is>
          <t>传播色情</t>
        </is>
      </c>
      <c r="B136" t="inlineStr">
        <is>
          <t>传播淫秽色情罪</t>
        </is>
      </c>
      <c r="C136">
        <f>IF(AND($A136&lt;&gt;"",'算罪台'!$B$4&lt;&gt;"",ISNUMBER(SEARCH($A136,'算罪台'!$B$4))),1,0)</f>
        <v/>
      </c>
      <c r="D136">
        <f>IF(AND($A136&lt;&gt;"",'算罪台'!$B$5&lt;&gt;"",ISNUMBER(SEARCH($A136,'算罪台'!$B$5))),1,0)</f>
        <v/>
      </c>
      <c r="E136">
        <f>IF(AND($A136&lt;&gt;"",'算罪台'!$B$6&lt;&gt;"",ISNUMBER(SEARCH($A136,'算罪台'!$B$6))),1,0)</f>
        <v/>
      </c>
    </row>
    <row r="137">
      <c r="A137" t="inlineStr">
        <is>
          <t>淫秽内容</t>
        </is>
      </c>
      <c r="B137" t="inlineStr">
        <is>
          <t>传播淫秽色情罪</t>
        </is>
      </c>
      <c r="C137">
        <f>IF(AND($A137&lt;&gt;"",'算罪台'!$B$4&lt;&gt;"",ISNUMBER(SEARCH($A137,'算罪台'!$B$4))),1,0)</f>
        <v/>
      </c>
      <c r="D137">
        <f>IF(AND($A137&lt;&gt;"",'算罪台'!$B$5&lt;&gt;"",ISNUMBER(SEARCH($A137,'算罪台'!$B$5))),1,0)</f>
        <v/>
      </c>
      <c r="E137">
        <f>IF(AND($A137&lt;&gt;"",'算罪台'!$B$6&lt;&gt;"",ISNUMBER(SEARCH($A137,'算罪台'!$B$6))),1,0)</f>
        <v/>
      </c>
    </row>
    <row r="138">
      <c r="A138" t="inlineStr">
        <is>
          <t>色情视频</t>
        </is>
      </c>
      <c r="B138" t="inlineStr">
        <is>
          <t>传播淫秽色情罪</t>
        </is>
      </c>
      <c r="C138">
        <f>IF(AND($A138&lt;&gt;"",'算罪台'!$B$4&lt;&gt;"",ISNUMBER(SEARCH($A138,'算罪台'!$B$4))),1,0)</f>
        <v/>
      </c>
      <c r="D138">
        <f>IF(AND($A138&lt;&gt;"",'算罪台'!$B$5&lt;&gt;"",ISNUMBER(SEARCH($A138,'算罪台'!$B$5))),1,0)</f>
        <v/>
      </c>
      <c r="E138">
        <f>IF(AND($A138&lt;&gt;"",'算罪台'!$B$6&lt;&gt;"",ISNUMBER(SEARCH($A138,'算罪台'!$B$6))),1,0)</f>
        <v/>
      </c>
    </row>
    <row r="139">
      <c r="A139" t="inlineStr">
        <is>
          <t>贩卖色情</t>
        </is>
      </c>
      <c r="B139" t="inlineStr">
        <is>
          <t>传播淫秽色情罪</t>
        </is>
      </c>
      <c r="C139">
        <f>IF(AND($A139&lt;&gt;"",'算罪台'!$B$4&lt;&gt;"",ISNUMBER(SEARCH($A139,'算罪台'!$B$4))),1,0)</f>
        <v/>
      </c>
      <c r="D139">
        <f>IF(AND($A139&lt;&gt;"",'算罪台'!$B$5&lt;&gt;"",ISNUMBER(SEARCH($A139,'算罪台'!$B$5))),1,0)</f>
        <v/>
      </c>
      <c r="E139">
        <f>IF(AND($A139&lt;&gt;"",'算罪台'!$B$6&lt;&gt;"",ISNUMBER(SEARCH($A139,'算罪台'!$B$6))),1,0)</f>
        <v/>
      </c>
    </row>
    <row r="140">
      <c r="A140" t="inlineStr">
        <is>
          <t>歧视</t>
        </is>
      </c>
      <c r="B140" t="inlineStr">
        <is>
          <t>歧视罪</t>
        </is>
      </c>
      <c r="C140">
        <f>IF(AND($A140&lt;&gt;"",'算罪台'!$B$4&lt;&gt;"",ISNUMBER(SEARCH($A140,'算罪台'!$B$4))),1,0)</f>
        <v/>
      </c>
      <c r="D140">
        <f>IF(AND($A140&lt;&gt;"",'算罪台'!$B$5&lt;&gt;"",ISNUMBER(SEARCH($A140,'算罪台'!$B$5))),1,0)</f>
        <v/>
      </c>
      <c r="E140">
        <f>IF(AND($A140&lt;&gt;"",'算罪台'!$B$6&lt;&gt;"",ISNUMBER(SEARCH($A140,'算罪台'!$B$6))),1,0)</f>
        <v/>
      </c>
    </row>
    <row r="141">
      <c r="A141" t="inlineStr">
        <is>
          <t>种族歧视</t>
        </is>
      </c>
      <c r="B141" t="inlineStr">
        <is>
          <t>歧视罪</t>
        </is>
      </c>
      <c r="C141">
        <f>IF(AND($A141&lt;&gt;"",'算罪台'!$B$4&lt;&gt;"",ISNUMBER(SEARCH($A141,'算罪台'!$B$4))),1,0)</f>
        <v/>
      </c>
      <c r="D141">
        <f>IF(AND($A141&lt;&gt;"",'算罪台'!$B$5&lt;&gt;"",ISNUMBER(SEARCH($A141,'算罪台'!$B$5))),1,0)</f>
        <v/>
      </c>
      <c r="E141">
        <f>IF(AND($A141&lt;&gt;"",'算罪台'!$B$6&lt;&gt;"",ISNUMBER(SEARCH($A141,'算罪台'!$B$6))),1,0)</f>
        <v/>
      </c>
    </row>
    <row r="142">
      <c r="A142" t="inlineStr">
        <is>
          <t>辱骂</t>
        </is>
      </c>
      <c r="B142" t="inlineStr">
        <is>
          <t>歧视罪</t>
        </is>
      </c>
      <c r="C142">
        <f>IF(AND($A142&lt;&gt;"",'算罪台'!$B$4&lt;&gt;"",ISNUMBER(SEARCH($A142,'算罪台'!$B$4))),1,0)</f>
        <v/>
      </c>
      <c r="D142">
        <f>IF(AND($A142&lt;&gt;"",'算罪台'!$B$5&lt;&gt;"",ISNUMBER(SEARCH($A142,'算罪台'!$B$5))),1,0)</f>
        <v/>
      </c>
      <c r="E142">
        <f>IF(AND($A142&lt;&gt;"",'算罪台'!$B$6&lt;&gt;"",ISNUMBER(SEARCH($A142,'算罪台'!$B$6))),1,0)</f>
        <v/>
      </c>
    </row>
    <row r="143">
      <c r="A143" t="inlineStr">
        <is>
          <t>侮辱</t>
        </is>
      </c>
      <c r="B143" t="inlineStr">
        <is>
          <t>歧视罪</t>
        </is>
      </c>
      <c r="C143">
        <f>IF(AND($A143&lt;&gt;"",'算罪台'!$B$4&lt;&gt;"",ISNUMBER(SEARCH($A143,'算罪台'!$B$4))),1,0)</f>
        <v/>
      </c>
      <c r="D143">
        <f>IF(AND($A143&lt;&gt;"",'算罪台'!$B$5&lt;&gt;"",ISNUMBER(SEARCH($A143,'算罪台'!$B$5))),1,0)</f>
        <v/>
      </c>
      <c r="E143">
        <f>IF(AND($A143&lt;&gt;"",'算罪台'!$B$6&lt;&gt;"",ISNUMBER(SEARCH($A143,'算罪台'!$B$6))),1,0)</f>
        <v/>
      </c>
    </row>
    <row r="144">
      <c r="A144" t="inlineStr">
        <is>
          <t>贬低</t>
        </is>
      </c>
      <c r="B144" t="inlineStr">
        <is>
          <t>歧视罪</t>
        </is>
      </c>
      <c r="C144">
        <f>IF(AND($A144&lt;&gt;"",'算罪台'!$B$4&lt;&gt;"",ISNUMBER(SEARCH($A144,'算罪台'!$B$4))),1,0)</f>
        <v/>
      </c>
      <c r="D144">
        <f>IF(AND($A144&lt;&gt;"",'算罪台'!$B$5&lt;&gt;"",ISNUMBER(SEARCH($A144,'算罪台'!$B$5))),1,0)</f>
        <v/>
      </c>
      <c r="E144">
        <f>IF(AND($A144&lt;&gt;"",'算罪台'!$B$6&lt;&gt;"",ISNUMBER(SEARCH($A144,'算罪台'!$B$6))),1,0)</f>
        <v/>
      </c>
    </row>
    <row r="145">
      <c r="A145" t="inlineStr">
        <is>
          <t>诽谤</t>
        </is>
      </c>
      <c r="B145" t="inlineStr">
        <is>
          <t>诽谤罪</t>
        </is>
      </c>
      <c r="C145">
        <f>IF(AND($A145&lt;&gt;"",'算罪台'!$B$4&lt;&gt;"",ISNUMBER(SEARCH($A145,'算罪台'!$B$4))),1,0)</f>
        <v/>
      </c>
      <c r="D145">
        <f>IF(AND($A145&lt;&gt;"",'算罪台'!$B$5&lt;&gt;"",ISNUMBER(SEARCH($A145,'算罪台'!$B$5))),1,0)</f>
        <v/>
      </c>
      <c r="E145">
        <f>IF(AND($A145&lt;&gt;"",'算罪台'!$B$6&lt;&gt;"",ISNUMBER(SEARCH($A145,'算罪台'!$B$6))),1,0)</f>
        <v/>
      </c>
    </row>
    <row r="146">
      <c r="A146" t="inlineStr">
        <is>
          <t>造谣</t>
        </is>
      </c>
      <c r="B146" t="inlineStr">
        <is>
          <t>诽谤罪</t>
        </is>
      </c>
      <c r="C146">
        <f>IF(AND($A146&lt;&gt;"",'算罪台'!$B$4&lt;&gt;"",ISNUMBER(SEARCH($A146,'算罪台'!$B$4))),1,0)</f>
        <v/>
      </c>
      <c r="D146">
        <f>IF(AND($A146&lt;&gt;"",'算罪台'!$B$5&lt;&gt;"",ISNUMBER(SEARCH($A146,'算罪台'!$B$5))),1,0)</f>
        <v/>
      </c>
      <c r="E146">
        <f>IF(AND($A146&lt;&gt;"",'算罪台'!$B$6&lt;&gt;"",ISNUMBER(SEARCH($A146,'算罪台'!$B$6))),1,0)</f>
        <v/>
      </c>
    </row>
    <row r="147">
      <c r="A147" t="inlineStr">
        <is>
          <t>污蔑</t>
        </is>
      </c>
      <c r="B147" t="inlineStr">
        <is>
          <t>诽谤罪</t>
        </is>
      </c>
      <c r="C147">
        <f>IF(AND($A147&lt;&gt;"",'算罪台'!$B$4&lt;&gt;"",ISNUMBER(SEARCH($A147,'算罪台'!$B$4))),1,0)</f>
        <v/>
      </c>
      <c r="D147">
        <f>IF(AND($A147&lt;&gt;"",'算罪台'!$B$5&lt;&gt;"",ISNUMBER(SEARCH($A147,'算罪台'!$B$5))),1,0)</f>
        <v/>
      </c>
      <c r="E147">
        <f>IF(AND($A147&lt;&gt;"",'算罪台'!$B$6&lt;&gt;"",ISNUMBER(SEARCH($A147,'算罪台'!$B$6))),1,0)</f>
        <v/>
      </c>
    </row>
    <row r="148">
      <c r="A148" t="inlineStr">
        <is>
          <t>捏造</t>
        </is>
      </c>
      <c r="B148" t="inlineStr">
        <is>
          <t>诽谤罪</t>
        </is>
      </c>
      <c r="C148">
        <f>IF(AND($A148&lt;&gt;"",'算罪台'!$B$4&lt;&gt;"",ISNUMBER(SEARCH($A148,'算罪台'!$B$4))),1,0)</f>
        <v/>
      </c>
      <c r="D148">
        <f>IF(AND($A148&lt;&gt;"",'算罪台'!$B$5&lt;&gt;"",ISNUMBER(SEARCH($A148,'算罪台'!$B$5))),1,0)</f>
        <v/>
      </c>
      <c r="E148">
        <f>IF(AND($A148&lt;&gt;"",'算罪台'!$B$6&lt;&gt;"",ISNUMBER(SEARCH($A148,'算罪台'!$B$6))),1,0)</f>
        <v/>
      </c>
    </row>
    <row r="149">
      <c r="A149" t="inlineStr">
        <is>
          <t>损害名誉</t>
        </is>
      </c>
      <c r="B149" t="inlineStr">
        <is>
          <t>诽谤罪</t>
        </is>
      </c>
      <c r="C149">
        <f>IF(AND($A149&lt;&gt;"",'算罪台'!$B$4&lt;&gt;"",ISNUMBER(SEARCH($A149,'算罪台'!$B$4))),1,0)</f>
        <v/>
      </c>
      <c r="D149">
        <f>IF(AND($A149&lt;&gt;"",'算罪台'!$B$5&lt;&gt;"",ISNUMBER(SEARCH($A149,'算罪台'!$B$5))),1,0)</f>
        <v/>
      </c>
      <c r="E149">
        <f>IF(AND($A149&lt;&gt;"",'算罪台'!$B$6&lt;&gt;"",ISNUMBER(SEARCH($A149,'算罪台'!$B$6))),1,0)</f>
        <v/>
      </c>
    </row>
    <row r="150">
      <c r="A150" t="inlineStr">
        <is>
          <t>传播虚假信息</t>
        </is>
      </c>
      <c r="B150" t="inlineStr">
        <is>
          <t>诽谤罪</t>
        </is>
      </c>
      <c r="C150">
        <f>IF(AND($A150&lt;&gt;"",'算罪台'!$B$4&lt;&gt;"",ISNUMBER(SEARCH($A150,'算罪台'!$B$4))),1,0)</f>
        <v/>
      </c>
      <c r="D150">
        <f>IF(AND($A150&lt;&gt;"",'算罪台'!$B$5&lt;&gt;"",ISNUMBER(SEARCH($A150,'算罪台'!$B$5))),1,0)</f>
        <v/>
      </c>
      <c r="E150">
        <f>IF(AND($A150&lt;&gt;"",'算罪台'!$B$6&lt;&gt;"",ISNUMBER(SEARCH($A150,'算罪台'!$B$6))),1,0)</f>
        <v/>
      </c>
    </row>
    <row r="151">
      <c r="A151" t="inlineStr">
        <is>
          <t>行贿</t>
        </is>
      </c>
      <c r="B151" t="inlineStr">
        <is>
          <t>行贿罪</t>
        </is>
      </c>
      <c r="C151">
        <f>IF(AND($A151&lt;&gt;"",'算罪台'!$B$4&lt;&gt;"",ISNUMBER(SEARCH($A151,'算罪台'!$B$4))),1,0)</f>
        <v/>
      </c>
      <c r="D151">
        <f>IF(AND($A151&lt;&gt;"",'算罪台'!$B$5&lt;&gt;"",ISNUMBER(SEARCH($A151,'算罪台'!$B$5))),1,0)</f>
        <v/>
      </c>
      <c r="E151">
        <f>IF(AND($A151&lt;&gt;"",'算罪台'!$B$6&lt;&gt;"",ISNUMBER(SEARCH($A151,'算罪台'!$B$6))),1,0)</f>
        <v/>
      </c>
    </row>
    <row r="152">
      <c r="A152" t="inlineStr">
        <is>
          <t>贿赂</t>
        </is>
      </c>
      <c r="B152" t="inlineStr">
        <is>
          <t>行贿罪</t>
        </is>
      </c>
      <c r="C152">
        <f>IF(AND($A152&lt;&gt;"",'算罪台'!$B$4&lt;&gt;"",ISNUMBER(SEARCH($A152,'算罪台'!$B$4))),1,0)</f>
        <v/>
      </c>
      <c r="D152">
        <f>IF(AND($A152&lt;&gt;"",'算罪台'!$B$5&lt;&gt;"",ISNUMBER(SEARCH($A152,'算罪台'!$B$5))),1,0)</f>
        <v/>
      </c>
      <c r="E152">
        <f>IF(AND($A152&lt;&gt;"",'算罪台'!$B$6&lt;&gt;"",ISNUMBER(SEARCH($A152,'算罪台'!$B$6))),1,0)</f>
        <v/>
      </c>
    </row>
    <row r="153">
      <c r="A153" t="inlineStr">
        <is>
          <t>送钱给</t>
        </is>
      </c>
      <c r="B153" t="inlineStr">
        <is>
          <t>行贿罪</t>
        </is>
      </c>
      <c r="C153">
        <f>IF(AND($A153&lt;&gt;"",'算罪台'!$B$4&lt;&gt;"",ISNUMBER(SEARCH($A153,'算罪台'!$B$4))),1,0)</f>
        <v/>
      </c>
      <c r="D153">
        <f>IF(AND($A153&lt;&gt;"",'算罪台'!$B$5&lt;&gt;"",ISNUMBER(SEARCH($A153,'算罪台'!$B$5))),1,0)</f>
        <v/>
      </c>
      <c r="E153">
        <f>IF(AND($A153&lt;&gt;"",'算罪台'!$B$6&lt;&gt;"",ISNUMBER(SEARCH($A153,'算罪台'!$B$6))),1,0)</f>
        <v/>
      </c>
    </row>
    <row r="154">
      <c r="A154" t="inlineStr">
        <is>
          <t>塞钱</t>
        </is>
      </c>
      <c r="B154" t="inlineStr">
        <is>
          <t>行贿罪</t>
        </is>
      </c>
      <c r="C154">
        <f>IF(AND($A154&lt;&gt;"",'算罪台'!$B$4&lt;&gt;"",ISNUMBER(SEARCH($A154,'算罪台'!$B$4))),1,0)</f>
        <v/>
      </c>
      <c r="D154">
        <f>IF(AND($A154&lt;&gt;"",'算罪台'!$B$5&lt;&gt;"",ISNUMBER(SEARCH($A154,'算罪台'!$B$5))),1,0)</f>
        <v/>
      </c>
      <c r="E154">
        <f>IF(AND($A154&lt;&gt;"",'算罪台'!$B$6&lt;&gt;"",ISNUMBER(SEARCH($A154,'算罪台'!$B$6))),1,0)</f>
        <v/>
      </c>
    </row>
    <row r="155">
      <c r="A155" t="inlineStr">
        <is>
          <t>贿赂政府</t>
        </is>
      </c>
      <c r="B155" t="inlineStr">
        <is>
          <t>行贿罪</t>
        </is>
      </c>
      <c r="C155">
        <f>IF(AND($A155&lt;&gt;"",'算罪台'!$B$4&lt;&gt;"",ISNUMBER(SEARCH($A155,'算罪台'!$B$4))),1,0)</f>
        <v/>
      </c>
      <c r="D155">
        <f>IF(AND($A155&lt;&gt;"",'算罪台'!$B$5&lt;&gt;"",ISNUMBER(SEARCH($A155,'算罪台'!$B$5))),1,0)</f>
        <v/>
      </c>
      <c r="E155">
        <f>IF(AND($A155&lt;&gt;"",'算罪台'!$B$6&lt;&gt;"",ISNUMBER(SEARCH($A155,'算罪台'!$B$6))),1,0)</f>
        <v/>
      </c>
    </row>
    <row r="156">
      <c r="A156" t="inlineStr">
        <is>
          <t>妨碍司法</t>
        </is>
      </c>
      <c r="B156" t="inlineStr">
        <is>
          <t>妨碍司法罪</t>
        </is>
      </c>
      <c r="C156">
        <f>IF(AND($A156&lt;&gt;"",'算罪台'!$B$4&lt;&gt;"",ISNUMBER(SEARCH($A156,'算罪台'!$B$4))),1,0)</f>
        <v/>
      </c>
      <c r="D156">
        <f>IF(AND($A156&lt;&gt;"",'算罪台'!$B$5&lt;&gt;"",ISNUMBER(SEARCH($A156,'算罪台'!$B$5))),1,0)</f>
        <v/>
      </c>
      <c r="E156">
        <f>IF(AND($A156&lt;&gt;"",'算罪台'!$B$6&lt;&gt;"",ISNUMBER(SEARCH($A156,'算罪台'!$B$6))),1,0)</f>
        <v/>
      </c>
    </row>
    <row r="157">
      <c r="A157" t="inlineStr">
        <is>
          <t>阻碍司法</t>
        </is>
      </c>
      <c r="B157" t="inlineStr">
        <is>
          <t>妨碍司法罪</t>
        </is>
      </c>
      <c r="C157">
        <f>IF(AND($A157&lt;&gt;"",'算罪台'!$B$4&lt;&gt;"",ISNUMBER(SEARCH($A157,'算罪台'!$B$4))),1,0)</f>
        <v/>
      </c>
      <c r="D157">
        <f>IF(AND($A157&lt;&gt;"",'算罪台'!$B$5&lt;&gt;"",ISNUMBER(SEARCH($A157,'算罪台'!$B$5))),1,0)</f>
        <v/>
      </c>
      <c r="E157">
        <f>IF(AND($A157&lt;&gt;"",'算罪台'!$B$6&lt;&gt;"",ISNUMBER(SEARCH($A157,'算罪台'!$B$6))),1,0)</f>
        <v/>
      </c>
    </row>
    <row r="158">
      <c r="A158" t="inlineStr">
        <is>
          <t>阻碍法律文书</t>
        </is>
      </c>
      <c r="B158" t="inlineStr">
        <is>
          <t>妨碍司法罪</t>
        </is>
      </c>
      <c r="C158">
        <f>IF(AND($A158&lt;&gt;"",'算罪台'!$B$4&lt;&gt;"",ISNUMBER(SEARCH($A158,'算罪台'!$B$4))),1,0)</f>
        <v/>
      </c>
      <c r="D158">
        <f>IF(AND($A158&lt;&gt;"",'算罪台'!$B$5&lt;&gt;"",ISNUMBER(SEARCH($A158,'算罪台'!$B$5))),1,0)</f>
        <v/>
      </c>
      <c r="E158">
        <f>IF(AND($A158&lt;&gt;"",'算罪台'!$B$6&lt;&gt;"",ISNUMBER(SEARCH($A158,'算罪台'!$B$6))),1,0)</f>
        <v/>
      </c>
    </row>
    <row r="159">
      <c r="A159" t="inlineStr">
        <is>
          <t>拒绝命令</t>
        </is>
      </c>
      <c r="B159" t="inlineStr">
        <is>
          <t>拒绝听从执法人员命令与检查罪</t>
        </is>
      </c>
      <c r="C159">
        <f>IF(AND($A159&lt;&gt;"",'算罪台'!$B$4&lt;&gt;"",ISNUMBER(SEARCH($A159,'算罪台'!$B$4))),1,0)</f>
        <v/>
      </c>
      <c r="D159">
        <f>IF(AND($A159&lt;&gt;"",'算罪台'!$B$5&lt;&gt;"",ISNUMBER(SEARCH($A159,'算罪台'!$B$5))),1,0)</f>
        <v/>
      </c>
      <c r="E159">
        <f>IF(AND($A159&lt;&gt;"",'算罪台'!$B$6&lt;&gt;"",ISNUMBER(SEARCH($A159,'算罪台'!$B$6))),1,0)</f>
        <v/>
      </c>
    </row>
    <row r="160">
      <c r="A160" t="inlineStr">
        <is>
          <t>不服从命令</t>
        </is>
      </c>
      <c r="B160" t="inlineStr">
        <is>
          <t>拒绝听从执法人员命令与检查罪</t>
        </is>
      </c>
      <c r="C160">
        <f>IF(AND($A160&lt;&gt;"",'算罪台'!$B$4&lt;&gt;"",ISNUMBER(SEARCH($A160,'算罪台'!$B$4))),1,0)</f>
        <v/>
      </c>
      <c r="D160">
        <f>IF(AND($A160&lt;&gt;"",'算罪台'!$B$5&lt;&gt;"",ISNUMBER(SEARCH($A160,'算罪台'!$B$5))),1,0)</f>
        <v/>
      </c>
      <c r="E160">
        <f>IF(AND($A160&lt;&gt;"",'算罪台'!$B$6&lt;&gt;"",ISNUMBER(SEARCH($A160,'算罪台'!$B$6))),1,0)</f>
        <v/>
      </c>
    </row>
    <row r="161">
      <c r="A161" t="inlineStr">
        <is>
          <t>拒绝检查</t>
        </is>
      </c>
      <c r="B161" t="inlineStr">
        <is>
          <t>拒绝听从执法人员命令与检查罪</t>
        </is>
      </c>
      <c r="C161">
        <f>IF(AND($A161&lt;&gt;"",'算罪台'!$B$4&lt;&gt;"",ISNUMBER(SEARCH($A161,'算罪台'!$B$4))),1,0)</f>
        <v/>
      </c>
      <c r="D161">
        <f>IF(AND($A161&lt;&gt;"",'算罪台'!$B$5&lt;&gt;"",ISNUMBER(SEARCH($A161,'算罪台'!$B$5))),1,0)</f>
        <v/>
      </c>
      <c r="E161">
        <f>IF(AND($A161&lt;&gt;"",'算罪台'!$B$6&lt;&gt;"",ISNUMBER(SEARCH($A161,'算罪台'!$B$6))),1,0)</f>
        <v/>
      </c>
    </row>
    <row r="162">
      <c r="A162" t="inlineStr">
        <is>
          <t>不配合检查</t>
        </is>
      </c>
      <c r="B162" t="inlineStr">
        <is>
          <t>拒绝听从执法人员命令与检查罪</t>
        </is>
      </c>
      <c r="C162">
        <f>IF(AND($A162&lt;&gt;"",'算罪台'!$B$4&lt;&gt;"",ISNUMBER(SEARCH($A162,'算罪台'!$B$4))),1,0)</f>
        <v/>
      </c>
      <c r="D162">
        <f>IF(AND($A162&lt;&gt;"",'算罪台'!$B$5&lt;&gt;"",ISNUMBER(SEARCH($A162,'算罪台'!$B$5))),1,0)</f>
        <v/>
      </c>
      <c r="E162">
        <f>IF(AND($A162&lt;&gt;"",'算罪台'!$B$6&lt;&gt;"",ISNUMBER(SEARCH($A162,'算罪台'!$B$6))),1,0)</f>
        <v/>
      </c>
    </row>
    <row r="163">
      <c r="A163" t="inlineStr">
        <is>
          <t>拒绝指示</t>
        </is>
      </c>
      <c r="B163" t="inlineStr">
        <is>
          <t>拒绝听从执法人员命令与检查罪</t>
        </is>
      </c>
      <c r="C163">
        <f>IF(AND($A163&lt;&gt;"",'算罪台'!$B$4&lt;&gt;"",ISNUMBER(SEARCH($A163,'算罪台'!$B$4))),1,0)</f>
        <v/>
      </c>
      <c r="D163">
        <f>IF(AND($A163&lt;&gt;"",'算罪台'!$B$5&lt;&gt;"",ISNUMBER(SEARCH($A163,'算罪台'!$B$5))),1,0)</f>
        <v/>
      </c>
      <c r="E163">
        <f>IF(AND($A163&lt;&gt;"",'算罪台'!$B$6&lt;&gt;"",ISNUMBER(SEARCH($A163,'算罪台'!$B$6))),1,0)</f>
        <v/>
      </c>
    </row>
    <row r="164">
      <c r="A164" t="inlineStr">
        <is>
          <t>不听指挥</t>
        </is>
      </c>
      <c r="B164" t="inlineStr">
        <is>
          <t>拒绝听从执法人员命令与检查罪</t>
        </is>
      </c>
      <c r="C164">
        <f>IF(AND($A164&lt;&gt;"",'算罪台'!$B$4&lt;&gt;"",ISNUMBER(SEARCH($A164,'算罪台'!$B$4))),1,0)</f>
        <v/>
      </c>
      <c r="D164">
        <f>IF(AND($A164&lt;&gt;"",'算罪台'!$B$5&lt;&gt;"",ISNUMBER(SEARCH($A164,'算罪台'!$B$5))),1,0)</f>
        <v/>
      </c>
      <c r="E164">
        <f>IF(AND($A164&lt;&gt;"",'算罪台'!$B$6&lt;&gt;"",ISNUMBER(SEARCH($A164,'算罪台'!$B$6))),1,0)</f>
        <v/>
      </c>
    </row>
    <row r="165">
      <c r="A165" t="inlineStr">
        <is>
          <t>拒绝提供身份</t>
        </is>
      </c>
      <c r="B165" t="inlineStr">
        <is>
          <t>拒绝提供身份罪</t>
        </is>
      </c>
      <c r="C165">
        <f>IF(AND($A165&lt;&gt;"",'算罪台'!$B$4&lt;&gt;"",ISNUMBER(SEARCH($A165,'算罪台'!$B$4))),1,0)</f>
        <v/>
      </c>
      <c r="D165">
        <f>IF(AND($A165&lt;&gt;"",'算罪台'!$B$5&lt;&gt;"",ISNUMBER(SEARCH($A165,'算罪台'!$B$5))),1,0)</f>
        <v/>
      </c>
      <c r="E165">
        <f>IF(AND($A165&lt;&gt;"",'算罪台'!$B$6&lt;&gt;"",ISNUMBER(SEARCH($A165,'算罪台'!$B$6))),1,0)</f>
        <v/>
      </c>
    </row>
    <row r="166">
      <c r="A166" t="inlineStr">
        <is>
          <t>拒报身份</t>
        </is>
      </c>
      <c r="B166" t="inlineStr">
        <is>
          <t>拒绝提供身份罪</t>
        </is>
      </c>
      <c r="C166">
        <f>IF(AND($A166&lt;&gt;"",'算罪台'!$B$4&lt;&gt;"",ISNUMBER(SEARCH($A166,'算罪台'!$B$4))),1,0)</f>
        <v/>
      </c>
      <c r="D166">
        <f>IF(AND($A166&lt;&gt;"",'算罪台'!$B$5&lt;&gt;"",ISNUMBER(SEARCH($A166,'算罪台'!$B$5))),1,0)</f>
        <v/>
      </c>
      <c r="E166">
        <f>IF(AND($A166&lt;&gt;"",'算罪台'!$B$6&lt;&gt;"",ISNUMBER(SEARCH($A166,'算罪台'!$B$6))),1,0)</f>
        <v/>
      </c>
    </row>
    <row r="167">
      <c r="A167" t="inlineStr">
        <is>
          <t>不提供身份</t>
        </is>
      </c>
      <c r="B167" t="inlineStr">
        <is>
          <t>拒绝提供身份罪</t>
        </is>
      </c>
      <c r="C167">
        <f>IF(AND($A167&lt;&gt;"",'算罪台'!$B$4&lt;&gt;"",ISNUMBER(SEARCH($A167,'算罪台'!$B$4))),1,0)</f>
        <v/>
      </c>
      <c r="D167">
        <f>IF(AND($A167&lt;&gt;"",'算罪台'!$B$5&lt;&gt;"",ISNUMBER(SEARCH($A167,'算罪台'!$B$5))),1,0)</f>
        <v/>
      </c>
      <c r="E167">
        <f>IF(AND($A167&lt;&gt;"",'算罪台'!$B$6&lt;&gt;"",ISNUMBER(SEARCH($A167,'算罪台'!$B$6))),1,0)</f>
        <v/>
      </c>
    </row>
    <row r="168">
      <c r="A168" t="inlineStr">
        <is>
          <t>拒绝出示证件</t>
        </is>
      </c>
      <c r="B168" t="inlineStr">
        <is>
          <t>拒绝提供身份罪</t>
        </is>
      </c>
      <c r="C168">
        <f>IF(AND($A168&lt;&gt;"",'算罪台'!$B$4&lt;&gt;"",ISNUMBER(SEARCH($A168,'算罪台'!$B$4))),1,0)</f>
        <v/>
      </c>
      <c r="D168">
        <f>IF(AND($A168&lt;&gt;"",'算罪台'!$B$5&lt;&gt;"",ISNUMBER(SEARCH($A168,'算罪台'!$B$5))),1,0)</f>
        <v/>
      </c>
      <c r="E168">
        <f>IF(AND($A168&lt;&gt;"",'算罪台'!$B$6&lt;&gt;"",ISNUMBER(SEARCH($A168,'算罪台'!$B$6))),1,0)</f>
        <v/>
      </c>
    </row>
    <row r="169">
      <c r="A169" t="inlineStr">
        <is>
          <t>不报姓名</t>
        </is>
      </c>
      <c r="B169" t="inlineStr">
        <is>
          <t>拒绝提供身份罪</t>
        </is>
      </c>
      <c r="C169">
        <f>IF(AND($A169&lt;&gt;"",'算罪台'!$B$4&lt;&gt;"",ISNUMBER(SEARCH($A169,'算罪台'!$B$4))),1,0)</f>
        <v/>
      </c>
      <c r="D169">
        <f>IF(AND($A169&lt;&gt;"",'算罪台'!$B$5&lt;&gt;"",ISNUMBER(SEARCH($A169,'算罪台'!$B$5))),1,0)</f>
        <v/>
      </c>
      <c r="E169">
        <f>IF(AND($A169&lt;&gt;"",'算罪台'!$B$6&lt;&gt;"",ISNUMBER(SEARCH($A169,'算罪台'!$B$6))),1,0)</f>
        <v/>
      </c>
    </row>
    <row r="170">
      <c r="A170" t="inlineStr">
        <is>
          <t>破坏证据</t>
        </is>
      </c>
      <c r="B170" t="inlineStr">
        <is>
          <t>破坏证据罪</t>
        </is>
      </c>
      <c r="C170">
        <f>IF(AND($A170&lt;&gt;"",'算罪台'!$B$4&lt;&gt;"",ISNUMBER(SEARCH($A170,'算罪台'!$B$4))),1,0)</f>
        <v/>
      </c>
      <c r="D170">
        <f>IF(AND($A170&lt;&gt;"",'算罪台'!$B$5&lt;&gt;"",ISNUMBER(SEARCH($A170,'算罪台'!$B$5))),1,0)</f>
        <v/>
      </c>
      <c r="E170">
        <f>IF(AND($A170&lt;&gt;"",'算罪台'!$B$6&lt;&gt;"",ISNUMBER(SEARCH($A170,'算罪台'!$B$6))),1,0)</f>
        <v/>
      </c>
    </row>
    <row r="171">
      <c r="A171" t="inlineStr">
        <is>
          <t>销毁证据</t>
        </is>
      </c>
      <c r="B171" t="inlineStr">
        <is>
          <t>破坏证据罪</t>
        </is>
      </c>
      <c r="C171">
        <f>IF(AND($A171&lt;&gt;"",'算罪台'!$B$4&lt;&gt;"",ISNUMBER(SEARCH($A171,'算罪台'!$B$4))),1,0)</f>
        <v/>
      </c>
      <c r="D171">
        <f>IF(AND($A171&lt;&gt;"",'算罪台'!$B$5&lt;&gt;"",ISNUMBER(SEARCH($A171,'算罪台'!$B$5))),1,0)</f>
        <v/>
      </c>
      <c r="E171">
        <f>IF(AND($A171&lt;&gt;"",'算罪台'!$B$6&lt;&gt;"",ISNUMBER(SEARCH($A171,'算罪台'!$B$6))),1,0)</f>
        <v/>
      </c>
    </row>
    <row r="172">
      <c r="A172" t="inlineStr">
        <is>
          <t>毁灭证据</t>
        </is>
      </c>
      <c r="B172" t="inlineStr">
        <is>
          <t>破坏证据罪</t>
        </is>
      </c>
      <c r="C172">
        <f>IF(AND($A172&lt;&gt;"",'算罪台'!$B$4&lt;&gt;"",ISNUMBER(SEARCH($A172,'算罪台'!$B$4))),1,0)</f>
        <v/>
      </c>
      <c r="D172">
        <f>IF(AND($A172&lt;&gt;"",'算罪台'!$B$5&lt;&gt;"",ISNUMBER(SEARCH($A172,'算罪台'!$B$5))),1,0)</f>
        <v/>
      </c>
      <c r="E172">
        <f>IF(AND($A172&lt;&gt;"",'算罪台'!$B$6&lt;&gt;"",ISNUMBER(SEARCH($A172,'算罪台'!$B$6))),1,0)</f>
        <v/>
      </c>
    </row>
    <row r="173">
      <c r="A173" t="inlineStr">
        <is>
          <t>篡改证据</t>
        </is>
      </c>
      <c r="B173" t="inlineStr">
        <is>
          <t>破坏证据罪</t>
        </is>
      </c>
      <c r="C173">
        <f>IF(AND($A173&lt;&gt;"",'算罪台'!$B$4&lt;&gt;"",ISNUMBER(SEARCH($A173,'算罪台'!$B$4))),1,0)</f>
        <v/>
      </c>
      <c r="D173">
        <f>IF(AND($A173&lt;&gt;"",'算罪台'!$B$5&lt;&gt;"",ISNUMBER(SEARCH($A173,'算罪台'!$B$5))),1,0)</f>
        <v/>
      </c>
      <c r="E173">
        <f>IF(AND($A173&lt;&gt;"",'算罪台'!$B$6&lt;&gt;"",ISNUMBER(SEARCH($A173,'算罪台'!$B$6))),1,0)</f>
        <v/>
      </c>
    </row>
    <row r="174">
      <c r="A174" t="inlineStr">
        <is>
          <t>伪造证据</t>
        </is>
      </c>
      <c r="B174" t="inlineStr">
        <is>
          <t>破坏证据罪</t>
        </is>
      </c>
      <c r="C174">
        <f>IF(AND($A174&lt;&gt;"",'算罪台'!$B$4&lt;&gt;"",ISNUMBER(SEARCH($A174,'算罪台'!$B$4))),1,0)</f>
        <v/>
      </c>
      <c r="D174">
        <f>IF(AND($A174&lt;&gt;"",'算罪台'!$B$5&lt;&gt;"",ISNUMBER(SEARCH($A174,'算罪台'!$B$5))),1,0)</f>
        <v/>
      </c>
      <c r="E174">
        <f>IF(AND($A174&lt;&gt;"",'算罪台'!$B$6&lt;&gt;"",ISNUMBER(SEARCH($A174,'算罪台'!$B$6))),1,0)</f>
        <v/>
      </c>
    </row>
    <row r="175">
      <c r="A175" t="inlineStr">
        <is>
          <t>藏匿证据</t>
        </is>
      </c>
      <c r="B175" t="inlineStr">
        <is>
          <t>破坏证据罪</t>
        </is>
      </c>
      <c r="C175">
        <f>IF(AND($A175&lt;&gt;"",'算罪台'!$B$4&lt;&gt;"",ISNUMBER(SEARCH($A175,'算罪台'!$B$4))),1,0)</f>
        <v/>
      </c>
      <c r="D175">
        <f>IF(AND($A175&lt;&gt;"",'算罪台'!$B$5&lt;&gt;"",ISNUMBER(SEARCH($A175,'算罪台'!$B$5))),1,0)</f>
        <v/>
      </c>
      <c r="E175">
        <f>IF(AND($A175&lt;&gt;"",'算罪台'!$B$6&lt;&gt;"",ISNUMBER(SEARCH($A175,'算罪台'!$B$6))),1,0)</f>
        <v/>
      </c>
    </row>
    <row r="176">
      <c r="A176" t="inlineStr">
        <is>
          <t>冒充政府</t>
        </is>
      </c>
      <c r="B176" t="inlineStr">
        <is>
          <t>冒充政府雇员罪</t>
        </is>
      </c>
      <c r="C176">
        <f>IF(AND($A176&lt;&gt;"",'算罪台'!$B$4&lt;&gt;"",ISNUMBER(SEARCH($A176,'算罪台'!$B$4))),1,0)</f>
        <v/>
      </c>
      <c r="D176">
        <f>IF(AND($A176&lt;&gt;"",'算罪台'!$B$5&lt;&gt;"",ISNUMBER(SEARCH($A176,'算罪台'!$B$5))),1,0)</f>
        <v/>
      </c>
      <c r="E176">
        <f>IF(AND($A176&lt;&gt;"",'算罪台'!$B$6&lt;&gt;"",ISNUMBER(SEARCH($A176,'算罪台'!$B$6))),1,0)</f>
        <v/>
      </c>
    </row>
    <row r="177">
      <c r="A177" t="inlineStr">
        <is>
          <t>冒充警察</t>
        </is>
      </c>
      <c r="B177" t="inlineStr">
        <is>
          <t>冒充政府雇员罪</t>
        </is>
      </c>
      <c r="C177">
        <f>IF(AND($A177&lt;&gt;"",'算罪台'!$B$4&lt;&gt;"",ISNUMBER(SEARCH($A177,'算罪台'!$B$4))),1,0)</f>
        <v/>
      </c>
      <c r="D177">
        <f>IF(AND($A177&lt;&gt;"",'算罪台'!$B$5&lt;&gt;"",ISNUMBER(SEARCH($A177,'算罪台'!$B$5))),1,0)</f>
        <v/>
      </c>
      <c r="E177">
        <f>IF(AND($A177&lt;&gt;"",'算罪台'!$B$6&lt;&gt;"",ISNUMBER(SEARCH($A177,'算罪台'!$B$6))),1,0)</f>
        <v/>
      </c>
    </row>
    <row r="178">
      <c r="A178" t="inlineStr">
        <is>
          <t>假冒警察</t>
        </is>
      </c>
      <c r="B178" t="inlineStr">
        <is>
          <t>冒充政府雇员罪</t>
        </is>
      </c>
      <c r="C178">
        <f>IF(AND($A178&lt;&gt;"",'算罪台'!$B$4&lt;&gt;"",ISNUMBER(SEARCH($A178,'算罪台'!$B$4))),1,0)</f>
        <v/>
      </c>
      <c r="D178">
        <f>IF(AND($A178&lt;&gt;"",'算罪台'!$B$5&lt;&gt;"",ISNUMBER(SEARCH($A178,'算罪台'!$B$5))),1,0)</f>
        <v/>
      </c>
      <c r="E178">
        <f>IF(AND($A178&lt;&gt;"",'算罪台'!$B$6&lt;&gt;"",ISNUMBER(SEARCH($A178,'算罪台'!$B$6))),1,0)</f>
        <v/>
      </c>
    </row>
    <row r="179">
      <c r="A179" t="inlineStr">
        <is>
          <t>冒充公职</t>
        </is>
      </c>
      <c r="B179" t="inlineStr">
        <is>
          <t>冒充政府雇员罪</t>
        </is>
      </c>
      <c r="C179">
        <f>IF(AND($A179&lt;&gt;"",'算罪台'!$B$4&lt;&gt;"",ISNUMBER(SEARCH($A179,'算罪台'!$B$4))),1,0)</f>
        <v/>
      </c>
      <c r="D179">
        <f>IF(AND($A179&lt;&gt;"",'算罪台'!$B$5&lt;&gt;"",ISNUMBER(SEARCH($A179,'算罪台'!$B$5))),1,0)</f>
        <v/>
      </c>
      <c r="E179">
        <f>IF(AND($A179&lt;&gt;"",'算罪台'!$B$6&lt;&gt;"",ISNUMBER(SEARCH($A179,'算罪台'!$B$6))),1,0)</f>
        <v/>
      </c>
    </row>
    <row r="180">
      <c r="A180" t="inlineStr">
        <is>
          <t>假扮警察</t>
        </is>
      </c>
      <c r="B180" t="inlineStr">
        <is>
          <t>冒充政府雇员罪</t>
        </is>
      </c>
      <c r="C180">
        <f>IF(AND($A180&lt;&gt;"",'算罪台'!$B$4&lt;&gt;"",ISNUMBER(SEARCH($A180,'算罪台'!$B$4))),1,0)</f>
        <v/>
      </c>
      <c r="D180">
        <f>IF(AND($A180&lt;&gt;"",'算罪台'!$B$5&lt;&gt;"",ISNUMBER(SEARCH($A180,'算罪台'!$B$5))),1,0)</f>
        <v/>
      </c>
      <c r="E180">
        <f>IF(AND($A180&lt;&gt;"",'算罪台'!$B$6&lt;&gt;"",ISNUMBER(SEARCH($A180,'算罪台'!$B$6))),1,0)</f>
        <v/>
      </c>
    </row>
    <row r="181">
      <c r="A181" t="inlineStr">
        <is>
          <t>假冒执法</t>
        </is>
      </c>
      <c r="B181" t="inlineStr">
        <is>
          <t>冒充政府雇员罪</t>
        </is>
      </c>
      <c r="C181">
        <f>IF(AND($A181&lt;&gt;"",'算罪台'!$B$4&lt;&gt;"",ISNUMBER(SEARCH($A181,'算罪台'!$B$4))),1,0)</f>
        <v/>
      </c>
      <c r="D181">
        <f>IF(AND($A181&lt;&gt;"",'算罪台'!$B$5&lt;&gt;"",ISNUMBER(SEARCH($A181,'算罪台'!$B$5))),1,0)</f>
        <v/>
      </c>
      <c r="E181">
        <f>IF(AND($A181&lt;&gt;"",'算罪台'!$B$6&lt;&gt;"",ISNUMBER(SEARCH($A181,'算罪台'!$B$6))),1,0)</f>
        <v/>
      </c>
    </row>
    <row r="182">
      <c r="A182" t="inlineStr">
        <is>
          <t>虚假逮捕</t>
        </is>
      </c>
      <c r="B182" t="inlineStr">
        <is>
          <t>虚假逮捕罪</t>
        </is>
      </c>
      <c r="C182">
        <f>IF(AND($A182&lt;&gt;"",'算罪台'!$B$4&lt;&gt;"",ISNUMBER(SEARCH($A182,'算罪台'!$B$4))),1,0)</f>
        <v/>
      </c>
      <c r="D182">
        <f>IF(AND($A182&lt;&gt;"",'算罪台'!$B$5&lt;&gt;"",ISNUMBER(SEARCH($A182,'算罪台'!$B$5))),1,0)</f>
        <v/>
      </c>
      <c r="E182">
        <f>IF(AND($A182&lt;&gt;"",'算罪台'!$B$6&lt;&gt;"",ISNUMBER(SEARCH($A182,'算罪台'!$B$6))),1,0)</f>
        <v/>
      </c>
    </row>
    <row r="183">
      <c r="A183" t="inlineStr">
        <is>
          <t>非法逮捕</t>
        </is>
      </c>
      <c r="B183" t="inlineStr">
        <is>
          <t>虚假逮捕罪</t>
        </is>
      </c>
      <c r="C183">
        <f>IF(AND($A183&lt;&gt;"",'算罪台'!$B$4&lt;&gt;"",ISNUMBER(SEARCH($A183,'算罪台'!$B$4))),1,0)</f>
        <v/>
      </c>
      <c r="D183">
        <f>IF(AND($A183&lt;&gt;"",'算罪台'!$B$5&lt;&gt;"",ISNUMBER(SEARCH($A183,'算罪台'!$B$5))),1,0)</f>
        <v/>
      </c>
      <c r="E183">
        <f>IF(AND($A183&lt;&gt;"",'算罪台'!$B$6&lt;&gt;"",ISNUMBER(SEARCH($A183,'算罪台'!$B$6))),1,0)</f>
        <v/>
      </c>
    </row>
    <row r="184">
      <c r="A184" t="inlineStr">
        <is>
          <t>非法扣押</t>
        </is>
      </c>
      <c r="B184" t="inlineStr">
        <is>
          <t>虚假逮捕罪</t>
        </is>
      </c>
      <c r="C184">
        <f>IF(AND($A184&lt;&gt;"",'算罪台'!$B$4&lt;&gt;"",ISNUMBER(SEARCH($A184,'算罪台'!$B$4))),1,0)</f>
        <v/>
      </c>
      <c r="D184">
        <f>IF(AND($A184&lt;&gt;"",'算罪台'!$B$5&lt;&gt;"",ISNUMBER(SEARCH($A184,'算罪台'!$B$5))),1,0)</f>
        <v/>
      </c>
      <c r="E184">
        <f>IF(AND($A184&lt;&gt;"",'算罪台'!$B$6&lt;&gt;"",ISNUMBER(SEARCH($A184,'算罪台'!$B$6))),1,0)</f>
        <v/>
      </c>
    </row>
    <row r="185">
      <c r="A185" t="inlineStr">
        <is>
          <t>无依据逮捕</t>
        </is>
      </c>
      <c r="B185" t="inlineStr">
        <is>
          <t>虚假逮捕罪</t>
        </is>
      </c>
      <c r="C185">
        <f>IF(AND($A185&lt;&gt;"",'算罪台'!$B$4&lt;&gt;"",ISNUMBER(SEARCH($A185,'算罪台'!$B$4))),1,0)</f>
        <v/>
      </c>
      <c r="D185">
        <f>IF(AND($A185&lt;&gt;"",'算罪台'!$B$5&lt;&gt;"",ISNUMBER(SEARCH($A185,'算罪台'!$B$5))),1,0)</f>
        <v/>
      </c>
      <c r="E185">
        <f>IF(AND($A185&lt;&gt;"",'算罪台'!$B$6&lt;&gt;"",ISNUMBER(SEARCH($A185,'算罪台'!$B$6))),1,0)</f>
        <v/>
      </c>
    </row>
    <row r="186">
      <c r="A186" t="inlineStr">
        <is>
          <t>伪证</t>
        </is>
      </c>
      <c r="B186" t="inlineStr">
        <is>
          <t>伪证罪</t>
        </is>
      </c>
      <c r="C186">
        <f>IF(AND($A186&lt;&gt;"",'算罪台'!$B$4&lt;&gt;"",ISNUMBER(SEARCH($A186,'算罪台'!$B$4))),1,0)</f>
        <v/>
      </c>
      <c r="D186">
        <f>IF(AND($A186&lt;&gt;"",'算罪台'!$B$5&lt;&gt;"",ISNUMBER(SEARCH($A186,'算罪台'!$B$5))),1,0)</f>
        <v/>
      </c>
      <c r="E186">
        <f>IF(AND($A186&lt;&gt;"",'算罪台'!$B$6&lt;&gt;"",ISNUMBER(SEARCH($A186,'算罪台'!$B$6))),1,0)</f>
        <v/>
      </c>
    </row>
    <row r="187">
      <c r="A187" t="inlineStr">
        <is>
          <t>作伪证</t>
        </is>
      </c>
      <c r="B187" t="inlineStr">
        <is>
          <t>伪证罪</t>
        </is>
      </c>
      <c r="C187">
        <f>IF(AND($A187&lt;&gt;"",'算罪台'!$B$4&lt;&gt;"",ISNUMBER(SEARCH($A187,'算罪台'!$B$4))),1,0)</f>
        <v/>
      </c>
      <c r="D187">
        <f>IF(AND($A187&lt;&gt;"",'算罪台'!$B$5&lt;&gt;"",ISNUMBER(SEARCH($A187,'算罪台'!$B$5))),1,0)</f>
        <v/>
      </c>
      <c r="E187">
        <f>IF(AND($A187&lt;&gt;"",'算罪台'!$B$6&lt;&gt;"",ISNUMBER(SEARCH($A187,'算罪台'!$B$6))),1,0)</f>
        <v/>
      </c>
    </row>
    <row r="188">
      <c r="A188" t="inlineStr">
        <is>
          <t>虚假证言</t>
        </is>
      </c>
      <c r="B188" t="inlineStr">
        <is>
          <t>伪证罪</t>
        </is>
      </c>
      <c r="C188">
        <f>IF(AND($A188&lt;&gt;"",'算罪台'!$B$4&lt;&gt;"",ISNUMBER(SEARCH($A188,'算罪台'!$B$4))),1,0)</f>
        <v/>
      </c>
      <c r="D188">
        <f>IF(AND($A188&lt;&gt;"",'算罪台'!$B$5&lt;&gt;"",ISNUMBER(SEARCH($A188,'算罪台'!$B$5))),1,0)</f>
        <v/>
      </c>
      <c r="E188">
        <f>IF(AND($A188&lt;&gt;"",'算罪台'!$B$6&lt;&gt;"",ISNUMBER(SEARCH($A188,'算罪台'!$B$6))),1,0)</f>
        <v/>
      </c>
    </row>
    <row r="189">
      <c r="A189" t="inlineStr">
        <is>
          <t>假证供</t>
        </is>
      </c>
      <c r="B189" t="inlineStr">
        <is>
          <t>伪证罪</t>
        </is>
      </c>
      <c r="C189">
        <f>IF(AND($A189&lt;&gt;"",'算罪台'!$B$4&lt;&gt;"",ISNUMBER(SEARCH($A189,'算罪台'!$B$4))),1,0)</f>
        <v/>
      </c>
      <c r="D189">
        <f>IF(AND($A189&lt;&gt;"",'算罪台'!$B$5&lt;&gt;"",ISNUMBER(SEARCH($A189,'算罪台'!$B$5))),1,0)</f>
        <v/>
      </c>
      <c r="E189">
        <f>IF(AND($A189&lt;&gt;"",'算罪台'!$B$6&lt;&gt;"",ISNUMBER(SEARCH($A189,'算罪台'!$B$6))),1,0)</f>
        <v/>
      </c>
    </row>
    <row r="190">
      <c r="A190" t="inlineStr">
        <is>
          <t>提供假证</t>
        </is>
      </c>
      <c r="B190" t="inlineStr">
        <is>
          <t>伪证罪</t>
        </is>
      </c>
      <c r="C190">
        <f>IF(AND($A190&lt;&gt;"",'算罪台'!$B$4&lt;&gt;"",ISNUMBER(SEARCH($A190,'算罪台'!$B$4))),1,0)</f>
        <v/>
      </c>
      <c r="D190">
        <f>IF(AND($A190&lt;&gt;"",'算罪台'!$B$5&lt;&gt;"",ISNUMBER(SEARCH($A190,'算罪台'!$B$5))),1,0)</f>
        <v/>
      </c>
      <c r="E190">
        <f>IF(AND($A190&lt;&gt;"",'算罪台'!$B$6&lt;&gt;"",ISNUMBER(SEARCH($A190,'算罪台'!$B$6))),1,0)</f>
        <v/>
      </c>
    </row>
    <row r="191">
      <c r="A191" t="inlineStr">
        <is>
          <t>冒充律师</t>
        </is>
      </c>
      <c r="B191" t="inlineStr">
        <is>
          <t>冒充律师罪</t>
        </is>
      </c>
      <c r="C191">
        <f>IF(AND($A191&lt;&gt;"",'算罪台'!$B$4&lt;&gt;"",ISNUMBER(SEARCH($A191,'算罪台'!$B$4))),1,0)</f>
        <v/>
      </c>
      <c r="D191">
        <f>IF(AND($A191&lt;&gt;"",'算罪台'!$B$5&lt;&gt;"",ISNUMBER(SEARCH($A191,'算罪台'!$B$5))),1,0)</f>
        <v/>
      </c>
      <c r="E191">
        <f>IF(AND($A191&lt;&gt;"",'算罪台'!$B$6&lt;&gt;"",ISNUMBER(SEARCH($A191,'算罪台'!$B$6))),1,0)</f>
        <v/>
      </c>
    </row>
    <row r="192">
      <c r="A192" t="inlineStr">
        <is>
          <t>假冒律师</t>
        </is>
      </c>
      <c r="B192" t="inlineStr">
        <is>
          <t>冒充律师罪</t>
        </is>
      </c>
      <c r="C192">
        <f>IF(AND($A192&lt;&gt;"",'算罪台'!$B$4&lt;&gt;"",ISNUMBER(SEARCH($A192,'算罪台'!$B$4))),1,0)</f>
        <v/>
      </c>
      <c r="D192">
        <f>IF(AND($A192&lt;&gt;"",'算罪台'!$B$5&lt;&gt;"",ISNUMBER(SEARCH($A192,'算罪台'!$B$5))),1,0)</f>
        <v/>
      </c>
      <c r="E192">
        <f>IF(AND($A192&lt;&gt;"",'算罪台'!$B$6&lt;&gt;"",ISNUMBER(SEARCH($A192,'算罪台'!$B$6))),1,0)</f>
        <v/>
      </c>
    </row>
    <row r="193">
      <c r="A193" t="inlineStr">
        <is>
          <t>假扮律师</t>
        </is>
      </c>
      <c r="B193" t="inlineStr">
        <is>
          <t>冒充律师罪</t>
        </is>
      </c>
      <c r="C193">
        <f>IF(AND($A193&lt;&gt;"",'算罪台'!$B$4&lt;&gt;"",ISNUMBER(SEARCH($A193,'算罪台'!$B$4))),1,0)</f>
        <v/>
      </c>
      <c r="D193">
        <f>IF(AND($A193&lt;&gt;"",'算罪台'!$B$5&lt;&gt;"",ISNUMBER(SEARCH($A193,'算罪台'!$B$5))),1,0)</f>
        <v/>
      </c>
      <c r="E193">
        <f>IF(AND($A193&lt;&gt;"",'算罪台'!$B$6&lt;&gt;"",ISNUMBER(SEARCH($A193,'算罪台'!$B$6))),1,0)</f>
        <v/>
      </c>
    </row>
    <row r="194">
      <c r="A194" t="inlineStr">
        <is>
          <t>妨碍公务</t>
        </is>
      </c>
      <c r="B194" t="inlineStr">
        <is>
          <t>妨碍政府雇员执行公务罪</t>
        </is>
      </c>
      <c r="C194">
        <f>IF(AND($A194&lt;&gt;"",'算罪台'!$B$4&lt;&gt;"",ISNUMBER(SEARCH($A194,'算罪台'!$B$4))),1,0)</f>
        <v/>
      </c>
      <c r="D194">
        <f>IF(AND($A194&lt;&gt;"",'算罪台'!$B$5&lt;&gt;"",ISNUMBER(SEARCH($A194,'算罪台'!$B$5))),1,0)</f>
        <v/>
      </c>
      <c r="E194">
        <f>IF(AND($A194&lt;&gt;"",'算罪台'!$B$6&lt;&gt;"",ISNUMBER(SEARCH($A194,'算罪台'!$B$6))),1,0)</f>
        <v/>
      </c>
    </row>
    <row r="195">
      <c r="A195" t="inlineStr">
        <is>
          <t>阻碍执法</t>
        </is>
      </c>
      <c r="B195" t="inlineStr">
        <is>
          <t>妨碍政府雇员执行公务罪</t>
        </is>
      </c>
      <c r="C195">
        <f>IF(AND($A195&lt;&gt;"",'算罪台'!$B$4&lt;&gt;"",ISNUMBER(SEARCH($A195,'算罪台'!$B$4))),1,0)</f>
        <v/>
      </c>
      <c r="D195">
        <f>IF(AND($A195&lt;&gt;"",'算罪台'!$B$5&lt;&gt;"",ISNUMBER(SEARCH($A195,'算罪台'!$B$5))),1,0)</f>
        <v/>
      </c>
      <c r="E195">
        <f>IF(AND($A195&lt;&gt;"",'算罪台'!$B$6&lt;&gt;"",ISNUMBER(SEARCH($A195,'算罪台'!$B$6))),1,0)</f>
        <v/>
      </c>
    </row>
    <row r="196">
      <c r="A196" t="inlineStr">
        <is>
          <t>妨碍执法</t>
        </is>
      </c>
      <c r="B196" t="inlineStr">
        <is>
          <t>妨碍政府雇员执行公务罪</t>
        </is>
      </c>
      <c r="C196">
        <f>IF(AND($A196&lt;&gt;"",'算罪台'!$B$4&lt;&gt;"",ISNUMBER(SEARCH($A196,'算罪台'!$B$4))),1,0)</f>
        <v/>
      </c>
      <c r="D196">
        <f>IF(AND($A196&lt;&gt;"",'算罪台'!$B$5&lt;&gt;"",ISNUMBER(SEARCH($A196,'算罪台'!$B$5))),1,0)</f>
        <v/>
      </c>
      <c r="E196">
        <f>IF(AND($A196&lt;&gt;"",'算罪台'!$B$6&lt;&gt;"",ISNUMBER(SEARCH($A196,'算罪台'!$B$6))),1,0)</f>
        <v/>
      </c>
    </row>
    <row r="197">
      <c r="A197" t="inlineStr">
        <is>
          <t>阻挠执法</t>
        </is>
      </c>
      <c r="B197" t="inlineStr">
        <is>
          <t>妨碍政府雇员执行公务罪</t>
        </is>
      </c>
      <c r="C197">
        <f>IF(AND($A197&lt;&gt;"",'算罪台'!$B$4&lt;&gt;"",ISNUMBER(SEARCH($A197,'算罪台'!$B$4))),1,0)</f>
        <v/>
      </c>
      <c r="D197">
        <f>IF(AND($A197&lt;&gt;"",'算罪台'!$B$5&lt;&gt;"",ISNUMBER(SEARCH($A197,'算罪台'!$B$5))),1,0)</f>
        <v/>
      </c>
      <c r="E197">
        <f>IF(AND($A197&lt;&gt;"",'算罪台'!$B$6&lt;&gt;"",ISNUMBER(SEARCH($A197,'算罪台'!$B$6))),1,0)</f>
        <v/>
      </c>
    </row>
    <row r="198">
      <c r="A198" t="inlineStr">
        <is>
          <t>妨碍政府雇员</t>
        </is>
      </c>
      <c r="B198" t="inlineStr">
        <is>
          <t>妨碍政府雇员执行公务罪</t>
        </is>
      </c>
      <c r="C198">
        <f>IF(AND($A198&lt;&gt;"",'算罪台'!$B$4&lt;&gt;"",ISNUMBER(SEARCH($A198,'算罪台'!$B$4))),1,0)</f>
        <v/>
      </c>
      <c r="D198">
        <f>IF(AND($A198&lt;&gt;"",'算罪台'!$B$5&lt;&gt;"",ISNUMBER(SEARCH($A198,'算罪台'!$B$5))),1,0)</f>
        <v/>
      </c>
      <c r="E198">
        <f>IF(AND($A198&lt;&gt;"",'算罪台'!$B$6&lt;&gt;"",ISNUMBER(SEARCH($A198,'算罪台'!$B$6))),1,0)</f>
        <v/>
      </c>
    </row>
    <row r="199">
      <c r="A199" t="inlineStr">
        <is>
          <t>阻碍救援</t>
        </is>
      </c>
      <c r="B199" t="inlineStr">
        <is>
          <t>妨碍政府雇员执行公务罪</t>
        </is>
      </c>
      <c r="C199">
        <f>IF(AND($A199&lt;&gt;"",'算罪台'!$B$4&lt;&gt;"",ISNUMBER(SEARCH($A199,'算罪台'!$B$4))),1,0)</f>
        <v/>
      </c>
      <c r="D199">
        <f>IF(AND($A199&lt;&gt;"",'算罪台'!$B$5&lt;&gt;"",ISNUMBER(SEARCH($A199,'算罪台'!$B$5))),1,0)</f>
        <v/>
      </c>
      <c r="E199">
        <f>IF(AND($A199&lt;&gt;"",'算罪台'!$B$6&lt;&gt;"",ISNUMBER(SEARCH($A199,'算罪台'!$B$6))),1,0)</f>
        <v/>
      </c>
    </row>
    <row r="200">
      <c r="A200" t="inlineStr">
        <is>
          <t>阻碍消防</t>
        </is>
      </c>
      <c r="B200" t="inlineStr">
        <is>
          <t>妨碍政府雇员执行公务罪</t>
        </is>
      </c>
      <c r="C200">
        <f>IF(AND($A200&lt;&gt;"",'算罪台'!$B$4&lt;&gt;"",ISNUMBER(SEARCH($A200,'算罪台'!$B$4))),1,0)</f>
        <v/>
      </c>
      <c r="D200">
        <f>IF(AND($A200&lt;&gt;"",'算罪台'!$B$5&lt;&gt;"",ISNUMBER(SEARCH($A200,'算罪台'!$B$5))),1,0)</f>
        <v/>
      </c>
      <c r="E200">
        <f>IF(AND($A200&lt;&gt;"",'算罪台'!$B$6&lt;&gt;"",ISNUMBER(SEARCH($A200,'算罪台'!$B$6))),1,0)</f>
        <v/>
      </c>
    </row>
    <row r="201">
      <c r="A201" t="inlineStr">
        <is>
          <t>拒捕</t>
        </is>
      </c>
      <c r="B201" t="inlineStr">
        <is>
          <t>拒捕罪</t>
        </is>
      </c>
      <c r="C201">
        <f>IF(AND($A201&lt;&gt;"",'算罪台'!$B$4&lt;&gt;"",ISNUMBER(SEARCH($A201,'算罪台'!$B$4))),1,0)</f>
        <v/>
      </c>
      <c r="D201">
        <f>IF(AND($A201&lt;&gt;"",'算罪台'!$B$5&lt;&gt;"",ISNUMBER(SEARCH($A201,'算罪台'!$B$5))),1,0)</f>
        <v/>
      </c>
      <c r="E201">
        <f>IF(AND($A201&lt;&gt;"",'算罪台'!$B$6&lt;&gt;"",ISNUMBER(SEARCH($A201,'算罪台'!$B$6))),1,0)</f>
        <v/>
      </c>
    </row>
    <row r="202">
      <c r="A202" t="inlineStr">
        <is>
          <t>拒绝逮捕</t>
        </is>
      </c>
      <c r="B202" t="inlineStr">
        <is>
          <t>拒捕罪</t>
        </is>
      </c>
      <c r="C202">
        <f>IF(AND($A202&lt;&gt;"",'算罪台'!$B$4&lt;&gt;"",ISNUMBER(SEARCH($A202,'算罪台'!$B$4))),1,0)</f>
        <v/>
      </c>
      <c r="D202">
        <f>IF(AND($A202&lt;&gt;"",'算罪台'!$B$5&lt;&gt;"",ISNUMBER(SEARCH($A202,'算罪台'!$B$5))),1,0)</f>
        <v/>
      </c>
      <c r="E202">
        <f>IF(AND($A202&lt;&gt;"",'算罪台'!$B$6&lt;&gt;"",ISNUMBER(SEARCH($A202,'算罪台'!$B$6))),1,0)</f>
        <v/>
      </c>
    </row>
    <row r="203">
      <c r="A203" t="inlineStr">
        <is>
          <t>抗拒逮捕</t>
        </is>
      </c>
      <c r="B203" t="inlineStr">
        <is>
          <t>拒捕罪</t>
        </is>
      </c>
      <c r="C203">
        <f>IF(AND($A203&lt;&gt;"",'算罪台'!$B$4&lt;&gt;"",ISNUMBER(SEARCH($A203,'算罪台'!$B$4))),1,0)</f>
        <v/>
      </c>
      <c r="D203">
        <f>IF(AND($A203&lt;&gt;"",'算罪台'!$B$5&lt;&gt;"",ISNUMBER(SEARCH($A203,'算罪台'!$B$5))),1,0)</f>
        <v/>
      </c>
      <c r="E203">
        <f>IF(AND($A203&lt;&gt;"",'算罪台'!$B$6&lt;&gt;"",ISNUMBER(SEARCH($A203,'算罪台'!$B$6))),1,0)</f>
        <v/>
      </c>
    </row>
    <row r="204">
      <c r="A204" t="inlineStr">
        <is>
          <t>拒绝被捕</t>
        </is>
      </c>
      <c r="B204" t="inlineStr">
        <is>
          <t>拒捕罪</t>
        </is>
      </c>
      <c r="C204">
        <f>IF(AND($A204&lt;&gt;"",'算罪台'!$B$4&lt;&gt;"",ISNUMBER(SEARCH($A204,'算罪台'!$B$4))),1,0)</f>
        <v/>
      </c>
      <c r="D204">
        <f>IF(AND($A204&lt;&gt;"",'算罪台'!$B$5&lt;&gt;"",ISNUMBER(SEARCH($A204,'算罪台'!$B$5))),1,0)</f>
        <v/>
      </c>
      <c r="E204">
        <f>IF(AND($A204&lt;&gt;"",'算罪台'!$B$6&lt;&gt;"",ISNUMBER(SEARCH($A204,'算罪台'!$B$6))),1,0)</f>
        <v/>
      </c>
    </row>
    <row r="205">
      <c r="A205" t="inlineStr">
        <is>
          <t>反抗逮捕</t>
        </is>
      </c>
      <c r="B205" t="inlineStr">
        <is>
          <t>拒捕罪</t>
        </is>
      </c>
      <c r="C205">
        <f>IF(AND($A205&lt;&gt;"",'算罪台'!$B$4&lt;&gt;"",ISNUMBER(SEARCH($A205,'算罪台'!$B$4))),1,0)</f>
        <v/>
      </c>
      <c r="D205">
        <f>IF(AND($A205&lt;&gt;"",'算罪台'!$B$5&lt;&gt;"",ISNUMBER(SEARCH($A205,'算罪台'!$B$5))),1,0)</f>
        <v/>
      </c>
      <c r="E205">
        <f>IF(AND($A205&lt;&gt;"",'算罪台'!$B$6&lt;&gt;"",ISNUMBER(SEARCH($A205,'算罪台'!$B$6))),1,0)</f>
        <v/>
      </c>
    </row>
    <row r="206">
      <c r="A206" t="inlineStr">
        <is>
          <t>逃避羁押</t>
        </is>
      </c>
      <c r="B206" t="inlineStr">
        <is>
          <t>逃避羁押罪</t>
        </is>
      </c>
      <c r="C206">
        <f>IF(AND($A206&lt;&gt;"",'算罪台'!$B$4&lt;&gt;"",ISNUMBER(SEARCH($A206,'算罪台'!$B$4))),1,0)</f>
        <v/>
      </c>
      <c r="D206">
        <f>IF(AND($A206&lt;&gt;"",'算罪台'!$B$5&lt;&gt;"",ISNUMBER(SEARCH($A206,'算罪台'!$B$5))),1,0)</f>
        <v/>
      </c>
      <c r="E206">
        <f>IF(AND($A206&lt;&gt;"",'算罪台'!$B$6&lt;&gt;"",ISNUMBER(SEARCH($A206,'算罪台'!$B$6))),1,0)</f>
        <v/>
      </c>
    </row>
    <row r="207">
      <c r="A207" t="inlineStr">
        <is>
          <t>逃脱</t>
        </is>
      </c>
      <c r="B207" t="inlineStr">
        <is>
          <t>逃避羁押罪</t>
        </is>
      </c>
      <c r="C207">
        <f>IF(AND($A207&lt;&gt;"",'算罪台'!$B$4&lt;&gt;"",ISNUMBER(SEARCH($A207,'算罪台'!$B$4))),1,0)</f>
        <v/>
      </c>
      <c r="D207">
        <f>IF(AND($A207&lt;&gt;"",'算罪台'!$B$5&lt;&gt;"",ISNUMBER(SEARCH($A207,'算罪台'!$B$5))),1,0)</f>
        <v/>
      </c>
      <c r="E207">
        <f>IF(AND($A207&lt;&gt;"",'算罪台'!$B$6&lt;&gt;"",ISNUMBER(SEARCH($A207,'算罪台'!$B$6))),1,0)</f>
        <v/>
      </c>
    </row>
    <row r="208">
      <c r="A208" t="inlineStr">
        <is>
          <t>越狱</t>
        </is>
      </c>
      <c r="B208" t="inlineStr">
        <is>
          <t>逃避羁押罪</t>
        </is>
      </c>
      <c r="C208">
        <f>IF(AND($A208&lt;&gt;"",'算罪台'!$B$4&lt;&gt;"",ISNUMBER(SEARCH($A208,'算罪台'!$B$4))),1,0)</f>
        <v/>
      </c>
      <c r="D208">
        <f>IF(AND($A208&lt;&gt;"",'算罪台'!$B$5&lt;&gt;"",ISNUMBER(SEARCH($A208,'算罪台'!$B$5))),1,0)</f>
        <v/>
      </c>
      <c r="E208">
        <f>IF(AND($A208&lt;&gt;"",'算罪台'!$B$6&lt;&gt;"",ISNUMBER(SEARCH($A208,'算罪台'!$B$6))),1,0)</f>
        <v/>
      </c>
    </row>
    <row r="209">
      <c r="A209" t="inlineStr">
        <is>
          <t>逃跑</t>
        </is>
      </c>
      <c r="B209" t="inlineStr">
        <is>
          <t>逃避羁押罪</t>
        </is>
      </c>
      <c r="C209">
        <f>IF(AND($A209&lt;&gt;"",'算罪台'!$B$4&lt;&gt;"",ISNUMBER(SEARCH($A209,'算罪台'!$B$4))),1,0)</f>
        <v/>
      </c>
      <c r="D209">
        <f>IF(AND($A209&lt;&gt;"",'算罪台'!$B$5&lt;&gt;"",ISNUMBER(SEARCH($A209,'算罪台'!$B$5))),1,0)</f>
        <v/>
      </c>
      <c r="E209">
        <f>IF(AND($A209&lt;&gt;"",'算罪台'!$B$6&lt;&gt;"",ISNUMBER(SEARCH($A209,'算罪台'!$B$6))),1,0)</f>
        <v/>
      </c>
    </row>
    <row r="210">
      <c r="A210" t="inlineStr">
        <is>
          <t>脱逃</t>
        </is>
      </c>
      <c r="B210" t="inlineStr">
        <is>
          <t>逃避羁押罪</t>
        </is>
      </c>
      <c r="C210">
        <f>IF(AND($A210&lt;&gt;"",'算罪台'!$B$4&lt;&gt;"",ISNUMBER(SEARCH($A210,'算罪台'!$B$4))),1,0)</f>
        <v/>
      </c>
      <c r="D210">
        <f>IF(AND($A210&lt;&gt;"",'算罪台'!$B$5&lt;&gt;"",ISNUMBER(SEARCH($A210,'算罪台'!$B$5))),1,0)</f>
        <v/>
      </c>
      <c r="E210">
        <f>IF(AND($A210&lt;&gt;"",'算罪台'!$B$6&lt;&gt;"",ISNUMBER(SEARCH($A210,'算罪台'!$B$6))),1,0)</f>
        <v/>
      </c>
    </row>
    <row r="211">
      <c r="A211" t="inlineStr">
        <is>
          <t>逃离监管</t>
        </is>
      </c>
      <c r="B211" t="inlineStr">
        <is>
          <t>逃避羁押罪</t>
        </is>
      </c>
      <c r="C211">
        <f>IF(AND($A211&lt;&gt;"",'算罪台'!$B$4&lt;&gt;"",ISNUMBER(SEARCH($A211,'算罪台'!$B$4))),1,0)</f>
        <v/>
      </c>
      <c r="D211">
        <f>IF(AND($A211&lt;&gt;"",'算罪台'!$B$5&lt;&gt;"",ISNUMBER(SEARCH($A211,'算罪台'!$B$5))),1,0)</f>
        <v/>
      </c>
      <c r="E211">
        <f>IF(AND($A211&lt;&gt;"",'算罪台'!$B$6&lt;&gt;"",ISNUMBER(SEARCH($A211,'算罪台'!$B$6))),1,0)</f>
        <v/>
      </c>
    </row>
    <row r="212">
      <c r="A212" t="inlineStr">
        <is>
          <t>趁机逃走</t>
        </is>
      </c>
      <c r="B212" t="inlineStr">
        <is>
          <t>逃避羁押罪</t>
        </is>
      </c>
      <c r="C212">
        <f>IF(AND($A212&lt;&gt;"",'算罪台'!$B$4&lt;&gt;"",ISNUMBER(SEARCH($A212,'算罪台'!$B$4))),1,0)</f>
        <v/>
      </c>
      <c r="D212">
        <f>IF(AND($A212&lt;&gt;"",'算罪台'!$B$5&lt;&gt;"",ISNUMBER(SEARCH($A212,'算罪台'!$B$5))),1,0)</f>
        <v/>
      </c>
      <c r="E212">
        <f>IF(AND($A212&lt;&gt;"",'算罪台'!$B$6&lt;&gt;"",ISNUMBER(SEARCH($A212,'算罪台'!$B$6))),1,0)</f>
        <v/>
      </c>
    </row>
    <row r="213">
      <c r="A213" t="inlineStr">
        <is>
          <t>藐视法庭</t>
        </is>
      </c>
      <c r="B213" t="inlineStr">
        <is>
          <t>藐视法庭罪</t>
        </is>
      </c>
      <c r="C213">
        <f>IF(AND($A213&lt;&gt;"",'算罪台'!$B$4&lt;&gt;"",ISNUMBER(SEARCH($A213,'算罪台'!$B$4))),1,0)</f>
        <v/>
      </c>
      <c r="D213">
        <f>IF(AND($A213&lt;&gt;"",'算罪台'!$B$5&lt;&gt;"",ISNUMBER(SEARCH($A213,'算罪台'!$B$5))),1,0)</f>
        <v/>
      </c>
      <c r="E213">
        <f>IF(AND($A213&lt;&gt;"",'算罪台'!$B$6&lt;&gt;"",ISNUMBER(SEARCH($A213,'算罪台'!$B$6))),1,0)</f>
        <v/>
      </c>
    </row>
    <row r="214">
      <c r="A214" t="inlineStr">
        <is>
          <t>扰乱法庭</t>
        </is>
      </c>
      <c r="B214" t="inlineStr">
        <is>
          <t>藐视法庭罪</t>
        </is>
      </c>
      <c r="C214">
        <f>IF(AND($A214&lt;&gt;"",'算罪台'!$B$4&lt;&gt;"",ISNUMBER(SEARCH($A214,'算罪台'!$B$4))),1,0)</f>
        <v/>
      </c>
      <c r="D214">
        <f>IF(AND($A214&lt;&gt;"",'算罪台'!$B$5&lt;&gt;"",ISNUMBER(SEARCH($A214,'算罪台'!$B$5))),1,0)</f>
        <v/>
      </c>
      <c r="E214">
        <f>IF(AND($A214&lt;&gt;"",'算罪台'!$B$6&lt;&gt;"",ISNUMBER(SEARCH($A214,'算罪台'!$B$6))),1,0)</f>
        <v/>
      </c>
    </row>
    <row r="215">
      <c r="A215" t="inlineStr">
        <is>
          <t>无视法庭命令</t>
        </is>
      </c>
      <c r="B215" t="inlineStr">
        <is>
          <t>藐视法庭罪</t>
        </is>
      </c>
      <c r="C215">
        <f>IF(AND($A215&lt;&gt;"",'算罪台'!$B$4&lt;&gt;"",ISNUMBER(SEARCH($A215,'算罪台'!$B$4))),1,0)</f>
        <v/>
      </c>
      <c r="D215">
        <f>IF(AND($A215&lt;&gt;"",'算罪台'!$B$5&lt;&gt;"",ISNUMBER(SEARCH($A215,'算罪台'!$B$5))),1,0)</f>
        <v/>
      </c>
      <c r="E215">
        <f>IF(AND($A215&lt;&gt;"",'算罪台'!$B$6&lt;&gt;"",ISNUMBER(SEARCH($A215,'算罪台'!$B$6))),1,0)</f>
        <v/>
      </c>
    </row>
    <row r="216">
      <c r="A216" t="inlineStr">
        <is>
          <t>不尊重法庭</t>
        </is>
      </c>
      <c r="B216" t="inlineStr">
        <is>
          <t>藐视法庭罪</t>
        </is>
      </c>
      <c r="C216">
        <f>IF(AND($A216&lt;&gt;"",'算罪台'!$B$4&lt;&gt;"",ISNUMBER(SEARCH($A216,'算罪台'!$B$4))),1,0)</f>
        <v/>
      </c>
      <c r="D216">
        <f>IF(AND($A216&lt;&gt;"",'算罪台'!$B$5&lt;&gt;"",ISNUMBER(SEARCH($A216,'算罪台'!$B$5))),1,0)</f>
        <v/>
      </c>
      <c r="E216">
        <f>IF(AND($A216&lt;&gt;"",'算罪台'!$B$6&lt;&gt;"",ISNUMBER(SEARCH($A216,'算罪台'!$B$6))),1,0)</f>
        <v/>
      </c>
    </row>
    <row r="217">
      <c r="A217" t="inlineStr">
        <is>
          <t>恶意占用公共资源</t>
        </is>
      </c>
      <c r="B217" t="inlineStr">
        <is>
          <t>恶意占用公共资源罪</t>
        </is>
      </c>
      <c r="C217">
        <f>IF(AND($A217&lt;&gt;"",'算罪台'!$B$4&lt;&gt;"",ISNUMBER(SEARCH($A217,'算罪台'!$B$4))),1,0)</f>
        <v/>
      </c>
      <c r="D217">
        <f>IF(AND($A217&lt;&gt;"",'算罪台'!$B$5&lt;&gt;"",ISNUMBER(SEARCH($A217,'算罪台'!$B$5))),1,0)</f>
        <v/>
      </c>
      <c r="E217">
        <f>IF(AND($A217&lt;&gt;"",'算罪台'!$B$6&lt;&gt;"",ISNUMBER(SEARCH($A217,'算罪台'!$B$6))),1,0)</f>
        <v/>
      </c>
    </row>
    <row r="218">
      <c r="A218" t="inlineStr">
        <is>
          <t>骚扰报警电话</t>
        </is>
      </c>
      <c r="B218" t="inlineStr">
        <is>
          <t>恶意占用公共资源罪</t>
        </is>
      </c>
      <c r="C218">
        <f>IF(AND($A218&lt;&gt;"",'算罪台'!$B$4&lt;&gt;"",ISNUMBER(SEARCH($A218,'算罪台'!$B$4))),1,0)</f>
        <v/>
      </c>
      <c r="D218">
        <f>IF(AND($A218&lt;&gt;"",'算罪台'!$B$5&lt;&gt;"",ISNUMBER(SEARCH($A218,'算罪台'!$B$5))),1,0)</f>
        <v/>
      </c>
      <c r="E218">
        <f>IF(AND($A218&lt;&gt;"",'算罪台'!$B$6&lt;&gt;"",ISNUMBER(SEARCH($A218,'算罪台'!$B$6))),1,0)</f>
        <v/>
      </c>
    </row>
    <row r="219">
      <c r="A219" t="inlineStr">
        <is>
          <t>恶意报警</t>
        </is>
      </c>
      <c r="B219" t="inlineStr">
        <is>
          <t>恶意占用公共资源罪</t>
        </is>
      </c>
      <c r="C219">
        <f>IF(AND($A219&lt;&gt;"",'算罪台'!$B$4&lt;&gt;"",ISNUMBER(SEARCH($A219,'算罪台'!$B$4))),1,0)</f>
        <v/>
      </c>
      <c r="D219">
        <f>IF(AND($A219&lt;&gt;"",'算罪台'!$B$5&lt;&gt;"",ISNUMBER(SEARCH($A219,'算罪台'!$B$5))),1,0)</f>
        <v/>
      </c>
      <c r="E219">
        <f>IF(AND($A219&lt;&gt;"",'算罪台'!$B$6&lt;&gt;"",ISNUMBER(SEARCH($A219,'算罪台'!$B$6))),1,0)</f>
        <v/>
      </c>
    </row>
    <row r="220">
      <c r="A220" t="inlineStr">
        <is>
          <t>虚假报警</t>
        </is>
      </c>
      <c r="B220" t="inlineStr">
        <is>
          <t>恶意占用公共资源罪</t>
        </is>
      </c>
      <c r="C220">
        <f>IF(AND($A220&lt;&gt;"",'算罪台'!$B$4&lt;&gt;"",ISNUMBER(SEARCH($A220,'算罪台'!$B$4))),1,0)</f>
        <v/>
      </c>
      <c r="D220">
        <f>IF(AND($A220&lt;&gt;"",'算罪台'!$B$5&lt;&gt;"",ISNUMBER(SEARCH($A220,'算罪台'!$B$5))),1,0)</f>
        <v/>
      </c>
      <c r="E220">
        <f>IF(AND($A220&lt;&gt;"",'算罪台'!$B$6&lt;&gt;"",ISNUMBER(SEARCH($A220,'算罪台'!$B$6))),1,0)</f>
        <v/>
      </c>
    </row>
    <row r="221">
      <c r="A221" t="inlineStr">
        <is>
          <t>滥用紧急热线</t>
        </is>
      </c>
      <c r="B221" t="inlineStr">
        <is>
          <t>恶意占用公共资源罪</t>
        </is>
      </c>
      <c r="C221">
        <f>IF(AND($A221&lt;&gt;"",'算罪台'!$B$4&lt;&gt;"",ISNUMBER(SEARCH($A221,'算罪台'!$B$4))),1,0)</f>
        <v/>
      </c>
      <c r="D221">
        <f>IF(AND($A221&lt;&gt;"",'算罪台'!$B$5&lt;&gt;"",ISNUMBER(SEARCH($A221,'算罪台'!$B$5))),1,0)</f>
        <v/>
      </c>
      <c r="E221">
        <f>IF(AND($A221&lt;&gt;"",'算罪台'!$B$6&lt;&gt;"",ISNUMBER(SEARCH($A221,'算罪台'!$B$6))),1,0)</f>
        <v/>
      </c>
    </row>
    <row r="222">
      <c r="A222" t="inlineStr">
        <is>
          <t>进入封闭区域</t>
        </is>
      </c>
      <c r="B222" t="inlineStr">
        <is>
          <t>未经许可进入封闭紧急区域罪</t>
        </is>
      </c>
      <c r="C222">
        <f>IF(AND($A222&lt;&gt;"",'算罪台'!$B$4&lt;&gt;"",ISNUMBER(SEARCH($A222,'算罪台'!$B$4))),1,0)</f>
        <v/>
      </c>
      <c r="D222">
        <f>IF(AND($A222&lt;&gt;"",'算罪台'!$B$5&lt;&gt;"",ISNUMBER(SEARCH($A222,'算罪台'!$B$5))),1,0)</f>
        <v/>
      </c>
      <c r="E222">
        <f>IF(AND($A222&lt;&gt;"",'算罪台'!$B$6&lt;&gt;"",ISNUMBER(SEARCH($A222,'算罪台'!$B$6))),1,0)</f>
        <v/>
      </c>
    </row>
    <row r="223">
      <c r="A223" t="inlineStr">
        <is>
          <t>闯入警戒线</t>
        </is>
      </c>
      <c r="B223" t="inlineStr">
        <is>
          <t>未经许可进入封闭紧急区域罪</t>
        </is>
      </c>
      <c r="C223">
        <f>IF(AND($A223&lt;&gt;"",'算罪台'!$B$4&lt;&gt;"",ISNUMBER(SEARCH($A223,'算罪台'!$B$4))),1,0)</f>
        <v/>
      </c>
      <c r="D223">
        <f>IF(AND($A223&lt;&gt;"",'算罪台'!$B$5&lt;&gt;"",ISNUMBER(SEARCH($A223,'算罪台'!$B$5))),1,0)</f>
        <v/>
      </c>
      <c r="E223">
        <f>IF(AND($A223&lt;&gt;"",'算罪台'!$B$6&lt;&gt;"",ISNUMBER(SEARCH($A223,'算罪台'!$B$6))),1,0)</f>
        <v/>
      </c>
    </row>
    <row r="224">
      <c r="A224" t="inlineStr">
        <is>
          <t>擅闯封锁区</t>
        </is>
      </c>
      <c r="B224" t="inlineStr">
        <is>
          <t>未经许可进入封闭紧急区域罪</t>
        </is>
      </c>
      <c r="C224">
        <f>IF(AND($A224&lt;&gt;"",'算罪台'!$B$4&lt;&gt;"",ISNUMBER(SEARCH($A224,'算罪台'!$B$4))),1,0)</f>
        <v/>
      </c>
      <c r="D224">
        <f>IF(AND($A224&lt;&gt;"",'算罪台'!$B$5&lt;&gt;"",ISNUMBER(SEARCH($A224,'算罪台'!$B$5))),1,0)</f>
        <v/>
      </c>
      <c r="E224">
        <f>IF(AND($A224&lt;&gt;"",'算罪台'!$B$6&lt;&gt;"",ISNUMBER(SEARCH($A224,'算罪台'!$B$6))),1,0)</f>
        <v/>
      </c>
    </row>
    <row r="225">
      <c r="A225" t="inlineStr">
        <is>
          <t>越过警戒线</t>
        </is>
      </c>
      <c r="B225" t="inlineStr">
        <is>
          <t>未经许可进入封闭紧急区域罪</t>
        </is>
      </c>
      <c r="C225">
        <f>IF(AND($A225&lt;&gt;"",'算罪台'!$B$4&lt;&gt;"",ISNUMBER(SEARCH($A225,'算罪台'!$B$4))),1,0)</f>
        <v/>
      </c>
      <c r="D225">
        <f>IF(AND($A225&lt;&gt;"",'算罪台'!$B$5&lt;&gt;"",ISNUMBER(SEARCH($A225,'算罪台'!$B$5))),1,0)</f>
        <v/>
      </c>
      <c r="E225">
        <f>IF(AND($A225&lt;&gt;"",'算罪台'!$B$6&lt;&gt;"",ISNUMBER(SEARCH($A225,'算罪台'!$B$6))),1,0)</f>
        <v/>
      </c>
    </row>
    <row r="226">
      <c r="A226" t="inlineStr">
        <is>
          <t>闯入事故现场</t>
        </is>
      </c>
      <c r="B226" t="inlineStr">
        <is>
          <t>未经许可进入封闭紧急区域罪</t>
        </is>
      </c>
      <c r="C226">
        <f>IF(AND($A226&lt;&gt;"",'算罪台'!$B$4&lt;&gt;"",ISNUMBER(SEARCH($A226,'算罪台'!$B$4))),1,0)</f>
        <v/>
      </c>
      <c r="D226">
        <f>IF(AND($A226&lt;&gt;"",'算罪台'!$B$5&lt;&gt;"",ISNUMBER(SEARCH($A226,'算罪台'!$B$5))),1,0)</f>
        <v/>
      </c>
      <c r="E226">
        <f>IF(AND($A226&lt;&gt;"",'算罪台'!$B$6&lt;&gt;"",ISNUMBER(SEARCH($A226,'算罪台'!$B$6))),1,0)</f>
        <v/>
      </c>
    </row>
    <row r="227">
      <c r="A227" t="inlineStr">
        <is>
          <t>袭警</t>
        </is>
      </c>
      <c r="B227" t="inlineStr">
        <is>
          <t>袭警罪</t>
        </is>
      </c>
      <c r="C227">
        <f>IF(AND($A227&lt;&gt;"",'算罪台'!$B$4&lt;&gt;"",ISNUMBER(SEARCH($A227,'算罪台'!$B$4))),1,0)</f>
        <v/>
      </c>
      <c r="D227">
        <f>IF(AND($A227&lt;&gt;"",'算罪台'!$B$5&lt;&gt;"",ISNUMBER(SEARCH($A227,'算罪台'!$B$5))),1,0)</f>
        <v/>
      </c>
      <c r="E227">
        <f>IF(AND($A227&lt;&gt;"",'算罪台'!$B$6&lt;&gt;"",ISNUMBER(SEARCH($A227,'算罪台'!$B$6))),1,0)</f>
        <v/>
      </c>
    </row>
    <row r="228">
      <c r="A228" t="inlineStr">
        <is>
          <t>袭击警察</t>
        </is>
      </c>
      <c r="B228" t="inlineStr">
        <is>
          <t>袭警罪</t>
        </is>
      </c>
      <c r="C228">
        <f>IF(AND($A228&lt;&gt;"",'算罪台'!$B$4&lt;&gt;"",ISNUMBER(SEARCH($A228,'算罪台'!$B$4))),1,0)</f>
        <v/>
      </c>
      <c r="D228">
        <f>IF(AND($A228&lt;&gt;"",'算罪台'!$B$5&lt;&gt;"",ISNUMBER(SEARCH($A228,'算罪台'!$B$5))),1,0)</f>
        <v/>
      </c>
      <c r="E228">
        <f>IF(AND($A228&lt;&gt;"",'算罪台'!$B$6&lt;&gt;"",ISNUMBER(SEARCH($A228,'算罪台'!$B$6))),1,0)</f>
        <v/>
      </c>
    </row>
    <row r="229">
      <c r="A229" t="inlineStr">
        <is>
          <t>打警察</t>
        </is>
      </c>
      <c r="B229" t="inlineStr">
        <is>
          <t>袭警罪</t>
        </is>
      </c>
      <c r="C229">
        <f>IF(AND($A229&lt;&gt;"",'算罪台'!$B$4&lt;&gt;"",ISNUMBER(SEARCH($A229,'算罪台'!$B$4))),1,0)</f>
        <v/>
      </c>
      <c r="D229">
        <f>IF(AND($A229&lt;&gt;"",'算罪台'!$B$5&lt;&gt;"",ISNUMBER(SEARCH($A229,'算罪台'!$B$5))),1,0)</f>
        <v/>
      </c>
      <c r="E229">
        <f>IF(AND($A229&lt;&gt;"",'算罪台'!$B$6&lt;&gt;"",ISNUMBER(SEARCH($A229,'算罪台'!$B$6))),1,0)</f>
        <v/>
      </c>
    </row>
    <row r="230">
      <c r="A230" t="inlineStr">
        <is>
          <t>攻击警察</t>
        </is>
      </c>
      <c r="B230" t="inlineStr">
        <is>
          <t>袭警罪</t>
        </is>
      </c>
      <c r="C230">
        <f>IF(AND($A230&lt;&gt;"",'算罪台'!$B$4&lt;&gt;"",ISNUMBER(SEARCH($A230,'算罪台'!$B$4))),1,0)</f>
        <v/>
      </c>
      <c r="D230">
        <f>IF(AND($A230&lt;&gt;"",'算罪台'!$B$5&lt;&gt;"",ISNUMBER(SEARCH($A230,'算罪台'!$B$5))),1,0)</f>
        <v/>
      </c>
      <c r="E230">
        <f>IF(AND($A230&lt;&gt;"",'算罪台'!$B$6&lt;&gt;"",ISNUMBER(SEARCH($A230,'算罪台'!$B$6))),1,0)</f>
        <v/>
      </c>
    </row>
    <row r="231">
      <c r="A231" t="inlineStr">
        <is>
          <t>伤害警察</t>
        </is>
      </c>
      <c r="B231" t="inlineStr">
        <is>
          <t>袭警罪</t>
        </is>
      </c>
      <c r="C231">
        <f>IF(AND($A231&lt;&gt;"",'算罪台'!$B$4&lt;&gt;"",ISNUMBER(SEARCH($A231,'算罪台'!$B$4))),1,0)</f>
        <v/>
      </c>
      <c r="D231">
        <f>IF(AND($A231&lt;&gt;"",'算罪台'!$B$5&lt;&gt;"",ISNUMBER(SEARCH($A231,'算罪台'!$B$5))),1,0)</f>
        <v/>
      </c>
      <c r="E231">
        <f>IF(AND($A231&lt;&gt;"",'算罪台'!$B$6&lt;&gt;"",ISNUMBER(SEARCH($A231,'算罪台'!$B$6))),1,0)</f>
        <v/>
      </c>
    </row>
    <row r="232">
      <c r="A232" t="inlineStr">
        <is>
          <t>攻击警车</t>
        </is>
      </c>
      <c r="B232" t="inlineStr">
        <is>
          <t>袭警罪</t>
        </is>
      </c>
      <c r="C232">
        <f>IF(AND($A232&lt;&gt;"",'算罪台'!$B$4&lt;&gt;"",ISNUMBER(SEARCH($A232,'算罪台'!$B$4))),1,0)</f>
        <v/>
      </c>
      <c r="D232">
        <f>IF(AND($A232&lt;&gt;"",'算罪台'!$B$5&lt;&gt;"",ISNUMBER(SEARCH($A232,'算罪台'!$B$5))),1,0)</f>
        <v/>
      </c>
      <c r="E232">
        <f>IF(AND($A232&lt;&gt;"",'算罪台'!$B$6&lt;&gt;"",ISNUMBER(SEARCH($A232,'算罪台'!$B$6))),1,0)</f>
        <v/>
      </c>
    </row>
    <row r="233">
      <c r="A233" t="inlineStr">
        <is>
          <t>攻击警犬</t>
        </is>
      </c>
      <c r="B233" t="inlineStr">
        <is>
          <t>袭警罪</t>
        </is>
      </c>
      <c r="C233">
        <f>IF(AND($A233&lt;&gt;"",'算罪台'!$B$4&lt;&gt;"",ISNUMBER(SEARCH($A233,'算罪台'!$B$4))),1,0)</f>
        <v/>
      </c>
      <c r="D233">
        <f>IF(AND($A233&lt;&gt;"",'算罪台'!$B$5&lt;&gt;"",ISNUMBER(SEARCH($A233,'算罪台'!$B$5))),1,0)</f>
        <v/>
      </c>
      <c r="E233">
        <f>IF(AND($A233&lt;&gt;"",'算罪台'!$B$6&lt;&gt;"",ISNUMBER(SEARCH($A233,'算罪台'!$B$6))),1,0)</f>
        <v/>
      </c>
    </row>
    <row r="234">
      <c r="A234" t="inlineStr">
        <is>
          <t>殴打警察</t>
        </is>
      </c>
      <c r="B234" t="inlineStr">
        <is>
          <t>袭警罪</t>
        </is>
      </c>
      <c r="C234">
        <f>IF(AND($A234&lt;&gt;"",'算罪台'!$B$4&lt;&gt;"",ISNUMBER(SEARCH($A234,'算罪台'!$B$4))),1,0)</f>
        <v/>
      </c>
      <c r="D234">
        <f>IF(AND($A234&lt;&gt;"",'算罪台'!$B$5&lt;&gt;"",ISNUMBER(SEARCH($A234,'算罪台'!$B$5))),1,0)</f>
        <v/>
      </c>
      <c r="E234">
        <f>IF(AND($A234&lt;&gt;"",'算罪台'!$B$6&lt;&gt;"",ISNUMBER(SEARCH($A234,'算罪台'!$B$6))),1,0)</f>
        <v/>
      </c>
    </row>
    <row r="235">
      <c r="A235" t="inlineStr">
        <is>
          <t>扰乱治安</t>
        </is>
      </c>
      <c r="B235" t="inlineStr">
        <is>
          <t>扰乱治安罪</t>
        </is>
      </c>
      <c r="C235">
        <f>IF(AND($A235&lt;&gt;"",'算罪台'!$B$4&lt;&gt;"",ISNUMBER(SEARCH($A235,'算罪台'!$B$4))),1,0)</f>
        <v/>
      </c>
      <c r="D235">
        <f>IF(AND($A235&lt;&gt;"",'算罪台'!$B$5&lt;&gt;"",ISNUMBER(SEARCH($A235,'算罪台'!$B$5))),1,0)</f>
        <v/>
      </c>
      <c r="E235">
        <f>IF(AND($A235&lt;&gt;"",'算罪台'!$B$6&lt;&gt;"",ISNUMBER(SEARCH($A235,'算罪台'!$B$6))),1,0)</f>
        <v/>
      </c>
    </row>
    <row r="236">
      <c r="A236" t="inlineStr">
        <is>
          <t>挑衅</t>
        </is>
      </c>
      <c r="B236" t="inlineStr">
        <is>
          <t>扰乱治安罪</t>
        </is>
      </c>
      <c r="C236">
        <f>IF(AND($A236&lt;&gt;"",'算罪台'!$B$4&lt;&gt;"",ISNUMBER(SEARCH($A236,'算罪台'!$B$4))),1,0)</f>
        <v/>
      </c>
      <c r="D236">
        <f>IF(AND($A236&lt;&gt;"",'算罪台'!$B$5&lt;&gt;"",ISNUMBER(SEARCH($A236,'算罪台'!$B$5))),1,0)</f>
        <v/>
      </c>
      <c r="E236">
        <f>IF(AND($A236&lt;&gt;"",'算罪台'!$B$6&lt;&gt;"",ISNUMBER(SEARCH($A236,'算罪台'!$B$6))),1,0)</f>
        <v/>
      </c>
    </row>
    <row r="237">
      <c r="A237" t="inlineStr">
        <is>
          <t>寻衅</t>
        </is>
      </c>
      <c r="B237" t="inlineStr">
        <is>
          <t>扰乱治安罪</t>
        </is>
      </c>
      <c r="C237">
        <f>IF(AND($A237&lt;&gt;"",'算罪台'!$B$4&lt;&gt;"",ISNUMBER(SEARCH($A237,'算罪台'!$B$4))),1,0)</f>
        <v/>
      </c>
      <c r="D237">
        <f>IF(AND($A237&lt;&gt;"",'算罪台'!$B$5&lt;&gt;"",ISNUMBER(SEARCH($A237,'算罪台'!$B$5))),1,0)</f>
        <v/>
      </c>
      <c r="E237">
        <f>IF(AND($A237&lt;&gt;"",'算罪台'!$B$6&lt;&gt;"",ISNUMBER(SEARCH($A237,'算罪台'!$B$6))),1,0)</f>
        <v/>
      </c>
    </row>
    <row r="238">
      <c r="A238" t="inlineStr">
        <is>
          <t>扰民</t>
        </is>
      </c>
      <c r="B238" t="inlineStr">
        <is>
          <t>扰乱治安罪</t>
        </is>
      </c>
      <c r="C238">
        <f>IF(AND($A238&lt;&gt;"",'算罪台'!$B$4&lt;&gt;"",ISNUMBER(SEARCH($A238,'算罪台'!$B$4))),1,0)</f>
        <v/>
      </c>
      <c r="D238">
        <f>IF(AND($A238&lt;&gt;"",'算罪台'!$B$5&lt;&gt;"",ISNUMBER(SEARCH($A238,'算罪台'!$B$5))),1,0)</f>
        <v/>
      </c>
      <c r="E238">
        <f>IF(AND($A238&lt;&gt;"",'算罪台'!$B$6&lt;&gt;"",ISNUMBER(SEARCH($A238,'算罪台'!$B$6))),1,0)</f>
        <v/>
      </c>
    </row>
    <row r="239">
      <c r="A239" t="inlineStr">
        <is>
          <t>冒犯性语言</t>
        </is>
      </c>
      <c r="B239" t="inlineStr">
        <is>
          <t>扰乱治安罪</t>
        </is>
      </c>
      <c r="C239">
        <f>IF(AND($A239&lt;&gt;"",'算罪台'!$B$4&lt;&gt;"",ISNUMBER(SEARCH($A239,'算罪台'!$B$4))),1,0)</f>
        <v/>
      </c>
      <c r="D239">
        <f>IF(AND($A239&lt;&gt;"",'算罪台'!$B$5&lt;&gt;"",ISNUMBER(SEARCH($A239,'算罪台'!$B$5))),1,0)</f>
        <v/>
      </c>
      <c r="E239">
        <f>IF(AND($A239&lt;&gt;"",'算罪台'!$B$6&lt;&gt;"",ISNUMBER(SEARCH($A239,'算罪台'!$B$6))),1,0)</f>
        <v/>
      </c>
    </row>
    <row r="240">
      <c r="A240" t="inlineStr">
        <is>
          <t>引起恐慌</t>
        </is>
      </c>
      <c r="B240" t="inlineStr">
        <is>
          <t>扰乱治安罪</t>
        </is>
      </c>
      <c r="C240">
        <f>IF(AND($A240&lt;&gt;"",'算罪台'!$B$4&lt;&gt;"",ISNUMBER(SEARCH($A240,'算罪台'!$B$4))),1,0)</f>
        <v/>
      </c>
      <c r="D240">
        <f>IF(AND($A240&lt;&gt;"",'算罪台'!$B$5&lt;&gt;"",ISNUMBER(SEARCH($A240,'算罪台'!$B$5))),1,0)</f>
        <v/>
      </c>
      <c r="E240">
        <f>IF(AND($A240&lt;&gt;"",'算罪台'!$B$6&lt;&gt;"",ISNUMBER(SEARCH($A240,'算罪台'!$B$6))),1,0)</f>
        <v/>
      </c>
    </row>
    <row r="241">
      <c r="A241" t="inlineStr">
        <is>
          <t>公共场所吵闹</t>
        </is>
      </c>
      <c r="B241" t="inlineStr">
        <is>
          <t>扰乱治安罪</t>
        </is>
      </c>
      <c r="C241">
        <f>IF(AND($A241&lt;&gt;"",'算罪台'!$B$4&lt;&gt;"",ISNUMBER(SEARCH($A241,'算罪台'!$B$4))),1,0)</f>
        <v/>
      </c>
      <c r="D241">
        <f>IF(AND($A241&lt;&gt;"",'算罪台'!$B$5&lt;&gt;"",ISNUMBER(SEARCH($A241,'算罪台'!$B$5))),1,0)</f>
        <v/>
      </c>
      <c r="E241">
        <f>IF(AND($A241&lt;&gt;"",'算罪台'!$B$6&lt;&gt;"",ISNUMBER(SEARCH($A241,'算罪台'!$B$6))),1,0)</f>
        <v/>
      </c>
    </row>
    <row r="242">
      <c r="A242" t="inlineStr">
        <is>
          <t>非法集会</t>
        </is>
      </c>
      <c r="B242" t="inlineStr">
        <is>
          <t>非法集会罪</t>
        </is>
      </c>
      <c r="C242">
        <f>IF(AND($A242&lt;&gt;"",'算罪台'!$B$4&lt;&gt;"",ISNUMBER(SEARCH($A242,'算罪台'!$B$4))),1,0)</f>
        <v/>
      </c>
      <c r="D242">
        <f>IF(AND($A242&lt;&gt;"",'算罪台'!$B$5&lt;&gt;"",ISNUMBER(SEARCH($A242,'算罪台'!$B$5))),1,0)</f>
        <v/>
      </c>
      <c r="E242">
        <f>IF(AND($A242&lt;&gt;"",'算罪台'!$B$6&lt;&gt;"",ISNUMBER(SEARCH($A242,'算罪台'!$B$6))),1,0)</f>
        <v/>
      </c>
    </row>
    <row r="243">
      <c r="A243" t="inlineStr">
        <is>
          <t>聚众</t>
        </is>
      </c>
      <c r="B243" t="inlineStr">
        <is>
          <t>非法集会罪</t>
        </is>
      </c>
      <c r="C243">
        <f>IF(AND($A243&lt;&gt;"",'算罪台'!$B$4&lt;&gt;"",ISNUMBER(SEARCH($A243,'算罪台'!$B$4))),1,0)</f>
        <v/>
      </c>
      <c r="D243">
        <f>IF(AND($A243&lt;&gt;"",'算罪台'!$B$5&lt;&gt;"",ISNUMBER(SEARCH($A243,'算罪台'!$B$5))),1,0)</f>
        <v/>
      </c>
      <c r="E243">
        <f>IF(AND($A243&lt;&gt;"",'算罪台'!$B$6&lt;&gt;"",ISNUMBER(SEARCH($A243,'算罪台'!$B$6))),1,0)</f>
        <v/>
      </c>
    </row>
    <row r="244">
      <c r="A244" t="inlineStr">
        <is>
          <t>聚集骚乱</t>
        </is>
      </c>
      <c r="B244" t="inlineStr">
        <is>
          <t>非法集会罪</t>
        </is>
      </c>
      <c r="C244">
        <f>IF(AND($A244&lt;&gt;"",'算罪台'!$B$4&lt;&gt;"",ISNUMBER(SEARCH($A244,'算罪台'!$B$4))),1,0)</f>
        <v/>
      </c>
      <c r="D244">
        <f>IF(AND($A244&lt;&gt;"",'算罪台'!$B$5&lt;&gt;"",ISNUMBER(SEARCH($A244,'算罪台'!$B$5))),1,0)</f>
        <v/>
      </c>
      <c r="E244">
        <f>IF(AND($A244&lt;&gt;"",'算罪台'!$B$6&lt;&gt;"",ISNUMBER(SEARCH($A244,'算罪台'!$B$6))),1,0)</f>
        <v/>
      </c>
    </row>
    <row r="245">
      <c r="A245" t="inlineStr">
        <is>
          <t>非法聚集</t>
        </is>
      </c>
      <c r="B245" t="inlineStr">
        <is>
          <t>非法集会罪</t>
        </is>
      </c>
      <c r="C245">
        <f>IF(AND($A245&lt;&gt;"",'算罪台'!$B$4&lt;&gt;"",ISNUMBER(SEARCH($A245,'算罪台'!$B$4))),1,0)</f>
        <v/>
      </c>
      <c r="D245">
        <f>IF(AND($A245&lt;&gt;"",'算罪台'!$B$5&lt;&gt;"",ISNUMBER(SEARCH($A245,'算罪台'!$B$5))),1,0)</f>
        <v/>
      </c>
      <c r="E245">
        <f>IF(AND($A245&lt;&gt;"",'算罪台'!$B$6&lt;&gt;"",ISNUMBER(SEARCH($A245,'算罪台'!$B$6))),1,0)</f>
        <v/>
      </c>
    </row>
    <row r="246">
      <c r="A246" t="inlineStr">
        <is>
          <t>聚众闹事</t>
        </is>
      </c>
      <c r="B246" t="inlineStr">
        <is>
          <t>非法集会罪</t>
        </is>
      </c>
      <c r="C246">
        <f>IF(AND($A246&lt;&gt;"",'算罪台'!$B$4&lt;&gt;"",ISNUMBER(SEARCH($A246,'算罪台'!$B$4))),1,0)</f>
        <v/>
      </c>
      <c r="D246">
        <f>IF(AND($A246&lt;&gt;"",'算罪台'!$B$5&lt;&gt;"",ISNUMBER(SEARCH($A246,'算罪台'!$B$5))),1,0)</f>
        <v/>
      </c>
      <c r="E246">
        <f>IF(AND($A246&lt;&gt;"",'算罪台'!$B$6&lt;&gt;"",ISNUMBER(SEARCH($A246,'算罪台'!$B$6))),1,0)</f>
        <v/>
      </c>
    </row>
    <row r="247">
      <c r="A247" t="inlineStr">
        <is>
          <t>煽动暴乱</t>
        </is>
      </c>
      <c r="B247" t="inlineStr">
        <is>
          <t>煽动暴乱罪</t>
        </is>
      </c>
      <c r="C247">
        <f>IF(AND($A247&lt;&gt;"",'算罪台'!$B$4&lt;&gt;"",ISNUMBER(SEARCH($A247,'算罪台'!$B$4))),1,0)</f>
        <v/>
      </c>
      <c r="D247">
        <f>IF(AND($A247&lt;&gt;"",'算罪台'!$B$5&lt;&gt;"",ISNUMBER(SEARCH($A247,'算罪台'!$B$5))),1,0)</f>
        <v/>
      </c>
      <c r="E247">
        <f>IF(AND($A247&lt;&gt;"",'算罪台'!$B$6&lt;&gt;"",ISNUMBER(SEARCH($A247,'算罪台'!$B$6))),1,0)</f>
        <v/>
      </c>
    </row>
    <row r="248">
      <c r="A248" t="inlineStr">
        <is>
          <t>煽动暴力</t>
        </is>
      </c>
      <c r="B248" t="inlineStr">
        <is>
          <t>煽动暴乱罪</t>
        </is>
      </c>
      <c r="C248">
        <f>IF(AND($A248&lt;&gt;"",'算罪台'!$B$4&lt;&gt;"",ISNUMBER(SEARCH($A248,'算罪台'!$B$4))),1,0)</f>
        <v/>
      </c>
      <c r="D248">
        <f>IF(AND($A248&lt;&gt;"",'算罪台'!$B$5&lt;&gt;"",ISNUMBER(SEARCH($A248,'算罪台'!$B$5))),1,0)</f>
        <v/>
      </c>
      <c r="E248">
        <f>IF(AND($A248&lt;&gt;"",'算罪台'!$B$6&lt;&gt;"",ISNUMBER(SEARCH($A248,'算罪台'!$B$6))),1,0)</f>
        <v/>
      </c>
    </row>
    <row r="249">
      <c r="A249" t="inlineStr">
        <is>
          <t>鼓动暴乱</t>
        </is>
      </c>
      <c r="B249" t="inlineStr">
        <is>
          <t>煽动暴乱罪</t>
        </is>
      </c>
      <c r="C249">
        <f>IF(AND($A249&lt;&gt;"",'算罪台'!$B$4&lt;&gt;"",ISNUMBER(SEARCH($A249,'算罪台'!$B$4))),1,0)</f>
        <v/>
      </c>
      <c r="D249">
        <f>IF(AND($A249&lt;&gt;"",'算罪台'!$B$5&lt;&gt;"",ISNUMBER(SEARCH($A249,'算罪台'!$B$5))),1,0)</f>
        <v/>
      </c>
      <c r="E249">
        <f>IF(AND($A249&lt;&gt;"",'算罪台'!$B$6&lt;&gt;"",ISNUMBER(SEARCH($A249,'算罪台'!$B$6))),1,0)</f>
        <v/>
      </c>
    </row>
    <row r="250">
      <c r="A250" t="inlineStr">
        <is>
          <t>鼓动暴力</t>
        </is>
      </c>
      <c r="B250" t="inlineStr">
        <is>
          <t>煽动暴乱罪</t>
        </is>
      </c>
      <c r="C250">
        <f>IF(AND($A250&lt;&gt;"",'算罪台'!$B$4&lt;&gt;"",ISNUMBER(SEARCH($A250,'算罪台'!$B$4))),1,0)</f>
        <v/>
      </c>
      <c r="D250">
        <f>IF(AND($A250&lt;&gt;"",'算罪台'!$B$5&lt;&gt;"",ISNUMBER(SEARCH($A250,'算罪台'!$B$5))),1,0)</f>
        <v/>
      </c>
      <c r="E250">
        <f>IF(AND($A250&lt;&gt;"",'算罪台'!$B$6&lt;&gt;"",ISNUMBER(SEARCH($A250,'算罪台'!$B$6))),1,0)</f>
        <v/>
      </c>
    </row>
    <row r="251">
      <c r="A251" t="inlineStr">
        <is>
          <t>遮挡面部</t>
        </is>
      </c>
      <c r="B251" t="inlineStr">
        <is>
          <t>遮挡面部罪</t>
        </is>
      </c>
      <c r="C251">
        <f>IF(AND($A251&lt;&gt;"",'算罪台'!$B$4&lt;&gt;"",ISNUMBER(SEARCH($A251,'算罪台'!$B$4))),1,0)</f>
        <v/>
      </c>
      <c r="D251">
        <f>IF(AND($A251&lt;&gt;"",'算罪台'!$B$5&lt;&gt;"",ISNUMBER(SEARCH($A251,'算罪台'!$B$5))),1,0)</f>
        <v/>
      </c>
      <c r="E251">
        <f>IF(AND($A251&lt;&gt;"",'算罪台'!$B$6&lt;&gt;"",ISNUMBER(SEARCH($A251,'算罪台'!$B$6))),1,0)</f>
        <v/>
      </c>
    </row>
    <row r="252">
      <c r="A252" t="inlineStr">
        <is>
          <t>蒙面</t>
        </is>
      </c>
      <c r="B252" t="inlineStr">
        <is>
          <t>遮挡面部罪</t>
        </is>
      </c>
      <c r="C252">
        <f>IF(AND($A252&lt;&gt;"",'算罪台'!$B$4&lt;&gt;"",ISNUMBER(SEARCH($A252,'算罪台'!$B$4))),1,0)</f>
        <v/>
      </c>
      <c r="D252">
        <f>IF(AND($A252&lt;&gt;"",'算罪台'!$B$5&lt;&gt;"",ISNUMBER(SEARCH($A252,'算罪台'!$B$5))),1,0)</f>
        <v/>
      </c>
      <c r="E252">
        <f>IF(AND($A252&lt;&gt;"",'算罪台'!$B$6&lt;&gt;"",ISNUMBER(SEARCH($A252,'算罪台'!$B$6))),1,0)</f>
        <v/>
      </c>
    </row>
    <row r="253">
      <c r="A253" t="inlineStr">
        <is>
          <t>戴面具</t>
        </is>
      </c>
      <c r="B253" t="inlineStr">
        <is>
          <t>遮挡面部罪</t>
        </is>
      </c>
      <c r="C253">
        <f>IF(AND($A253&lt;&gt;"",'算罪台'!$B$4&lt;&gt;"",ISNUMBER(SEARCH($A253,'算罪台'!$B$4))),1,0)</f>
        <v/>
      </c>
      <c r="D253">
        <f>IF(AND($A253&lt;&gt;"",'算罪台'!$B$5&lt;&gt;"",ISNUMBER(SEARCH($A253,'算罪台'!$B$5))),1,0)</f>
        <v/>
      </c>
      <c r="E253">
        <f>IF(AND($A253&lt;&gt;"",'算罪台'!$B$6&lt;&gt;"",ISNUMBER(SEARCH($A253,'算罪台'!$B$6))),1,0)</f>
        <v/>
      </c>
    </row>
    <row r="254">
      <c r="A254" t="inlineStr">
        <is>
          <t>兜帽遮脸</t>
        </is>
      </c>
      <c r="B254" t="inlineStr">
        <is>
          <t>遮挡面部罪</t>
        </is>
      </c>
      <c r="C254">
        <f>IF(AND($A254&lt;&gt;"",'算罪台'!$B$4&lt;&gt;"",ISNUMBER(SEARCH($A254,'算罪台'!$B$4))),1,0)</f>
        <v/>
      </c>
      <c r="D254">
        <f>IF(AND($A254&lt;&gt;"",'算罪台'!$B$5&lt;&gt;"",ISNUMBER(SEARCH($A254,'算罪台'!$B$5))),1,0)</f>
        <v/>
      </c>
      <c r="E254">
        <f>IF(AND($A254&lt;&gt;"",'算罪台'!$B$6&lt;&gt;"",ISNUMBER(SEARCH($A254,'算罪台'!$B$6))),1,0)</f>
        <v/>
      </c>
    </row>
    <row r="255">
      <c r="A255" t="inlineStr">
        <is>
          <t>拒绝揭开面罩</t>
        </is>
      </c>
      <c r="B255" t="inlineStr">
        <is>
          <t>遮挡面部罪</t>
        </is>
      </c>
      <c r="C255">
        <f>IF(AND($A255&lt;&gt;"",'算罪台'!$B$4&lt;&gt;"",ISNUMBER(SEARCH($A255,'算罪台'!$B$4))),1,0)</f>
        <v/>
      </c>
      <c r="D255">
        <f>IF(AND($A255&lt;&gt;"",'算罪台'!$B$5&lt;&gt;"",ISNUMBER(SEARCH($A255,'算罪台'!$B$5))),1,0)</f>
        <v/>
      </c>
      <c r="E255">
        <f>IF(AND($A255&lt;&gt;"",'算罪台'!$B$6&lt;&gt;"",ISNUMBER(SEARCH($A255,'算罪台'!$B$6))),1,0)</f>
        <v/>
      </c>
    </row>
    <row r="256">
      <c r="A256" t="inlineStr">
        <is>
          <t>非法持有热武器</t>
        </is>
      </c>
      <c r="B256" t="inlineStr">
        <is>
          <t>非法持有热武器罪</t>
        </is>
      </c>
      <c r="C256">
        <f>IF(AND($A256&lt;&gt;"",'算罪台'!$B$4&lt;&gt;"",ISNUMBER(SEARCH($A256,'算罪台'!$B$4))),1,0)</f>
        <v/>
      </c>
      <c r="D256">
        <f>IF(AND($A256&lt;&gt;"",'算罪台'!$B$5&lt;&gt;"",ISNUMBER(SEARCH($A256,'算罪台'!$B$5))),1,0)</f>
        <v/>
      </c>
      <c r="E256">
        <f>IF(AND($A256&lt;&gt;"",'算罪台'!$B$6&lt;&gt;"",ISNUMBER(SEARCH($A256,'算罪台'!$B$6))),1,0)</f>
        <v/>
      </c>
    </row>
    <row r="257">
      <c r="A257" t="inlineStr">
        <is>
          <t>无证持枪</t>
        </is>
      </c>
      <c r="B257" t="inlineStr">
        <is>
          <t>非法持有热武器罪</t>
        </is>
      </c>
      <c r="C257">
        <f>IF(AND($A257&lt;&gt;"",'算罪台'!$B$4&lt;&gt;"",ISNUMBER(SEARCH($A257,'算罪台'!$B$4))),1,0)</f>
        <v/>
      </c>
      <c r="D257">
        <f>IF(AND($A257&lt;&gt;"",'算罪台'!$B$5&lt;&gt;"",ISNUMBER(SEARCH($A257,'算罪台'!$B$5))),1,0)</f>
        <v/>
      </c>
      <c r="E257">
        <f>IF(AND($A257&lt;&gt;"",'算罪台'!$B$6&lt;&gt;"",ISNUMBER(SEARCH($A257,'算罪台'!$B$6))),1,0)</f>
        <v/>
      </c>
    </row>
    <row r="258">
      <c r="A258" t="inlineStr">
        <is>
          <t>非法持枪</t>
        </is>
      </c>
      <c r="B258" t="inlineStr">
        <is>
          <t>非法持有热武器罪</t>
        </is>
      </c>
      <c r="C258">
        <f>IF(AND($A258&lt;&gt;"",'算罪台'!$B$4&lt;&gt;"",ISNUMBER(SEARCH($A258,'算罪台'!$B$4))),1,0)</f>
        <v/>
      </c>
      <c r="D258">
        <f>IF(AND($A258&lt;&gt;"",'算罪台'!$B$5&lt;&gt;"",ISNUMBER(SEARCH($A258,'算罪台'!$B$5))),1,0)</f>
        <v/>
      </c>
      <c r="E258">
        <f>IF(AND($A258&lt;&gt;"",'算罪台'!$B$6&lt;&gt;"",ISNUMBER(SEARCH($A258,'算罪台'!$B$6))),1,0)</f>
        <v/>
      </c>
    </row>
    <row r="259">
      <c r="A259" t="inlineStr">
        <is>
          <t>持有非法武器</t>
        </is>
      </c>
      <c r="B259" t="inlineStr">
        <is>
          <t>非法持有热武器罪</t>
        </is>
      </c>
      <c r="C259">
        <f>IF(AND($A259&lt;&gt;"",'算罪台'!$B$4&lt;&gt;"",ISNUMBER(SEARCH($A259,'算罪台'!$B$4))),1,0)</f>
        <v/>
      </c>
      <c r="D259">
        <f>IF(AND($A259&lt;&gt;"",'算罪台'!$B$5&lt;&gt;"",ISNUMBER(SEARCH($A259,'算罪台'!$B$5))),1,0)</f>
        <v/>
      </c>
      <c r="E259">
        <f>IF(AND($A259&lt;&gt;"",'算罪台'!$B$6&lt;&gt;"",ISNUMBER(SEARCH($A259,'算罪台'!$B$6))),1,0)</f>
        <v/>
      </c>
    </row>
    <row r="260">
      <c r="A260" t="inlineStr">
        <is>
          <t>无序列号枪支</t>
        </is>
      </c>
      <c r="B260" t="inlineStr">
        <is>
          <t>非法持有热武器罪</t>
        </is>
      </c>
      <c r="C260">
        <f>IF(AND($A260&lt;&gt;"",'算罪台'!$B$4&lt;&gt;"",ISNUMBER(SEARCH($A260,'算罪台'!$B$4))),1,0)</f>
        <v/>
      </c>
      <c r="D260">
        <f>IF(AND($A260&lt;&gt;"",'算罪台'!$B$5&lt;&gt;"",ISNUMBER(SEARCH($A260,'算罪台'!$B$5))),1,0)</f>
        <v/>
      </c>
      <c r="E260">
        <f>IF(AND($A260&lt;&gt;"",'算罪台'!$B$6&lt;&gt;"",ISNUMBER(SEARCH($A260,'算罪台'!$B$6))),1,0)</f>
        <v/>
      </c>
    </row>
    <row r="261">
      <c r="A261" t="inlineStr">
        <is>
          <t>全自动枪支</t>
        </is>
      </c>
      <c r="B261" t="inlineStr">
        <is>
          <t>非法持有热武器罪</t>
        </is>
      </c>
      <c r="C261">
        <f>IF(AND($A261&lt;&gt;"",'算罪台'!$B$4&lt;&gt;"",ISNUMBER(SEARCH($A261,'算罪台'!$B$4))),1,0)</f>
        <v/>
      </c>
      <c r="D261">
        <f>IF(AND($A261&lt;&gt;"",'算罪台'!$B$5&lt;&gt;"",ISNUMBER(SEARCH($A261,'算罪台'!$B$5))),1,0)</f>
        <v/>
      </c>
      <c r="E261">
        <f>IF(AND($A261&lt;&gt;"",'算罪台'!$B$6&lt;&gt;"",ISNUMBER(SEARCH($A261,'算罪台'!$B$6))),1,0)</f>
        <v/>
      </c>
    </row>
    <row r="262">
      <c r="A262" t="inlineStr">
        <is>
          <t>私藏枪支</t>
        </is>
      </c>
      <c r="B262" t="inlineStr">
        <is>
          <t>非法持有热武器罪</t>
        </is>
      </c>
      <c r="C262">
        <f>IF(AND($A262&lt;&gt;"",'算罪台'!$B$4&lt;&gt;"",ISNUMBER(SEARCH($A262,'算罪台'!$B$4))),1,0)</f>
        <v/>
      </c>
      <c r="D262">
        <f>IF(AND($A262&lt;&gt;"",'算罪台'!$B$5&lt;&gt;"",ISNUMBER(SEARCH($A262,'算罪台'!$B$5))),1,0)</f>
        <v/>
      </c>
      <c r="E262">
        <f>IF(AND($A262&lt;&gt;"",'算罪台'!$B$6&lt;&gt;"",ISNUMBER(SEARCH($A262,'算罪台'!$B$6))),1,0)</f>
        <v/>
      </c>
    </row>
    <row r="263">
      <c r="A263" t="inlineStr">
        <is>
          <t>持有爆炸物</t>
        </is>
      </c>
      <c r="B263" t="inlineStr">
        <is>
          <t>非法持有热武器罪</t>
        </is>
      </c>
      <c r="C263">
        <f>IF(AND($A263&lt;&gt;"",'算罪台'!$B$4&lt;&gt;"",ISNUMBER(SEARCH($A263,'算罪台'!$B$4))),1,0)</f>
        <v/>
      </c>
      <c r="D263">
        <f>IF(AND($A263&lt;&gt;"",'算罪台'!$B$5&lt;&gt;"",ISNUMBER(SEARCH($A263,'算罪台'!$B$5))),1,0)</f>
        <v/>
      </c>
      <c r="E263">
        <f>IF(AND($A263&lt;&gt;"",'算罪台'!$B$6&lt;&gt;"",ISNUMBER(SEARCH($A263,'算罪台'!$B$6))),1,0)</f>
        <v/>
      </c>
    </row>
    <row r="264">
      <c r="A264" t="inlineStr">
        <is>
          <t>非法展示热武器</t>
        </is>
      </c>
      <c r="B264" t="inlineStr">
        <is>
          <t>非法展示热武器罪</t>
        </is>
      </c>
      <c r="C264">
        <f>IF(AND($A264&lt;&gt;"",'算罪台'!$B$4&lt;&gt;"",ISNUMBER(SEARCH($A264,'算罪台'!$B$4))),1,0)</f>
        <v/>
      </c>
      <c r="D264">
        <f>IF(AND($A264&lt;&gt;"",'算罪台'!$B$5&lt;&gt;"",ISNUMBER(SEARCH($A264,'算罪台'!$B$5))),1,0)</f>
        <v/>
      </c>
      <c r="E264">
        <f>IF(AND($A264&lt;&gt;"",'算罪台'!$B$6&lt;&gt;"",ISNUMBER(SEARCH($A264,'算罪台'!$B$6))),1,0)</f>
        <v/>
      </c>
    </row>
    <row r="265">
      <c r="A265" t="inlineStr">
        <is>
          <t>公开持枪</t>
        </is>
      </c>
      <c r="B265" t="inlineStr">
        <is>
          <t>非法展示热武器罪</t>
        </is>
      </c>
      <c r="C265">
        <f>IF(AND($A265&lt;&gt;"",'算罪台'!$B$4&lt;&gt;"",ISNUMBER(SEARCH($A265,'算罪台'!$B$4))),1,0)</f>
        <v/>
      </c>
      <c r="D265">
        <f>IF(AND($A265&lt;&gt;"",'算罪台'!$B$5&lt;&gt;"",ISNUMBER(SEARCH($A265,'算罪台'!$B$5))),1,0)</f>
        <v/>
      </c>
      <c r="E265">
        <f>IF(AND($A265&lt;&gt;"",'算罪台'!$B$6&lt;&gt;"",ISNUMBER(SEARCH($A265,'算罪台'!$B$6))),1,0)</f>
        <v/>
      </c>
    </row>
    <row r="266">
      <c r="A266" t="inlineStr">
        <is>
          <t>挥舞武器</t>
        </is>
      </c>
      <c r="B266" t="inlineStr">
        <is>
          <t>非法展示热武器罪</t>
        </is>
      </c>
      <c r="C266">
        <f>IF(AND($A266&lt;&gt;"",'算罪台'!$B$4&lt;&gt;"",ISNUMBER(SEARCH($A266,'算罪台'!$B$4))),1,0)</f>
        <v/>
      </c>
      <c r="D266">
        <f>IF(AND($A266&lt;&gt;"",'算罪台'!$B$5&lt;&gt;"",ISNUMBER(SEARCH($A266,'算罪台'!$B$5))),1,0)</f>
        <v/>
      </c>
      <c r="E266">
        <f>IF(AND($A266&lt;&gt;"",'算罪台'!$B$6&lt;&gt;"",ISNUMBER(SEARCH($A266,'算罪台'!$B$6))),1,0)</f>
        <v/>
      </c>
    </row>
    <row r="267">
      <c r="A267" t="inlineStr">
        <is>
          <t>亮枪</t>
        </is>
      </c>
      <c r="B267" t="inlineStr">
        <is>
          <t>非法展示热武器罪</t>
        </is>
      </c>
      <c r="C267">
        <f>IF(AND($A267&lt;&gt;"",'算罪台'!$B$4&lt;&gt;"",ISNUMBER(SEARCH($A267,'算罪台'!$B$4))),1,0)</f>
        <v/>
      </c>
      <c r="D267">
        <f>IF(AND($A267&lt;&gt;"",'算罪台'!$B$5&lt;&gt;"",ISNUMBER(SEARCH($A267,'算罪台'!$B$5))),1,0)</f>
        <v/>
      </c>
      <c r="E267">
        <f>IF(AND($A267&lt;&gt;"",'算罪台'!$B$6&lt;&gt;"",ISNUMBER(SEARCH($A267,'算罪台'!$B$6))),1,0)</f>
        <v/>
      </c>
    </row>
    <row r="268">
      <c r="A268" t="inlineStr">
        <is>
          <t>展示武器</t>
        </is>
      </c>
      <c r="B268" t="inlineStr">
        <is>
          <t>非法展示热武器罪</t>
        </is>
      </c>
      <c r="C268">
        <f>IF(AND($A268&lt;&gt;"",'算罪台'!$B$4&lt;&gt;"",ISNUMBER(SEARCH($A268,'算罪台'!$B$4))),1,0)</f>
        <v/>
      </c>
      <c r="D268">
        <f>IF(AND($A268&lt;&gt;"",'算罪台'!$B$5&lt;&gt;"",ISNUMBER(SEARCH($A268,'算罪台'!$B$5))),1,0)</f>
        <v/>
      </c>
      <c r="E268">
        <f>IF(AND($A268&lt;&gt;"",'算罪台'!$B$6&lt;&gt;"",ISNUMBER(SEARCH($A268,'算罪台'!$B$6))),1,0)</f>
        <v/>
      </c>
    </row>
    <row r="269">
      <c r="A269" t="inlineStr">
        <is>
          <t>公开携带枪支</t>
        </is>
      </c>
      <c r="B269" t="inlineStr">
        <is>
          <t>非法展示热武器罪</t>
        </is>
      </c>
      <c r="C269">
        <f>IF(AND($A269&lt;&gt;"",'算罪台'!$B$4&lt;&gt;"",ISNUMBER(SEARCH($A269,'算罪台'!$B$4))),1,0)</f>
        <v/>
      </c>
      <c r="D269">
        <f>IF(AND($A269&lt;&gt;"",'算罪台'!$B$5&lt;&gt;"",ISNUMBER(SEARCH($A269,'算罪台'!$B$5))),1,0)</f>
        <v/>
      </c>
      <c r="E269">
        <f>IF(AND($A269&lt;&gt;"",'算罪台'!$B$6&lt;&gt;"",ISNUMBER(SEARCH($A269,'算罪台'!$B$6))),1,0)</f>
        <v/>
      </c>
    </row>
    <row r="270">
      <c r="A270" t="inlineStr">
        <is>
          <t>掏枪威胁</t>
        </is>
      </c>
      <c r="B270" t="inlineStr">
        <is>
          <t>非法展示热武器罪</t>
        </is>
      </c>
      <c r="C270">
        <f>IF(AND($A270&lt;&gt;"",'算罪台'!$B$4&lt;&gt;"",ISNUMBER(SEARCH($A270,'算罪台'!$B$4))),1,0)</f>
        <v/>
      </c>
      <c r="D270">
        <f>IF(AND($A270&lt;&gt;"",'算罪台'!$B$5&lt;&gt;"",ISNUMBER(SEARCH($A270,'算罪台'!$B$5))),1,0)</f>
        <v/>
      </c>
      <c r="E270">
        <f>IF(AND($A270&lt;&gt;"",'算罪台'!$B$6&lt;&gt;"",ISNUMBER(SEARCH($A270,'算罪台'!$B$6))),1,0)</f>
        <v/>
      </c>
    </row>
    <row r="271">
      <c r="A271" t="inlineStr">
        <is>
          <t>非法使用热武器</t>
        </is>
      </c>
      <c r="B271" t="inlineStr">
        <is>
          <t>非法使用热武器罪</t>
        </is>
      </c>
      <c r="C271">
        <f>IF(AND($A271&lt;&gt;"",'算罪台'!$B$4&lt;&gt;"",ISNUMBER(SEARCH($A271,'算罪台'!$B$4))),1,0)</f>
        <v/>
      </c>
      <c r="D271">
        <f>IF(AND($A271&lt;&gt;"",'算罪台'!$B$5&lt;&gt;"",ISNUMBER(SEARCH($A271,'算罪台'!$B$5))),1,0)</f>
        <v/>
      </c>
      <c r="E271">
        <f>IF(AND($A271&lt;&gt;"",'算罪台'!$B$6&lt;&gt;"",ISNUMBER(SEARCH($A271,'算罪台'!$B$6))),1,0)</f>
        <v/>
      </c>
    </row>
    <row r="272">
      <c r="A272" t="inlineStr">
        <is>
          <t>鲁莽开枪</t>
        </is>
      </c>
      <c r="B272" t="inlineStr">
        <is>
          <t>非法使用热武器罪</t>
        </is>
      </c>
      <c r="C272">
        <f>IF(AND($A272&lt;&gt;"",'算罪台'!$B$4&lt;&gt;"",ISNUMBER(SEARCH($A272,'算罪台'!$B$4))),1,0)</f>
        <v/>
      </c>
      <c r="D272">
        <f>IF(AND($A272&lt;&gt;"",'算罪台'!$B$5&lt;&gt;"",ISNUMBER(SEARCH($A272,'算罪台'!$B$5))),1,0)</f>
        <v/>
      </c>
      <c r="E272">
        <f>IF(AND($A272&lt;&gt;"",'算罪台'!$B$6&lt;&gt;"",ISNUMBER(SEARCH($A272,'算罪台'!$B$6))),1,0)</f>
        <v/>
      </c>
    </row>
    <row r="273">
      <c r="A273" t="inlineStr">
        <is>
          <t>乱开枪</t>
        </is>
      </c>
      <c r="B273" t="inlineStr">
        <is>
          <t>非法使用热武器罪</t>
        </is>
      </c>
      <c r="C273">
        <f>IF(AND($A273&lt;&gt;"",'算罪台'!$B$4&lt;&gt;"",ISNUMBER(SEARCH($A273,'算罪台'!$B$4))),1,0)</f>
        <v/>
      </c>
      <c r="D273">
        <f>IF(AND($A273&lt;&gt;"",'算罪台'!$B$5&lt;&gt;"",ISNUMBER(SEARCH($A273,'算罪台'!$B$5))),1,0)</f>
        <v/>
      </c>
      <c r="E273">
        <f>IF(AND($A273&lt;&gt;"",'算罪台'!$B$6&lt;&gt;"",ISNUMBER(SEARCH($A273,'算罪台'!$B$6))),1,0)</f>
        <v/>
      </c>
    </row>
    <row r="274">
      <c r="A274" t="inlineStr">
        <is>
          <t>违规射击</t>
        </is>
      </c>
      <c r="B274" t="inlineStr">
        <is>
          <t>非法使用热武器罪</t>
        </is>
      </c>
      <c r="C274">
        <f>IF(AND($A274&lt;&gt;"",'算罪台'!$B$4&lt;&gt;"",ISNUMBER(SEARCH($A274,'算罪台'!$B$4))),1,0)</f>
        <v/>
      </c>
      <c r="D274">
        <f>IF(AND($A274&lt;&gt;"",'算罪台'!$B$5&lt;&gt;"",ISNUMBER(SEARCH($A274,'算罪台'!$B$5))),1,0)</f>
        <v/>
      </c>
      <c r="E274">
        <f>IF(AND($A274&lt;&gt;"",'算罪台'!$B$6&lt;&gt;"",ISNUMBER(SEARCH($A274,'算罪台'!$B$6))),1,0)</f>
        <v/>
      </c>
    </row>
    <row r="275">
      <c r="A275" t="inlineStr">
        <is>
          <t>开枪</t>
        </is>
      </c>
      <c r="B275" t="inlineStr">
        <is>
          <t>非法使用热武器罪</t>
        </is>
      </c>
      <c r="C275">
        <f>IF(AND($A275&lt;&gt;"",'算罪台'!$B$4&lt;&gt;"",ISNUMBER(SEARCH($A275,'算罪台'!$B$4))),1,0)</f>
        <v/>
      </c>
      <c r="D275">
        <f>IF(AND($A275&lt;&gt;"",'算罪台'!$B$5&lt;&gt;"",ISNUMBER(SEARCH($A275,'算罪台'!$B$5))),1,0)</f>
        <v/>
      </c>
      <c r="E275">
        <f>IF(AND($A275&lt;&gt;"",'算罪台'!$B$6&lt;&gt;"",ISNUMBER(SEARCH($A275,'算罪台'!$B$6))),1,0)</f>
        <v/>
      </c>
    </row>
    <row r="276">
      <c r="A276" t="inlineStr">
        <is>
          <t>朝天开枪</t>
        </is>
      </c>
      <c r="B276" t="inlineStr">
        <is>
          <t>非法使用热武器罪</t>
        </is>
      </c>
      <c r="C276">
        <f>IF(AND($A276&lt;&gt;"",'算罪台'!$B$4&lt;&gt;"",ISNUMBER(SEARCH($A276,'算罪台'!$B$4))),1,0)</f>
        <v/>
      </c>
      <c r="D276">
        <f>IF(AND($A276&lt;&gt;"",'算罪台'!$B$5&lt;&gt;"",ISNUMBER(SEARCH($A276,'算罪台'!$B$5))),1,0)</f>
        <v/>
      </c>
      <c r="E276">
        <f>IF(AND($A276&lt;&gt;"",'算罪台'!$B$6&lt;&gt;"",ISNUMBER(SEARCH($A276,'算罪台'!$B$6))),1,0)</f>
        <v/>
      </c>
    </row>
    <row r="277">
      <c r="A277" t="inlineStr">
        <is>
          <t>随意射击</t>
        </is>
      </c>
      <c r="B277" t="inlineStr">
        <is>
          <t>非法使用热武器罪</t>
        </is>
      </c>
      <c r="C277">
        <f>IF(AND($A277&lt;&gt;"",'算罪台'!$B$4&lt;&gt;"",ISNUMBER(SEARCH($A277,'算罪台'!$B$4))),1,0)</f>
        <v/>
      </c>
      <c r="D277">
        <f>IF(AND($A277&lt;&gt;"",'算罪台'!$B$5&lt;&gt;"",ISNUMBER(SEARCH($A277,'算罪台'!$B$5))),1,0)</f>
        <v/>
      </c>
      <c r="E277">
        <f>IF(AND($A277&lt;&gt;"",'算罪台'!$B$6&lt;&gt;"",ISNUMBER(SEARCH($A277,'算罪台'!$B$6))),1,0)</f>
        <v/>
      </c>
    </row>
    <row r="278">
      <c r="A278" t="inlineStr">
        <is>
          <t>非法贩卖武器</t>
        </is>
      </c>
      <c r="B278" t="inlineStr">
        <is>
          <t>非法贩卖武器罪</t>
        </is>
      </c>
      <c r="C278">
        <f>IF(AND($A278&lt;&gt;"",'算罪台'!$B$4&lt;&gt;"",ISNUMBER(SEARCH($A278,'算罪台'!$B$4))),1,0)</f>
        <v/>
      </c>
      <c r="D278">
        <f>IF(AND($A278&lt;&gt;"",'算罪台'!$B$5&lt;&gt;"",ISNUMBER(SEARCH($A278,'算罪台'!$B$5))),1,0)</f>
        <v/>
      </c>
      <c r="E278">
        <f>IF(AND($A278&lt;&gt;"",'算罪台'!$B$6&lt;&gt;"",ISNUMBER(SEARCH($A278,'算罪台'!$B$6))),1,0)</f>
        <v/>
      </c>
    </row>
    <row r="279">
      <c r="A279" t="inlineStr">
        <is>
          <t>卖枪</t>
        </is>
      </c>
      <c r="B279" t="inlineStr">
        <is>
          <t>非法贩卖武器罪</t>
        </is>
      </c>
      <c r="C279">
        <f>IF(AND($A279&lt;&gt;"",'算罪台'!$B$4&lt;&gt;"",ISNUMBER(SEARCH($A279,'算罪台'!$B$4))),1,0)</f>
        <v/>
      </c>
      <c r="D279">
        <f>IF(AND($A279&lt;&gt;"",'算罪台'!$B$5&lt;&gt;"",ISNUMBER(SEARCH($A279,'算罪台'!$B$5))),1,0)</f>
        <v/>
      </c>
      <c r="E279">
        <f>IF(AND($A279&lt;&gt;"",'算罪台'!$B$6&lt;&gt;"",ISNUMBER(SEARCH($A279,'算罪台'!$B$6))),1,0)</f>
        <v/>
      </c>
    </row>
    <row r="280">
      <c r="A280" t="inlineStr">
        <is>
          <t>贩卖武器</t>
        </is>
      </c>
      <c r="B280" t="inlineStr">
        <is>
          <t>非法贩卖武器罪</t>
        </is>
      </c>
      <c r="C280">
        <f>IF(AND($A280&lt;&gt;"",'算罪台'!$B$4&lt;&gt;"",ISNUMBER(SEARCH($A280,'算罪台'!$B$4))),1,0)</f>
        <v/>
      </c>
      <c r="D280">
        <f>IF(AND($A280&lt;&gt;"",'算罪台'!$B$5&lt;&gt;"",ISNUMBER(SEARCH($A280,'算罪台'!$B$5))),1,0)</f>
        <v/>
      </c>
      <c r="E280">
        <f>IF(AND($A280&lt;&gt;"",'算罪台'!$B$6&lt;&gt;"",ISNUMBER(SEARCH($A280,'算罪台'!$B$6))),1,0)</f>
        <v/>
      </c>
    </row>
    <row r="281">
      <c r="A281" t="inlineStr">
        <is>
          <t>出售武器</t>
        </is>
      </c>
      <c r="B281" t="inlineStr">
        <is>
          <t>非法贩卖武器罪</t>
        </is>
      </c>
      <c r="C281">
        <f>IF(AND($A281&lt;&gt;"",'算罪台'!$B$4&lt;&gt;"",ISNUMBER(SEARCH($A281,'算罪台'!$B$4))),1,0)</f>
        <v/>
      </c>
      <c r="D281">
        <f>IF(AND($A281&lt;&gt;"",'算罪台'!$B$5&lt;&gt;"",ISNUMBER(SEARCH($A281,'算罪台'!$B$5))),1,0)</f>
        <v/>
      </c>
      <c r="E281">
        <f>IF(AND($A281&lt;&gt;"",'算罪台'!$B$6&lt;&gt;"",ISNUMBER(SEARCH($A281,'算罪台'!$B$6))),1,0)</f>
        <v/>
      </c>
    </row>
    <row r="282">
      <c r="A282" t="inlineStr">
        <is>
          <t>转让武器</t>
        </is>
      </c>
      <c r="B282" t="inlineStr">
        <is>
          <t>非法贩卖武器罪</t>
        </is>
      </c>
      <c r="C282">
        <f>IF(AND($A282&lt;&gt;"",'算罪台'!$B$4&lt;&gt;"",ISNUMBER(SEARCH($A282,'算罪台'!$B$4))),1,0)</f>
        <v/>
      </c>
      <c r="D282">
        <f>IF(AND($A282&lt;&gt;"",'算罪台'!$B$5&lt;&gt;"",ISNUMBER(SEARCH($A282,'算罪台'!$B$5))),1,0)</f>
        <v/>
      </c>
      <c r="E282">
        <f>IF(AND($A282&lt;&gt;"",'算罪台'!$B$6&lt;&gt;"",ISNUMBER(SEARCH($A282,'算罪台'!$B$6))),1,0)</f>
        <v/>
      </c>
    </row>
    <row r="283">
      <c r="A283" t="inlineStr">
        <is>
          <t>倒卖枪支</t>
        </is>
      </c>
      <c r="B283" t="inlineStr">
        <is>
          <t>非法贩卖武器罪</t>
        </is>
      </c>
      <c r="C283">
        <f>IF(AND($A283&lt;&gt;"",'算罪台'!$B$4&lt;&gt;"",ISNUMBER(SEARCH($A283,'算罪台'!$B$4))),1,0)</f>
        <v/>
      </c>
      <c r="D283">
        <f>IF(AND($A283&lt;&gt;"",'算罪台'!$B$5&lt;&gt;"",ISNUMBER(SEARCH($A283,'算罪台'!$B$5))),1,0)</f>
        <v/>
      </c>
      <c r="E283">
        <f>IF(AND($A283&lt;&gt;"",'算罪台'!$B$6&lt;&gt;"",ISNUMBER(SEARCH($A283,'算罪台'!$B$6))),1,0)</f>
        <v/>
      </c>
    </row>
    <row r="284">
      <c r="A284" t="inlineStr">
        <is>
          <t>走私</t>
        </is>
      </c>
      <c r="B284" t="inlineStr">
        <is>
          <t>走私罪</t>
        </is>
      </c>
      <c r="C284">
        <f>IF(AND($A284&lt;&gt;"",'算罪台'!$B$4&lt;&gt;"",ISNUMBER(SEARCH($A284,'算罪台'!$B$4))),1,0)</f>
        <v/>
      </c>
      <c r="D284">
        <f>IF(AND($A284&lt;&gt;"",'算罪台'!$B$5&lt;&gt;"",ISNUMBER(SEARCH($A284,'算罪台'!$B$5))),1,0)</f>
        <v/>
      </c>
      <c r="E284">
        <f>IF(AND($A284&lt;&gt;"",'算罪台'!$B$6&lt;&gt;"",ISNUMBER(SEARCH($A284,'算罪台'!$B$6))),1,0)</f>
        <v/>
      </c>
    </row>
    <row r="285">
      <c r="A285" t="inlineStr">
        <is>
          <t>军火走私</t>
        </is>
      </c>
      <c r="B285" t="inlineStr">
        <is>
          <t>走私罪</t>
        </is>
      </c>
      <c r="C285">
        <f>IF(AND($A285&lt;&gt;"",'算罪台'!$B$4&lt;&gt;"",ISNUMBER(SEARCH($A285,'算罪台'!$B$4))),1,0)</f>
        <v/>
      </c>
      <c r="D285">
        <f>IF(AND($A285&lt;&gt;"",'算罪台'!$B$5&lt;&gt;"",ISNUMBER(SEARCH($A285,'算罪台'!$B$5))),1,0)</f>
        <v/>
      </c>
      <c r="E285">
        <f>IF(AND($A285&lt;&gt;"",'算罪台'!$B$6&lt;&gt;"",ISNUMBER(SEARCH($A285,'算罪台'!$B$6))),1,0)</f>
        <v/>
      </c>
    </row>
    <row r="286">
      <c r="A286" t="inlineStr">
        <is>
          <t>走私武器</t>
        </is>
      </c>
      <c r="B286" t="inlineStr">
        <is>
          <t>走私罪</t>
        </is>
      </c>
      <c r="C286">
        <f>IF(AND($A286&lt;&gt;"",'算罪台'!$B$4&lt;&gt;"",ISNUMBER(SEARCH($A286,'算罪台'!$B$4))),1,0)</f>
        <v/>
      </c>
      <c r="D286">
        <f>IF(AND($A286&lt;&gt;"",'算罪台'!$B$5&lt;&gt;"",ISNUMBER(SEARCH($A286,'算罪台'!$B$5))),1,0)</f>
        <v/>
      </c>
      <c r="E286">
        <f>IF(AND($A286&lt;&gt;"",'算罪台'!$B$6&lt;&gt;"",ISNUMBER(SEARCH($A286,'算罪台'!$B$6))),1,0)</f>
        <v/>
      </c>
    </row>
    <row r="287">
      <c r="A287" t="inlineStr">
        <is>
          <t>走私爆炸物</t>
        </is>
      </c>
      <c r="B287" t="inlineStr">
        <is>
          <t>走私罪</t>
        </is>
      </c>
      <c r="C287">
        <f>IF(AND($A287&lt;&gt;"",'算罪台'!$B$4&lt;&gt;"",ISNUMBER(SEARCH($A287,'算罪台'!$B$4))),1,0)</f>
        <v/>
      </c>
      <c r="D287">
        <f>IF(AND($A287&lt;&gt;"",'算罪台'!$B$5&lt;&gt;"",ISNUMBER(SEARCH($A287,'算罪台'!$B$5))),1,0)</f>
        <v/>
      </c>
      <c r="E287">
        <f>IF(AND($A287&lt;&gt;"",'算罪台'!$B$6&lt;&gt;"",ISNUMBER(SEARCH($A287,'算罪台'!$B$6))),1,0)</f>
        <v/>
      </c>
    </row>
    <row r="288">
      <c r="A288" t="inlineStr">
        <is>
          <t>走私军火</t>
        </is>
      </c>
      <c r="B288" t="inlineStr">
        <is>
          <t>走私罪</t>
        </is>
      </c>
      <c r="C288">
        <f>IF(AND($A288&lt;&gt;"",'算罪台'!$B$4&lt;&gt;"",ISNUMBER(SEARCH($A288,'算罪台'!$B$4))),1,0)</f>
        <v/>
      </c>
      <c r="D288">
        <f>IF(AND($A288&lt;&gt;"",'算罪台'!$B$5&lt;&gt;"",ISNUMBER(SEARCH($A288,'算罪台'!$B$5))),1,0)</f>
        <v/>
      </c>
      <c r="E288">
        <f>IF(AND($A288&lt;&gt;"",'算罪台'!$B$6&lt;&gt;"",ISNUMBER(SEARCH($A288,'算罪台'!$B$6))),1,0)</f>
        <v/>
      </c>
    </row>
    <row r="289">
      <c r="A289" t="inlineStr">
        <is>
          <t>非法持有管制物品</t>
        </is>
      </c>
      <c r="B289" t="inlineStr">
        <is>
          <t>非法持有管制物品罪</t>
        </is>
      </c>
      <c r="C289">
        <f>IF(AND($A289&lt;&gt;"",'算罪台'!$B$4&lt;&gt;"",ISNUMBER(SEARCH($A289,'算罪台'!$B$4))),1,0)</f>
        <v/>
      </c>
      <c r="D289">
        <f>IF(AND($A289&lt;&gt;"",'算罪台'!$B$5&lt;&gt;"",ISNUMBER(SEARCH($A289,'算罪台'!$B$5))),1,0)</f>
        <v/>
      </c>
      <c r="E289">
        <f>IF(AND($A289&lt;&gt;"",'算罪台'!$B$6&lt;&gt;"",ISNUMBER(SEARCH($A289,'算罪台'!$B$6))),1,0)</f>
        <v/>
      </c>
    </row>
    <row r="290">
      <c r="A290" t="inlineStr">
        <is>
          <t>持有毒品</t>
        </is>
      </c>
      <c r="B290" t="inlineStr">
        <is>
          <t>非法持有管制物品罪</t>
        </is>
      </c>
      <c r="C290">
        <f>IF(AND($A290&lt;&gt;"",'算罪台'!$B$4&lt;&gt;"",ISNUMBER(SEARCH($A290,'算罪台'!$B$4))),1,0)</f>
        <v/>
      </c>
      <c r="D290">
        <f>IF(AND($A290&lt;&gt;"",'算罪台'!$B$5&lt;&gt;"",ISNUMBER(SEARCH($A290,'算罪台'!$B$5))),1,0)</f>
        <v/>
      </c>
      <c r="E290">
        <f>IF(AND($A290&lt;&gt;"",'算罪台'!$B$6&lt;&gt;"",ISNUMBER(SEARCH($A290,'算罪台'!$B$6))),1,0)</f>
        <v/>
      </c>
    </row>
    <row r="291">
      <c r="A291" t="inlineStr">
        <is>
          <t>持有大麻</t>
        </is>
      </c>
      <c r="B291" t="inlineStr">
        <is>
          <t>非法持有管制物品罪</t>
        </is>
      </c>
      <c r="C291">
        <f>IF(AND($A291&lt;&gt;"",'算罪台'!$B$4&lt;&gt;"",ISNUMBER(SEARCH($A291,'算罪台'!$B$4))),1,0)</f>
        <v/>
      </c>
      <c r="D291">
        <f>IF(AND($A291&lt;&gt;"",'算罪台'!$B$5&lt;&gt;"",ISNUMBER(SEARCH($A291,'算罪台'!$B$5))),1,0)</f>
        <v/>
      </c>
      <c r="E291">
        <f>IF(AND($A291&lt;&gt;"",'算罪台'!$B$6&lt;&gt;"",ISNUMBER(SEARCH($A291,'算罪台'!$B$6))),1,0)</f>
        <v/>
      </c>
    </row>
    <row r="292">
      <c r="A292" t="inlineStr">
        <is>
          <t>持有可卡因</t>
        </is>
      </c>
      <c r="B292" t="inlineStr">
        <is>
          <t>非法持有管制物品罪</t>
        </is>
      </c>
      <c r="C292">
        <f>IF(AND($A292&lt;&gt;"",'算罪台'!$B$4&lt;&gt;"",ISNUMBER(SEARCH($A292,'算罪台'!$B$4))),1,0)</f>
        <v/>
      </c>
      <c r="D292">
        <f>IF(AND($A292&lt;&gt;"",'算罪台'!$B$5&lt;&gt;"",ISNUMBER(SEARCH($A292,'算罪台'!$B$5))),1,0)</f>
        <v/>
      </c>
      <c r="E292">
        <f>IF(AND($A292&lt;&gt;"",'算罪台'!$B$6&lt;&gt;"",ISNUMBER(SEARCH($A292,'算罪台'!$B$6))),1,0)</f>
        <v/>
      </c>
    </row>
    <row r="293">
      <c r="A293" t="inlineStr">
        <is>
          <t>持有海洛因</t>
        </is>
      </c>
      <c r="B293" t="inlineStr">
        <is>
          <t>非法持有管制物品罪</t>
        </is>
      </c>
      <c r="C293">
        <f>IF(AND($A293&lt;&gt;"",'算罪台'!$B$4&lt;&gt;"",ISNUMBER(SEARCH($A293,'算罪台'!$B$4))),1,0)</f>
        <v/>
      </c>
      <c r="D293">
        <f>IF(AND($A293&lt;&gt;"",'算罪台'!$B$5&lt;&gt;"",ISNUMBER(SEARCH($A293,'算罪台'!$B$5))),1,0)</f>
        <v/>
      </c>
      <c r="E293">
        <f>IF(AND($A293&lt;&gt;"",'算罪台'!$B$6&lt;&gt;"",ISNUMBER(SEARCH($A293,'算罪台'!$B$6))),1,0)</f>
        <v/>
      </c>
    </row>
    <row r="294">
      <c r="A294" t="inlineStr">
        <is>
          <t>持有冰毒</t>
        </is>
      </c>
      <c r="B294" t="inlineStr">
        <is>
          <t>非法持有管制物品罪</t>
        </is>
      </c>
      <c r="C294">
        <f>IF(AND($A294&lt;&gt;"",'算罪台'!$B$4&lt;&gt;"",ISNUMBER(SEARCH($A294,'算罪台'!$B$4))),1,0)</f>
        <v/>
      </c>
      <c r="D294">
        <f>IF(AND($A294&lt;&gt;"",'算罪台'!$B$5&lt;&gt;"",ISNUMBER(SEARCH($A294,'算罪台'!$B$5))),1,0)</f>
        <v/>
      </c>
      <c r="E294">
        <f>IF(AND($A294&lt;&gt;"",'算罪台'!$B$6&lt;&gt;"",ISNUMBER(SEARCH($A294,'算罪台'!$B$6))),1,0)</f>
        <v/>
      </c>
    </row>
    <row r="295">
      <c r="A295" t="inlineStr">
        <is>
          <t>持有管制刀具</t>
        </is>
      </c>
      <c r="B295" t="inlineStr">
        <is>
          <t>非法持有管制物品罪</t>
        </is>
      </c>
      <c r="C295">
        <f>IF(AND($A295&lt;&gt;"",'算罪台'!$B$4&lt;&gt;"",ISNUMBER(SEARCH($A295,'算罪台'!$B$4))),1,0)</f>
        <v/>
      </c>
      <c r="D295">
        <f>IF(AND($A295&lt;&gt;"",'算罪台'!$B$5&lt;&gt;"",ISNUMBER(SEARCH($A295,'算罪台'!$B$5))),1,0)</f>
        <v/>
      </c>
      <c r="E295">
        <f>IF(AND($A295&lt;&gt;"",'算罪台'!$B$6&lt;&gt;"",ISNUMBER(SEARCH($A295,'算罪台'!$B$6))),1,0)</f>
        <v/>
      </c>
    </row>
    <row r="296">
      <c r="A296" t="inlineStr">
        <is>
          <t>管制器具</t>
        </is>
      </c>
      <c r="B296" t="inlineStr">
        <is>
          <t>非法持有管制物品罪</t>
        </is>
      </c>
      <c r="C296">
        <f>IF(AND($A296&lt;&gt;"",'算罪台'!$B$4&lt;&gt;"",ISNUMBER(SEARCH($A296,'算罪台'!$B$4))),1,0)</f>
        <v/>
      </c>
      <c r="D296">
        <f>IF(AND($A296&lt;&gt;"",'算罪台'!$B$5&lt;&gt;"",ISNUMBER(SEARCH($A296,'算罪台'!$B$5))),1,0)</f>
        <v/>
      </c>
      <c r="E296">
        <f>IF(AND($A296&lt;&gt;"",'算罪台'!$B$6&lt;&gt;"",ISNUMBER(SEARCH($A296,'算罪台'!$B$6))),1,0)</f>
        <v/>
      </c>
    </row>
    <row r="297">
      <c r="A297" t="inlineStr">
        <is>
          <t>指虎</t>
        </is>
      </c>
      <c r="B297" t="inlineStr">
        <is>
          <t>非法持有管制物品罪</t>
        </is>
      </c>
      <c r="C297">
        <f>IF(AND($A297&lt;&gt;"",'算罪台'!$B$4&lt;&gt;"",ISNUMBER(SEARCH($A297,'算罪台'!$B$4))),1,0)</f>
        <v/>
      </c>
      <c r="D297">
        <f>IF(AND($A297&lt;&gt;"",'算罪台'!$B$5&lt;&gt;"",ISNUMBER(SEARCH($A297,'算罪台'!$B$5))),1,0)</f>
        <v/>
      </c>
      <c r="E297">
        <f>IF(AND($A297&lt;&gt;"",'算罪台'!$B$6&lt;&gt;"",ISNUMBER(SEARCH($A297,'算罪台'!$B$6))),1,0)</f>
        <v/>
      </c>
    </row>
    <row r="298">
      <c r="A298" t="inlineStr">
        <is>
          <t>弹簧刀</t>
        </is>
      </c>
      <c r="B298" t="inlineStr">
        <is>
          <t>非法持有管制物品罪</t>
        </is>
      </c>
      <c r="C298">
        <f>IF(AND($A298&lt;&gt;"",'算罪台'!$B$4&lt;&gt;"",ISNUMBER(SEARCH($A298,'算罪台'!$B$4))),1,0)</f>
        <v/>
      </c>
      <c r="D298">
        <f>IF(AND($A298&lt;&gt;"",'算罪台'!$B$5&lt;&gt;"",ISNUMBER(SEARCH($A298,'算罪台'!$B$5))),1,0)</f>
        <v/>
      </c>
      <c r="E298">
        <f>IF(AND($A298&lt;&gt;"",'算罪台'!$B$6&lt;&gt;"",ISNUMBER(SEARCH($A298,'算罪台'!$B$6))),1,0)</f>
        <v/>
      </c>
    </row>
    <row r="299">
      <c r="A299" t="inlineStr">
        <is>
          <t>开锁器</t>
        </is>
      </c>
      <c r="B299" t="inlineStr">
        <is>
          <t>非法持有管制物品罪</t>
        </is>
      </c>
      <c r="C299">
        <f>IF(AND($A299&lt;&gt;"",'算罪台'!$B$4&lt;&gt;"",ISNUMBER(SEARCH($A299,'算罪台'!$B$4))),1,0)</f>
        <v/>
      </c>
      <c r="D299">
        <f>IF(AND($A299&lt;&gt;"",'算罪台'!$B$5&lt;&gt;"",ISNUMBER(SEARCH($A299,'算罪台'!$B$5))),1,0)</f>
        <v/>
      </c>
      <c r="E299">
        <f>IF(AND($A299&lt;&gt;"",'算罪台'!$B$6&lt;&gt;"",ISNUMBER(SEARCH($A299,'算罪台'!$B$6))),1,0)</f>
        <v/>
      </c>
    </row>
    <row r="300">
      <c r="A300" t="inlineStr">
        <is>
          <t>黑客电脑</t>
        </is>
      </c>
      <c r="B300" t="inlineStr">
        <is>
          <t>非法持有管制物品罪</t>
        </is>
      </c>
      <c r="C300">
        <f>IF(AND($A300&lt;&gt;"",'算罪台'!$B$4&lt;&gt;"",ISNUMBER(SEARCH($A300,'算罪台'!$B$4))),1,0)</f>
        <v/>
      </c>
      <c r="D300">
        <f>IF(AND($A300&lt;&gt;"",'算罪台'!$B$5&lt;&gt;"",ISNUMBER(SEARCH($A300,'算罪台'!$B$5))),1,0)</f>
        <v/>
      </c>
      <c r="E300">
        <f>IF(AND($A300&lt;&gt;"",'算罪台'!$B$6&lt;&gt;"",ISNUMBER(SEARCH($A300,'算罪台'!$B$6))),1,0)</f>
        <v/>
      </c>
    </row>
    <row r="301">
      <c r="A301" t="inlineStr">
        <is>
          <t>大量管制物品</t>
        </is>
      </c>
      <c r="B301" t="inlineStr">
        <is>
          <t>非法持有大量管制物品罪</t>
        </is>
      </c>
      <c r="C301">
        <f>IF(AND($A301&lt;&gt;"",'算罪台'!$B$4&lt;&gt;"",ISNUMBER(SEARCH($A301,'算罪台'!$B$4))),1,0)</f>
        <v/>
      </c>
      <c r="D301">
        <f>IF(AND($A301&lt;&gt;"",'算罪台'!$B$5&lt;&gt;"",ISNUMBER(SEARCH($A301,'算罪台'!$B$5))),1,0)</f>
        <v/>
      </c>
      <c r="E301">
        <f>IF(AND($A301&lt;&gt;"",'算罪台'!$B$6&lt;&gt;"",ISNUMBER(SEARCH($A301,'算罪台'!$B$6))),1,0)</f>
        <v/>
      </c>
    </row>
    <row r="302">
      <c r="A302" t="inlineStr">
        <is>
          <t>大量毒品</t>
        </is>
      </c>
      <c r="B302" t="inlineStr">
        <is>
          <t>非法持有大量管制物品罪</t>
        </is>
      </c>
      <c r="C302">
        <f>IF(AND($A302&lt;&gt;"",'算罪台'!$B$4&lt;&gt;"",ISNUMBER(SEARCH($A302,'算罪台'!$B$4))),1,0)</f>
        <v/>
      </c>
      <c r="D302">
        <f>IF(AND($A302&lt;&gt;"",'算罪台'!$B$5&lt;&gt;"",ISNUMBER(SEARCH($A302,'算罪台'!$B$5))),1,0)</f>
        <v/>
      </c>
      <c r="E302">
        <f>IF(AND($A302&lt;&gt;"",'算罪台'!$B$6&lt;&gt;"",ISNUMBER(SEARCH($A302,'算罪台'!$B$6))),1,0)</f>
        <v/>
      </c>
    </row>
    <row r="303">
      <c r="A303" t="inlineStr">
        <is>
          <t>分装毒品</t>
        </is>
      </c>
      <c r="B303" t="inlineStr">
        <is>
          <t>非法持有大量管制物品罪</t>
        </is>
      </c>
      <c r="C303">
        <f>IF(AND($A303&lt;&gt;"",'算罪台'!$B$4&lt;&gt;"",ISNUMBER(SEARCH($A303,'算罪台'!$B$4))),1,0)</f>
        <v/>
      </c>
      <c r="D303">
        <f>IF(AND($A303&lt;&gt;"",'算罪台'!$B$5&lt;&gt;"",ISNUMBER(SEARCH($A303,'算罪台'!$B$5))),1,0)</f>
        <v/>
      </c>
      <c r="E303">
        <f>IF(AND($A303&lt;&gt;"",'算罪台'!$B$6&lt;&gt;"",ISNUMBER(SEARCH($A303,'算罪台'!$B$6))),1,0)</f>
        <v/>
      </c>
    </row>
    <row r="304">
      <c r="A304" t="inlineStr">
        <is>
          <t>成批毒品</t>
        </is>
      </c>
      <c r="B304" t="inlineStr">
        <is>
          <t>非法持有大量管制物品罪</t>
        </is>
      </c>
      <c r="C304">
        <f>IF(AND($A304&lt;&gt;"",'算罪台'!$B$4&lt;&gt;"",ISNUMBER(SEARCH($A304,'算罪台'!$B$4))),1,0)</f>
        <v/>
      </c>
      <c r="D304">
        <f>IF(AND($A304&lt;&gt;"",'算罪台'!$B$5&lt;&gt;"",ISNUMBER(SEARCH($A304,'算罪台'!$B$5))),1,0)</f>
        <v/>
      </c>
      <c r="E304">
        <f>IF(AND($A304&lt;&gt;"",'算罪台'!$B$6&lt;&gt;"",ISNUMBER(SEARCH($A304,'算罪台'!$B$6))),1,0)</f>
        <v/>
      </c>
    </row>
    <row r="305">
      <c r="A305" t="inlineStr">
        <is>
          <t>整箱毒品</t>
        </is>
      </c>
      <c r="B305" t="inlineStr">
        <is>
          <t>非法持有大量管制物品罪</t>
        </is>
      </c>
      <c r="C305">
        <f>IF(AND($A305&lt;&gt;"",'算罪台'!$B$4&lt;&gt;"",ISNUMBER(SEARCH($A305,'算罪台'!$B$4))),1,0)</f>
        <v/>
      </c>
      <c r="D305">
        <f>IF(AND($A305&lt;&gt;"",'算罪台'!$B$5&lt;&gt;"",ISNUMBER(SEARCH($A305,'算罪台'!$B$5))),1,0)</f>
        <v/>
      </c>
      <c r="E305">
        <f>IF(AND($A305&lt;&gt;"",'算罪台'!$B$6&lt;&gt;"",ISNUMBER(SEARCH($A305,'算罪台'!$B$6))),1,0)</f>
        <v/>
      </c>
    </row>
    <row r="306">
      <c r="A306" t="inlineStr">
        <is>
          <t>经营管制物品</t>
        </is>
      </c>
      <c r="B306" t="inlineStr">
        <is>
          <t>非法经营和分发管制物品罪</t>
        </is>
      </c>
      <c r="C306">
        <f>IF(AND($A306&lt;&gt;"",'算罪台'!$B$4&lt;&gt;"",ISNUMBER(SEARCH($A306,'算罪台'!$B$4))),1,0)</f>
        <v/>
      </c>
      <c r="D306">
        <f>IF(AND($A306&lt;&gt;"",'算罪台'!$B$5&lt;&gt;"",ISNUMBER(SEARCH($A306,'算罪台'!$B$5))),1,0)</f>
        <v/>
      </c>
      <c r="E306">
        <f>IF(AND($A306&lt;&gt;"",'算罪台'!$B$6&lt;&gt;"",ISNUMBER(SEARCH($A306,'算罪台'!$B$6))),1,0)</f>
        <v/>
      </c>
    </row>
    <row r="307">
      <c r="A307" t="inlineStr">
        <is>
          <t>分发毒品</t>
        </is>
      </c>
      <c r="B307" t="inlineStr">
        <is>
          <t>非法经营和分发管制物品罪</t>
        </is>
      </c>
      <c r="C307">
        <f>IF(AND($A307&lt;&gt;"",'算罪台'!$B$4&lt;&gt;"",ISNUMBER(SEARCH($A307,'算罪台'!$B$4))),1,0)</f>
        <v/>
      </c>
      <c r="D307">
        <f>IF(AND($A307&lt;&gt;"",'算罪台'!$B$5&lt;&gt;"",ISNUMBER(SEARCH($A307,'算罪台'!$B$5))),1,0)</f>
        <v/>
      </c>
      <c r="E307">
        <f>IF(AND($A307&lt;&gt;"",'算罪台'!$B$6&lt;&gt;"",ISNUMBER(SEARCH($A307,'算罪台'!$B$6))),1,0)</f>
        <v/>
      </c>
    </row>
    <row r="308">
      <c r="A308" t="inlineStr">
        <is>
          <t>贩毒据点</t>
        </is>
      </c>
      <c r="B308" t="inlineStr">
        <is>
          <t>非法经营和分发管制物品罪</t>
        </is>
      </c>
      <c r="C308">
        <f>IF(AND($A308&lt;&gt;"",'算罪台'!$B$4&lt;&gt;"",ISNUMBER(SEARCH($A308,'算罪台'!$B$4))),1,0)</f>
        <v/>
      </c>
      <c r="D308">
        <f>IF(AND($A308&lt;&gt;"",'算罪台'!$B$5&lt;&gt;"",ISNUMBER(SEARCH($A308,'算罪台'!$B$5))),1,0)</f>
        <v/>
      </c>
      <c r="E308">
        <f>IF(AND($A308&lt;&gt;"",'算罪台'!$B$6&lt;&gt;"",ISNUMBER(SEARCH($A308,'算罪台'!$B$6))),1,0)</f>
        <v/>
      </c>
    </row>
    <row r="309">
      <c r="A309" t="inlineStr">
        <is>
          <t>毒品窝点</t>
        </is>
      </c>
      <c r="B309" t="inlineStr">
        <is>
          <t>非法经营和分发管制物品罪</t>
        </is>
      </c>
      <c r="C309">
        <f>IF(AND($A309&lt;&gt;"",'算罪台'!$B$4&lt;&gt;"",ISNUMBER(SEARCH($A309,'算罪台'!$B$4))),1,0)</f>
        <v/>
      </c>
      <c r="D309">
        <f>IF(AND($A309&lt;&gt;"",'算罪台'!$B$5&lt;&gt;"",ISNUMBER(SEARCH($A309,'算罪台'!$B$5))),1,0)</f>
        <v/>
      </c>
      <c r="E309">
        <f>IF(AND($A309&lt;&gt;"",'算罪台'!$B$6&lt;&gt;"",ISNUMBER(SEARCH($A309,'算罪台'!$B$6))),1,0)</f>
        <v/>
      </c>
    </row>
    <row r="310">
      <c r="A310" t="inlineStr">
        <is>
          <t>开设毒品区域</t>
        </is>
      </c>
      <c r="B310" t="inlineStr">
        <is>
          <t>非法经营和分发管制物品罪</t>
        </is>
      </c>
      <c r="C310">
        <f>IF(AND($A310&lt;&gt;"",'算罪台'!$B$4&lt;&gt;"",ISNUMBER(SEARCH($A310,'算罪台'!$B$4))),1,0)</f>
        <v/>
      </c>
      <c r="D310">
        <f>IF(AND($A310&lt;&gt;"",'算罪台'!$B$5&lt;&gt;"",ISNUMBER(SEARCH($A310,'算罪台'!$B$5))),1,0)</f>
        <v/>
      </c>
      <c r="E310">
        <f>IF(AND($A310&lt;&gt;"",'算罪台'!$B$6&lt;&gt;"",ISNUMBER(SEARCH($A310,'算罪台'!$B$6))),1,0)</f>
        <v/>
      </c>
    </row>
    <row r="311">
      <c r="A311" t="inlineStr">
        <is>
          <t>制造管制物品</t>
        </is>
      </c>
      <c r="B311" t="inlineStr">
        <is>
          <t>非法制造管制物品罪</t>
        </is>
      </c>
      <c r="C311">
        <f>IF(AND($A311&lt;&gt;"",'算罪台'!$B$4&lt;&gt;"",ISNUMBER(SEARCH($A311,'算罪台'!$B$4))),1,0)</f>
        <v/>
      </c>
      <c r="D311">
        <f>IF(AND($A311&lt;&gt;"",'算罪台'!$B$5&lt;&gt;"",ISNUMBER(SEARCH($A311,'算罪台'!$B$5))),1,0)</f>
        <v/>
      </c>
      <c r="E311">
        <f>IF(AND($A311&lt;&gt;"",'算罪台'!$B$6&lt;&gt;"",ISNUMBER(SEARCH($A311,'算罪台'!$B$6))),1,0)</f>
        <v/>
      </c>
    </row>
    <row r="312">
      <c r="A312" t="inlineStr">
        <is>
          <t>制毒</t>
        </is>
      </c>
      <c r="B312" t="inlineStr">
        <is>
          <t>非法制造管制物品罪</t>
        </is>
      </c>
      <c r="C312">
        <f>IF(AND($A312&lt;&gt;"",'算罪台'!$B$4&lt;&gt;"",ISNUMBER(SEARCH($A312,'算罪台'!$B$4))),1,0)</f>
        <v/>
      </c>
      <c r="D312">
        <f>IF(AND($A312&lt;&gt;"",'算罪台'!$B$5&lt;&gt;"",ISNUMBER(SEARCH($A312,'算罪台'!$B$5))),1,0)</f>
        <v/>
      </c>
      <c r="E312">
        <f>IF(AND($A312&lt;&gt;"",'算罪台'!$B$6&lt;&gt;"",ISNUMBER(SEARCH($A312,'算罪台'!$B$6))),1,0)</f>
        <v/>
      </c>
    </row>
    <row r="313">
      <c r="A313" t="inlineStr">
        <is>
          <t>生产毒品</t>
        </is>
      </c>
      <c r="B313" t="inlineStr">
        <is>
          <t>非法制造管制物品罪</t>
        </is>
      </c>
      <c r="C313">
        <f>IF(AND($A313&lt;&gt;"",'算罪台'!$B$4&lt;&gt;"",ISNUMBER(SEARCH($A313,'算罪台'!$B$4))),1,0)</f>
        <v/>
      </c>
      <c r="D313">
        <f>IF(AND($A313&lt;&gt;"",'算罪台'!$B$5&lt;&gt;"",ISNUMBER(SEARCH($A313,'算罪台'!$B$5))),1,0)</f>
        <v/>
      </c>
      <c r="E313">
        <f>IF(AND($A313&lt;&gt;"",'算罪台'!$B$6&lt;&gt;"",ISNUMBER(SEARCH($A313,'算罪台'!$B$6))),1,0)</f>
        <v/>
      </c>
    </row>
    <row r="314">
      <c r="A314" t="inlineStr">
        <is>
          <t>种植大麻</t>
        </is>
      </c>
      <c r="B314" t="inlineStr">
        <is>
          <t>非法制造管制物品罪</t>
        </is>
      </c>
      <c r="C314">
        <f>IF(AND($A314&lt;&gt;"",'算罪台'!$B$4&lt;&gt;"",ISNUMBER(SEARCH($A314,'算罪台'!$B$4))),1,0)</f>
        <v/>
      </c>
      <c r="D314">
        <f>IF(AND($A314&lt;&gt;"",'算罪台'!$B$5&lt;&gt;"",ISNUMBER(SEARCH($A314,'算罪台'!$B$5))),1,0)</f>
        <v/>
      </c>
      <c r="E314">
        <f>IF(AND($A314&lt;&gt;"",'算罪台'!$B$6&lt;&gt;"",ISNUMBER(SEARCH($A314,'算罪台'!$B$6))),1,0)</f>
        <v/>
      </c>
    </row>
    <row r="315">
      <c r="A315" t="inlineStr">
        <is>
          <t>制造毒品</t>
        </is>
      </c>
      <c r="B315" t="inlineStr">
        <is>
          <t>非法制造管制物品罪</t>
        </is>
      </c>
      <c r="C315">
        <f>IF(AND($A315&lt;&gt;"",'算罪台'!$B$4&lt;&gt;"",ISNUMBER(SEARCH($A315,'算罪台'!$B$4))),1,0)</f>
        <v/>
      </c>
      <c r="D315">
        <f>IF(AND($A315&lt;&gt;"",'算罪台'!$B$5&lt;&gt;"",ISNUMBER(SEARCH($A315,'算罪台'!$B$5))),1,0)</f>
        <v/>
      </c>
      <c r="E315">
        <f>IF(AND($A315&lt;&gt;"",'算罪台'!$B$6&lt;&gt;"",ISNUMBER(SEARCH($A315,'算罪台'!$B$6))),1,0)</f>
        <v/>
      </c>
    </row>
    <row r="316">
      <c r="A316" t="inlineStr">
        <is>
          <t>贩卖管制物品</t>
        </is>
      </c>
      <c r="B316" t="inlineStr">
        <is>
          <t>非法贩卖管制物品罪</t>
        </is>
      </c>
      <c r="C316">
        <f>IF(AND($A316&lt;&gt;"",'算罪台'!$B$4&lt;&gt;"",ISNUMBER(SEARCH($A316,'算罪台'!$B$4))),1,0)</f>
        <v/>
      </c>
      <c r="D316">
        <f>IF(AND($A316&lt;&gt;"",'算罪台'!$B$5&lt;&gt;"",ISNUMBER(SEARCH($A316,'算罪台'!$B$5))),1,0)</f>
        <v/>
      </c>
      <c r="E316">
        <f>IF(AND($A316&lt;&gt;"",'算罪台'!$B$6&lt;&gt;"",ISNUMBER(SEARCH($A316,'算罪台'!$B$6))),1,0)</f>
        <v/>
      </c>
    </row>
    <row r="317">
      <c r="A317" t="inlineStr">
        <is>
          <t>贩毒</t>
        </is>
      </c>
      <c r="B317" t="inlineStr">
        <is>
          <t>非法贩卖管制物品罪</t>
        </is>
      </c>
      <c r="C317">
        <f>IF(AND($A317&lt;&gt;"",'算罪台'!$B$4&lt;&gt;"",ISNUMBER(SEARCH($A317,'算罪台'!$B$4))),1,0)</f>
        <v/>
      </c>
      <c r="D317">
        <f>IF(AND($A317&lt;&gt;"",'算罪台'!$B$5&lt;&gt;"",ISNUMBER(SEARCH($A317,'算罪台'!$B$5))),1,0)</f>
        <v/>
      </c>
      <c r="E317">
        <f>IF(AND($A317&lt;&gt;"",'算罪台'!$B$6&lt;&gt;"",ISNUMBER(SEARCH($A317,'算罪台'!$B$6))),1,0)</f>
        <v/>
      </c>
    </row>
    <row r="318">
      <c r="A318" t="inlineStr">
        <is>
          <t>卖毒品</t>
        </is>
      </c>
      <c r="B318" t="inlineStr">
        <is>
          <t>非法贩卖管制物品罪</t>
        </is>
      </c>
      <c r="C318">
        <f>IF(AND($A318&lt;&gt;"",'算罪台'!$B$4&lt;&gt;"",ISNUMBER(SEARCH($A318,'算罪台'!$B$4))),1,0)</f>
        <v/>
      </c>
      <c r="D318">
        <f>IF(AND($A318&lt;&gt;"",'算罪台'!$B$5&lt;&gt;"",ISNUMBER(SEARCH($A318,'算罪台'!$B$5))),1,0)</f>
        <v/>
      </c>
      <c r="E318">
        <f>IF(AND($A318&lt;&gt;"",'算罪台'!$B$6&lt;&gt;"",ISNUMBER(SEARCH($A318,'算罪台'!$B$6))),1,0)</f>
        <v/>
      </c>
    </row>
    <row r="319">
      <c r="A319" t="inlineStr">
        <is>
          <t>运输毒品</t>
        </is>
      </c>
      <c r="B319" t="inlineStr">
        <is>
          <t>非法贩卖管制物品罪</t>
        </is>
      </c>
      <c r="C319">
        <f>IF(AND($A319&lt;&gt;"",'算罪台'!$B$4&lt;&gt;"",ISNUMBER(SEARCH($A319,'算罪台'!$B$4))),1,0)</f>
        <v/>
      </c>
      <c r="D319">
        <f>IF(AND($A319&lt;&gt;"",'算罪台'!$B$5&lt;&gt;"",ISNUMBER(SEARCH($A319,'算罪台'!$B$5))),1,0)</f>
        <v/>
      </c>
      <c r="E319">
        <f>IF(AND($A319&lt;&gt;"",'算罪台'!$B$6&lt;&gt;"",ISNUMBER(SEARCH($A319,'算罪台'!$B$6))),1,0)</f>
        <v/>
      </c>
    </row>
    <row r="320">
      <c r="A320" t="inlineStr">
        <is>
          <t>贩卖毒品</t>
        </is>
      </c>
      <c r="B320" t="inlineStr">
        <is>
          <t>非法贩卖管制物品罪</t>
        </is>
      </c>
      <c r="C320">
        <f>IF(AND($A320&lt;&gt;"",'算罪台'!$B$4&lt;&gt;"",ISNUMBER(SEARCH($A320,'算罪台'!$B$4))),1,0)</f>
        <v/>
      </c>
      <c r="D320">
        <f>IF(AND($A320&lt;&gt;"",'算罪台'!$B$5&lt;&gt;"",ISNUMBER(SEARCH($A320,'算罪台'!$B$5))),1,0)</f>
        <v/>
      </c>
      <c r="E320">
        <f>IF(AND($A320&lt;&gt;"",'算罪台'!$B$6&lt;&gt;"",ISNUMBER(SEARCH($A320,'算罪台'!$B$6))),1,0)</f>
        <v/>
      </c>
    </row>
    <row r="321">
      <c r="A321" t="inlineStr">
        <is>
          <t>运毒</t>
        </is>
      </c>
      <c r="B321" t="inlineStr">
        <is>
          <t>非法贩卖管制物品罪</t>
        </is>
      </c>
      <c r="C321">
        <f>IF(AND($A321&lt;&gt;"",'算罪台'!$B$4&lt;&gt;"",ISNUMBER(SEARCH($A321,'算罪台'!$B$4))),1,0)</f>
        <v/>
      </c>
      <c r="D321">
        <f>IF(AND($A321&lt;&gt;"",'算罪台'!$B$5&lt;&gt;"",ISNUMBER(SEARCH($A321,'算罪台'!$B$5))),1,0)</f>
        <v/>
      </c>
      <c r="E321">
        <f>IF(AND($A321&lt;&gt;"",'算罪台'!$B$6&lt;&gt;"",ISNUMBER(SEARCH($A321,'算罪台'!$B$6))),1,0)</f>
        <v/>
      </c>
    </row>
    <row r="322">
      <c r="A322" t="inlineStr">
        <is>
          <t>送毒品</t>
        </is>
      </c>
      <c r="B322" t="inlineStr">
        <is>
          <t>非法贩卖管制物品罪</t>
        </is>
      </c>
      <c r="C322">
        <f>IF(AND($A322&lt;&gt;"",'算罪台'!$B$4&lt;&gt;"",ISNUMBER(SEARCH($A322,'算罪台'!$B$4))),1,0)</f>
        <v/>
      </c>
      <c r="D322">
        <f>IF(AND($A322&lt;&gt;"",'算罪台'!$B$5&lt;&gt;"",ISNUMBER(SEARCH($A322,'算罪台'!$B$5))),1,0)</f>
        <v/>
      </c>
      <c r="E322">
        <f>IF(AND($A322&lt;&gt;"",'算罪台'!$B$6&lt;&gt;"",ISNUMBER(SEARCH($A322,'算罪台'!$B$6))),1,0)</f>
        <v/>
      </c>
    </row>
    <row r="323">
      <c r="A323" t="inlineStr">
        <is>
          <t>有组织犯罪</t>
        </is>
      </c>
      <c r="B323" t="inlineStr">
        <is>
          <t>有组织犯罪</t>
        </is>
      </c>
      <c r="C323">
        <f>IF(AND($A323&lt;&gt;"",'算罪台'!$B$4&lt;&gt;"",ISNUMBER(SEARCH($A323,'算罪台'!$B$4))),1,0)</f>
        <v/>
      </c>
      <c r="D323">
        <f>IF(AND($A323&lt;&gt;"",'算罪台'!$B$5&lt;&gt;"",ISNUMBER(SEARCH($A323,'算罪台'!$B$5))),1,0)</f>
        <v/>
      </c>
      <c r="E323">
        <f>IF(AND($A323&lt;&gt;"",'算罪台'!$B$6&lt;&gt;"",ISNUMBER(SEARCH($A323,'算罪台'!$B$6))),1,0)</f>
        <v/>
      </c>
    </row>
    <row r="324">
      <c r="A324" t="inlineStr">
        <is>
          <t>团伙犯罪</t>
        </is>
      </c>
      <c r="B324" t="inlineStr">
        <is>
          <t>有组织犯罪</t>
        </is>
      </c>
      <c r="C324">
        <f>IF(AND($A324&lt;&gt;"",'算罪台'!$B$4&lt;&gt;"",ISNUMBER(SEARCH($A324,'算罪台'!$B$4))),1,0)</f>
        <v/>
      </c>
      <c r="D324">
        <f>IF(AND($A324&lt;&gt;"",'算罪台'!$B$5&lt;&gt;"",ISNUMBER(SEARCH($A324,'算罪台'!$B$5))),1,0)</f>
        <v/>
      </c>
      <c r="E324">
        <f>IF(AND($A324&lt;&gt;"",'算罪台'!$B$6&lt;&gt;"",ISNUMBER(SEARCH($A324,'算罪台'!$B$6))),1,0)</f>
        <v/>
      </c>
    </row>
    <row r="325">
      <c r="A325" t="inlineStr">
        <is>
          <t>黑帮犯罪</t>
        </is>
      </c>
      <c r="B325" t="inlineStr">
        <is>
          <t>有组织犯罪</t>
        </is>
      </c>
      <c r="C325">
        <f>IF(AND($A325&lt;&gt;"",'算罪台'!$B$4&lt;&gt;"",ISNUMBER(SEARCH($A325,'算罪台'!$B$4))),1,0)</f>
        <v/>
      </c>
      <c r="D325">
        <f>IF(AND($A325&lt;&gt;"",'算罪台'!$B$5&lt;&gt;"",ISNUMBER(SEARCH($A325,'算罪台'!$B$5))),1,0)</f>
        <v/>
      </c>
      <c r="E325">
        <f>IF(AND($A325&lt;&gt;"",'算罪台'!$B$6&lt;&gt;"",ISNUMBER(SEARCH($A325,'算罪台'!$B$6))),1,0)</f>
        <v/>
      </c>
    </row>
    <row r="326">
      <c r="A326" t="inlineStr">
        <is>
          <t>犯罪集团</t>
        </is>
      </c>
      <c r="B326" t="inlineStr">
        <is>
          <t>有组织犯罪</t>
        </is>
      </c>
      <c r="C326">
        <f>IF(AND($A326&lt;&gt;"",'算罪台'!$B$4&lt;&gt;"",ISNUMBER(SEARCH($A326,'算罪台'!$B$4))),1,0)</f>
        <v/>
      </c>
      <c r="D326">
        <f>IF(AND($A326&lt;&gt;"",'算罪台'!$B$5&lt;&gt;"",ISNUMBER(SEARCH($A326,'算罪台'!$B$5))),1,0)</f>
        <v/>
      </c>
      <c r="E326">
        <f>IF(AND($A326&lt;&gt;"",'算罪台'!$B$6&lt;&gt;"",ISNUMBER(SEARCH($A326,'算罪台'!$B$6))),1,0)</f>
        <v/>
      </c>
    </row>
    <row r="327">
      <c r="A327" t="inlineStr">
        <is>
          <t>洗钱</t>
        </is>
      </c>
      <c r="B327" t="inlineStr">
        <is>
          <t>洗钱罪</t>
        </is>
      </c>
      <c r="C327">
        <f>IF(AND($A327&lt;&gt;"",'算罪台'!$B$4&lt;&gt;"",ISNUMBER(SEARCH($A327,'算罪台'!$B$4))),1,0)</f>
        <v/>
      </c>
      <c r="D327">
        <f>IF(AND($A327&lt;&gt;"",'算罪台'!$B$5&lt;&gt;"",ISNUMBER(SEARCH($A327,'算罪台'!$B$5))),1,0)</f>
        <v/>
      </c>
      <c r="E327">
        <f>IF(AND($A327&lt;&gt;"",'算罪台'!$B$6&lt;&gt;"",ISNUMBER(SEARCH($A327,'算罪台'!$B$6))),1,0)</f>
        <v/>
      </c>
    </row>
    <row r="328">
      <c r="A328" t="inlineStr">
        <is>
          <t>转移赃款</t>
        </is>
      </c>
      <c r="B328" t="inlineStr">
        <is>
          <t>洗钱罪</t>
        </is>
      </c>
      <c r="C328">
        <f>IF(AND($A328&lt;&gt;"",'算罪台'!$B$4&lt;&gt;"",ISNUMBER(SEARCH($A328,'算罪台'!$B$4))),1,0)</f>
        <v/>
      </c>
      <c r="D328">
        <f>IF(AND($A328&lt;&gt;"",'算罪台'!$B$5&lt;&gt;"",ISNUMBER(SEARCH($A328,'算罪台'!$B$5))),1,0)</f>
        <v/>
      </c>
      <c r="E328">
        <f>IF(AND($A328&lt;&gt;"",'算罪台'!$B$6&lt;&gt;"",ISNUMBER(SEARCH($A328,'算罪台'!$B$6))),1,0)</f>
        <v/>
      </c>
    </row>
    <row r="329">
      <c r="A329" t="inlineStr">
        <is>
          <t>清洗黑钱</t>
        </is>
      </c>
      <c r="B329" t="inlineStr">
        <is>
          <t>洗钱罪</t>
        </is>
      </c>
      <c r="C329">
        <f>IF(AND($A329&lt;&gt;"",'算罪台'!$B$4&lt;&gt;"",ISNUMBER(SEARCH($A329,'算罪台'!$B$4))),1,0)</f>
        <v/>
      </c>
      <c r="D329">
        <f>IF(AND($A329&lt;&gt;"",'算罪台'!$B$5&lt;&gt;"",ISNUMBER(SEARCH($A329,'算罪台'!$B$5))),1,0)</f>
        <v/>
      </c>
      <c r="E329">
        <f>IF(AND($A329&lt;&gt;"",'算罪台'!$B$6&lt;&gt;"",ISNUMBER(SEARCH($A329,'算罪台'!$B$6))),1,0)</f>
        <v/>
      </c>
    </row>
    <row r="330">
      <c r="A330" t="inlineStr">
        <is>
          <t>标记钞票</t>
        </is>
      </c>
      <c r="B330" t="inlineStr">
        <is>
          <t>洗钱罪</t>
        </is>
      </c>
      <c r="C330">
        <f>IF(AND($A330&lt;&gt;"",'算罪台'!$B$4&lt;&gt;"",ISNUMBER(SEARCH($A330,'算罪台'!$B$4))),1,0)</f>
        <v/>
      </c>
      <c r="D330">
        <f>IF(AND($A330&lt;&gt;"",'算罪台'!$B$5&lt;&gt;"",ISNUMBER(SEARCH($A330,'算罪台'!$B$5))),1,0)</f>
        <v/>
      </c>
      <c r="E330">
        <f>IF(AND($A330&lt;&gt;"",'算罪台'!$B$6&lt;&gt;"",ISNUMBER(SEARCH($A330,'算罪台'!$B$6))),1,0)</f>
        <v/>
      </c>
    </row>
    <row r="331">
      <c r="A331" t="inlineStr">
        <is>
          <t>漂白黑钱</t>
        </is>
      </c>
      <c r="B331" t="inlineStr">
        <is>
          <t>洗钱罪</t>
        </is>
      </c>
      <c r="C331">
        <f>IF(AND($A331&lt;&gt;"",'算罪台'!$B$4&lt;&gt;"",ISNUMBER(SEARCH($A331,'算罪台'!$B$4))),1,0)</f>
        <v/>
      </c>
      <c r="D331">
        <f>IF(AND($A331&lt;&gt;"",'算罪台'!$B$5&lt;&gt;"",ISNUMBER(SEARCH($A331,'算罪台'!$B$5))),1,0)</f>
        <v/>
      </c>
      <c r="E331">
        <f>IF(AND($A331&lt;&gt;"",'算罪台'!$B$6&lt;&gt;"",ISNUMBER(SEARCH($A331,'算罪台'!$B$6))),1,0)</f>
        <v/>
      </c>
    </row>
    <row r="332">
      <c r="A332" t="inlineStr">
        <is>
          <t>身份盗用</t>
        </is>
      </c>
      <c r="B332" t="inlineStr">
        <is>
          <t>身份盗用罪</t>
        </is>
      </c>
      <c r="C332">
        <f>IF(AND($A332&lt;&gt;"",'算罪台'!$B$4&lt;&gt;"",ISNUMBER(SEARCH($A332,'算罪台'!$B$4))),1,0)</f>
        <v/>
      </c>
      <c r="D332">
        <f>IF(AND($A332&lt;&gt;"",'算罪台'!$B$5&lt;&gt;"",ISNUMBER(SEARCH($A332,'算罪台'!$B$5))),1,0)</f>
        <v/>
      </c>
      <c r="E332">
        <f>IF(AND($A332&lt;&gt;"",'算罪台'!$B$6&lt;&gt;"",ISNUMBER(SEARCH($A332,'算罪台'!$B$6))),1,0)</f>
        <v/>
      </c>
    </row>
    <row r="333">
      <c r="A333" t="inlineStr">
        <is>
          <t>盗用身份</t>
        </is>
      </c>
      <c r="B333" t="inlineStr">
        <is>
          <t>身份盗用罪</t>
        </is>
      </c>
      <c r="C333">
        <f>IF(AND($A333&lt;&gt;"",'算罪台'!$B$4&lt;&gt;"",ISNUMBER(SEARCH($A333,'算罪台'!$B$4))),1,0)</f>
        <v/>
      </c>
      <c r="D333">
        <f>IF(AND($A333&lt;&gt;"",'算罪台'!$B$5&lt;&gt;"",ISNUMBER(SEARCH($A333,'算罪台'!$B$5))),1,0)</f>
        <v/>
      </c>
      <c r="E333">
        <f>IF(AND($A333&lt;&gt;"",'算罪台'!$B$6&lt;&gt;"",ISNUMBER(SEARCH($A333,'算罪台'!$B$6))),1,0)</f>
        <v/>
      </c>
    </row>
    <row r="334">
      <c r="A334" t="inlineStr">
        <is>
          <t>冒用身份</t>
        </is>
      </c>
      <c r="B334" t="inlineStr">
        <is>
          <t>身份盗用罪</t>
        </is>
      </c>
      <c r="C334">
        <f>IF(AND($A334&lt;&gt;"",'算罪台'!$B$4&lt;&gt;"",ISNUMBER(SEARCH($A334,'算罪台'!$B$4))),1,0)</f>
        <v/>
      </c>
      <c r="D334">
        <f>IF(AND($A334&lt;&gt;"",'算罪台'!$B$5&lt;&gt;"",ISNUMBER(SEARCH($A334,'算罪台'!$B$5))),1,0)</f>
        <v/>
      </c>
      <c r="E334">
        <f>IF(AND($A334&lt;&gt;"",'算罪台'!$B$6&lt;&gt;"",ISNUMBER(SEARCH($A334,'算罪台'!$B$6))),1,0)</f>
        <v/>
      </c>
    </row>
    <row r="335">
      <c r="A335" t="inlineStr">
        <is>
          <t>盗用个人信息</t>
        </is>
      </c>
      <c r="B335" t="inlineStr">
        <is>
          <t>身份盗用罪</t>
        </is>
      </c>
      <c r="C335">
        <f>IF(AND($A335&lt;&gt;"",'算罪台'!$B$4&lt;&gt;"",ISNUMBER(SEARCH($A335,'算罪台'!$B$4))),1,0)</f>
        <v/>
      </c>
      <c r="D335">
        <f>IF(AND($A335&lt;&gt;"",'算罪台'!$B$5&lt;&gt;"",ISNUMBER(SEARCH($A335,'算罪台'!$B$5))),1,0)</f>
        <v/>
      </c>
      <c r="E335">
        <f>IF(AND($A335&lt;&gt;"",'算罪台'!$B$6&lt;&gt;"",ISNUMBER(SEARCH($A335,'算罪台'!$B$6))),1,0)</f>
        <v/>
      </c>
    </row>
    <row r="336">
      <c r="A336" t="inlineStr">
        <is>
          <t>盗用银行账号</t>
        </is>
      </c>
      <c r="B336" t="inlineStr">
        <is>
          <t>身份盗用罪</t>
        </is>
      </c>
      <c r="C336">
        <f>IF(AND($A336&lt;&gt;"",'算罪台'!$B$4&lt;&gt;"",ISNUMBER(SEARCH($A336,'算罪台'!$B$4))),1,0)</f>
        <v/>
      </c>
      <c r="D336">
        <f>IF(AND($A336&lt;&gt;"",'算罪台'!$B$5&lt;&gt;"",ISNUMBER(SEARCH($A336,'算罪台'!$B$5))),1,0)</f>
        <v/>
      </c>
      <c r="E336">
        <f>IF(AND($A336&lt;&gt;"",'算罪台'!$B$6&lt;&gt;"",ISNUMBER(SEARCH($A336,'算罪台'!$B$6))),1,0)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2026-06-26T21:16:02Z</dcterms:created>
  <dcterms:modified xsi:type="dcterms:W3CDTF">2026-06-26T21:16:02Z</dcterms:modified>
</cp:coreProperties>
</file>