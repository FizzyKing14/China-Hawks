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2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BF1C7"/>
      </patternFill>
    </fill>
    <fill>
      <patternFill patternType="solid">
        <fgColor rgb="00E5DBF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2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9" borderId="2" applyAlignment="1" pivotButton="0" quotePrefix="0" xfId="0">
      <alignment horizontal="center" vertical="center" wrapText="1"/>
    </xf>
    <xf numFmtId="0" fontId="0" fillId="9" borderId="2" pivotButton="0" quotePrefix="0" xfId="0"/>
    <xf numFmtId="0" fontId="5" fillId="9" borderId="0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left" vertical="center" wrapText="1"/>
    </xf>
    <xf numFmtId="0" fontId="0" fillId="7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0" fillId="11" borderId="1" pivotButton="0" quotePrefix="0" xfId="0"/>
    <xf numFmtId="0" fontId="7" fillId="12" borderId="0" applyAlignment="1" pivotButton="0" quotePrefix="0" xfId="0">
      <alignment horizontal="center" vertical="center" wrapText="1"/>
    </xf>
    <xf numFmtId="0" fontId="7" fillId="13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vertical="top" wrapText="1"/>
    </xf>
    <xf numFmtId="0" fontId="9" fillId="15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3" fontId="9" fillId="15" borderId="1" applyAlignment="1" pivotButton="0" quotePrefix="0" xfId="0">
      <alignment horizontal="center" vertical="center" wrapText="1"/>
    </xf>
    <xf numFmtId="3" fontId="10" fillId="15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 wrapText="1"/>
    </xf>
    <xf numFmtId="0" fontId="11" fillId="9" borderId="4" applyAlignment="1" pivotButton="0" quotePrefix="0" xfId="0">
      <alignment horizontal="center" vertical="center" wrapText="1"/>
    </xf>
    <xf numFmtId="0" fontId="0" fillId="9" borderId="4" pivotButton="0" quotePrefix="0" xfId="0"/>
    <xf numFmtId="0" fontId="12" fillId="6" borderId="5" applyAlignment="1" pivotButton="0" quotePrefix="0" xfId="0">
      <alignment horizontal="left" vertical="center" wrapText="1"/>
    </xf>
    <xf numFmtId="0" fontId="0" fillId="6" borderId="0" pivotButton="0" quotePrefix="0" xfId="0"/>
    <xf numFmtId="0" fontId="13" fillId="16" borderId="1" applyAlignment="1" pivotButton="0" quotePrefix="0" xfId="0">
      <alignment vertical="top" wrapText="1"/>
    </xf>
    <xf numFmtId="0" fontId="0" fillId="16" borderId="1" pivotButton="0" quotePrefix="0" xfId="0"/>
    <xf numFmtId="0" fontId="14" fillId="8" borderId="0" applyAlignment="1" pivotButton="0" quotePrefix="0" xfId="0">
      <alignment vertical="top" wrapText="1"/>
    </xf>
    <xf numFmtId="0" fontId="3" fillId="8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center" vertical="center" wrapText="1"/>
    </xf>
    <xf numFmtId="0" fontId="18" fillId="17" borderId="4" applyAlignment="1" pivotButton="0" quotePrefix="0" xfId="0">
      <alignment horizontal="center" vertical="center" wrapText="1"/>
    </xf>
    <xf numFmtId="0" fontId="0" fillId="17" borderId="4" pivotButton="0" quotePrefix="0" xfId="0"/>
    <xf numFmtId="0" fontId="0" fillId="7" borderId="4" pivotButton="0" quotePrefix="0" xfId="0"/>
    <xf numFmtId="3" fontId="19" fillId="8" borderId="4" applyAlignment="1" pivotButton="0" quotePrefix="0" xfId="0">
      <alignment horizontal="center" vertical="center" wrapText="1"/>
    </xf>
    <xf numFmtId="0" fontId="14" fillId="8" borderId="4" pivotButton="0" quotePrefix="0" xfId="0"/>
    <xf numFmtId="0" fontId="16" fillId="9" borderId="0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3" fontId="0" fillId="8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20" fillId="18" borderId="0" applyAlignment="1" pivotButton="0" quotePrefix="0" xfId="0">
      <alignment horizontal="left" vertical="center" wrapText="1"/>
    </xf>
    <xf numFmtId="0" fontId="0" fillId="18" borderId="0" pivotButton="0" quotePrefix="0" xfId="0"/>
    <xf numFmtId="0" fontId="21" fillId="19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IF('罪名表'!$J$92="","（这句话没识别到罪名，请补充细节或去「关键词库」加词）",'罪名表'!$J$92)</f>
        <v/>
      </c>
      <c r="C10" s="19">
        <f>SUMPRODUCT(('罪名表'!$G$2:$G$92=1)*('罪名表'!$C$2:$C$92&lt;&gt;"内务违规"))</f>
        <v/>
      </c>
      <c r="D10" s="20">
        <f>MIN(60,SUMIF('罪名表'!$G$2:$G$92,1,'罪名表'!$D$2:$D$92))</f>
        <v/>
      </c>
      <c r="E10" s="21">
        <f>SUMIF('罪名表'!$G$2:$G$92,1,'罪名表'!$E$2:$E$92)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IF('罪名表'!$K$92="","（这句话没识别到罪名，请补充细节或去「关键词库」加词）",'罪名表'!$K$92)</f>
        <v/>
      </c>
      <c r="C11" s="19">
        <f>SUMPRODUCT(('罪名表'!$H$2:$H$92=1)*('罪名表'!$C$2:$C$92&lt;&gt;"内务违规"))</f>
        <v/>
      </c>
      <c r="D11" s="20">
        <f>MIN(60,SUMIF('罪名表'!$H$2:$H$92,1,'罪名表'!$D$2:$D$92))</f>
        <v/>
      </c>
      <c r="E11" s="21">
        <f>SUMIF('罪名表'!$H$2:$H$92,1,'罪名表'!$E$2:$E$92)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IF('罪名表'!$L$92="","（这句话没识别到罪名，请补充细节或去「关键词库」加词）",'罪名表'!$L$92)</f>
        <v/>
      </c>
      <c r="C12" s="19">
        <f>SUMPRODUCT(('罪名表'!$I$2:$I$92=1)*('罪名表'!$C$2:$C$92&lt;&gt;"内务违规"))</f>
        <v/>
      </c>
      <c r="D12" s="20">
        <f>MIN(60,SUMIF('罪名表'!$I$2:$I$92,1,'罪名表'!$D$2:$D$92))</f>
        <v/>
      </c>
      <c r="E12" s="21">
        <f>SUMIF('罪名表'!$I$2:$I$92,1,'罪名表'!$E$2:$E$92)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内务违规 / 处分　—　职务人员（警员/医护）额外追加；伤害公民的刑事罪名已在上方照常计入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IF('罪名表'!$M$92="","（无内务违规）",'罪名表'!$M$92)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IF('罪名表'!$N$92="","（无内务违规）",'罪名表'!$N$92)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IF('罪名表'!$O$92="","（无内务违规）",'罪名表'!$O$92)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刑期(月)×罚款÷6；刑事罪名对所有人一视同仁，职务违规只是额外加一层内务处分；识别不到的说法去「关键词库」加。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12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IF(SUMIFS('关键词库'!$C$2:$C$1679,'关键词库'!$B$2:$B$1679,$B2)&gt;0,1,0)</f>
        <v/>
      </c>
      <c r="H2" s="38">
        <f>IF(SUMIFS('关键词库'!$D$2:$D$1679,'关键词库'!$B$2:$B$1679,$B2)&gt;0,1,0)</f>
        <v/>
      </c>
      <c r="I2" s="38">
        <f>IF(SUMIFS('关键词库'!$E$2:$E$1679,'关键词库'!$B$2:$B$1679,$B2)&gt;0,1,0)</f>
        <v/>
      </c>
      <c r="J2" s="38">
        <f>IF(AND($G2=1,$C2&lt;&gt;"内务违规"),$B2,"")</f>
        <v/>
      </c>
      <c r="K2" s="38">
        <f>IF(AND($H2=1,$C2&lt;&gt;"内务违规"),$B2,"")</f>
        <v/>
      </c>
      <c r="L2" s="38">
        <f>IF(AND($I2=1,$C2&lt;&gt;"内务违规"),$B2,"")</f>
        <v/>
      </c>
      <c r="M2" s="38">
        <f>IF(AND($G2=1,$C2="内务违规"),$B2&amp;"（"&amp;$F2&amp;"）","")</f>
        <v/>
      </c>
      <c r="N2" s="38">
        <f>IF(AND($H2=1,$C2="内务违规"),$B2&amp;"（"&amp;$F2&amp;"）","")</f>
        <v/>
      </c>
      <c r="O2" s="38">
        <f>IF(AND($I2=1,$C2="内务违规"),$B2&amp;"（"&amp;$F2&amp;"）","")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48</v>
      </c>
      <c r="E3" s="36" t="n">
        <v>20000</v>
      </c>
      <c r="F3" s="37" t="inlineStr">
        <is>
          <t>用武器/工具威胁或伤害他人</t>
        </is>
      </c>
      <c r="G3" s="38">
        <f>IF(SUMIFS('关键词库'!$C$2:$C$1679,'关键词库'!$B$2:$B$1679,$B3)&gt;0,1,0)</f>
        <v/>
      </c>
      <c r="H3" s="38">
        <f>IF(SUMIFS('关键词库'!$D$2:$D$1679,'关键词库'!$B$2:$B$1679,$B3)&gt;0,1,0)</f>
        <v/>
      </c>
      <c r="I3" s="38">
        <f>IF(SUMIFS('关键词库'!$E$2:$E$1679,'关键词库'!$B$2:$B$1679,$B3)&gt;0,1,0)</f>
        <v/>
      </c>
      <c r="J3" s="38">
        <f>IF(AND($G3=1,$C3&lt;&gt;"内务违规"),IF($J2="",$B3,$J2&amp;"、"&amp;$B3),$J2)</f>
        <v/>
      </c>
      <c r="K3" s="38">
        <f>IF(AND($H3=1,$C3&lt;&gt;"内务违规"),IF($K2="",$B3,$K2&amp;"、"&amp;$B3),$K2)</f>
        <v/>
      </c>
      <c r="L3" s="38">
        <f>IF(AND($I3=1,$C3&lt;&gt;"内务违规"),IF($L2="",$B3,$L2&amp;"、"&amp;$B3),$L2)</f>
        <v/>
      </c>
      <c r="M3" s="38">
        <f>IF(AND($G3=1,$C3="内务违规"),IF($M2="",$B3&amp;"（"&amp;$F3&amp;"）",$M2&amp;"；"&amp;$B3&amp;"（"&amp;$F3&amp;"）"),$M2)</f>
        <v/>
      </c>
      <c r="N3" s="38">
        <f>IF(AND($H3=1,$C3="内务违规"),IF($N2="",$B3&amp;"（"&amp;$F3&amp;"）",$N2&amp;"；"&amp;$B3&amp;"（"&amp;$F3&amp;"）"),$N2)</f>
        <v/>
      </c>
      <c r="O3" s="38">
        <f>IF(AND($I3=1,$C3="内务违规"),IF($O2="",$B3&amp;"（"&amp;$F3&amp;"）",$O2&amp;"；"&amp;$B3&amp;"（"&amp;$F3&amp;"）"),$O2)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60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IF(SUMIFS('关键词库'!$C$2:$C$1679,'关键词库'!$B$2:$B$1679,$B4)&gt;0,1,0)</f>
        <v/>
      </c>
      <c r="H4" s="38">
        <f>IF(SUMIFS('关键词库'!$D$2:$D$1679,'关键词库'!$B$2:$B$1679,$B4)&gt;0,1,0)</f>
        <v/>
      </c>
      <c r="I4" s="38">
        <f>IF(SUMIFS('关键词库'!$E$2:$E$1679,'关键词库'!$B$2:$B$1679,$B4)&gt;0,1,0)</f>
        <v/>
      </c>
      <c r="J4" s="38">
        <f>IF(AND($G4=1,$C4&lt;&gt;"内务违规"),IF($J3="",$B4,$J3&amp;"、"&amp;$B4),$J3)</f>
        <v/>
      </c>
      <c r="K4" s="38">
        <f>IF(AND($H4=1,$C4&lt;&gt;"内务违规"),IF($K3="",$B4,$K3&amp;"、"&amp;$B4),$K3)</f>
        <v/>
      </c>
      <c r="L4" s="38">
        <f>IF(AND($I4=1,$C4&lt;&gt;"内务违规"),IF($L3="",$B4,$L3&amp;"、"&amp;$B4),$L3)</f>
        <v/>
      </c>
      <c r="M4" s="38">
        <f>IF(AND($G4=1,$C4="内务违规"),IF($M3="",$B4&amp;"（"&amp;$F4&amp;"）",$M3&amp;"；"&amp;$B4&amp;"（"&amp;$F4&amp;"）"),$M3)</f>
        <v/>
      </c>
      <c r="N4" s="38">
        <f>IF(AND($H4=1,$C4="内务违规"),IF($N3="",$B4&amp;"（"&amp;$F4&amp;"）",$N3&amp;"；"&amp;$B4&amp;"（"&amp;$F4&amp;"）"),$N3)</f>
        <v/>
      </c>
      <c r="O4" s="38">
        <f>IF(AND($I4=1,$C4="内务违规"),IF($O3="",$B4&amp;"（"&amp;$F4&amp;"）",$O3&amp;"；"&amp;$B4&amp;"（"&amp;$F4&amp;"）"),$O3)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60</v>
      </c>
      <c r="E5" s="36" t="n">
        <v>20000</v>
      </c>
      <c r="F5" s="37" t="inlineStr">
        <is>
          <t>非预谋的故意杀人 (3至5年)</t>
        </is>
      </c>
      <c r="G5" s="38">
        <f>IF(SUMIFS('关键词库'!$C$2:$C$1679,'关键词库'!$B$2:$B$1679,$B5)&gt;0,1,0)</f>
        <v/>
      </c>
      <c r="H5" s="38">
        <f>IF(SUMIFS('关键词库'!$D$2:$D$1679,'关键词库'!$B$2:$B$1679,$B5)&gt;0,1,0)</f>
        <v/>
      </c>
      <c r="I5" s="38">
        <f>IF(SUMIFS('关键词库'!$E$2:$E$1679,'关键词库'!$B$2:$B$1679,$B5)&gt;0,1,0)</f>
        <v/>
      </c>
      <c r="J5" s="38">
        <f>IF(AND($G5=1,$C5&lt;&gt;"内务违规"),IF($J4="",$B5,$J4&amp;"、"&amp;$B5),$J4)</f>
        <v/>
      </c>
      <c r="K5" s="38">
        <f>IF(AND($H5=1,$C5&lt;&gt;"内务违规"),IF($K4="",$B5,$K4&amp;"、"&amp;$B5),$K4)</f>
        <v/>
      </c>
      <c r="L5" s="38">
        <f>IF(AND($I5=1,$C5&lt;&gt;"内务违规"),IF($L4="",$B5,$L4&amp;"、"&amp;$B5),$L4)</f>
        <v/>
      </c>
      <c r="M5" s="38">
        <f>IF(AND($G5=1,$C5="内务违规"),IF($M4="",$B5&amp;"（"&amp;$F5&amp;"）",$M4&amp;"；"&amp;$B5&amp;"（"&amp;$F5&amp;"）"),$M4)</f>
        <v/>
      </c>
      <c r="N5" s="38">
        <f>IF(AND($H5=1,$C5="内务违规"),IF($N4="",$B5&amp;"（"&amp;$F5&amp;"）",$N4&amp;"；"&amp;$B5&amp;"（"&amp;$F5&amp;"）"),$N4)</f>
        <v/>
      </c>
      <c r="O5" s="38">
        <f>IF(AND($I5=1,$C5="内务违规"),IF($O4="",$B5&amp;"（"&amp;$F5&amp;"）",$O4&amp;"；"&amp;$B5&amp;"（"&amp;$F5&amp;"）"),$O4)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60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IF(SUMIFS('关键词库'!$C$2:$C$1679,'关键词库'!$B$2:$B$1679,$B6)&gt;0,1,0)</f>
        <v/>
      </c>
      <c r="H6" s="38">
        <f>IF(SUMIFS('关键词库'!$D$2:$D$1679,'关键词库'!$B$2:$B$1679,$B6)&gt;0,1,0)</f>
        <v/>
      </c>
      <c r="I6" s="38">
        <f>IF(SUMIFS('关键词库'!$E$2:$E$1679,'关键词库'!$B$2:$B$1679,$B6)&gt;0,1,0)</f>
        <v/>
      </c>
      <c r="J6" s="38">
        <f>IF(AND($G6=1,$C6&lt;&gt;"内务违规"),IF($J5="",$B6,$J5&amp;"、"&amp;$B6),$J5)</f>
        <v/>
      </c>
      <c r="K6" s="38">
        <f>IF(AND($H6=1,$C6&lt;&gt;"内务违规"),IF($K5="",$B6,$K5&amp;"、"&amp;$B6),$K5)</f>
        <v/>
      </c>
      <c r="L6" s="38">
        <f>IF(AND($I6=1,$C6&lt;&gt;"内务违规"),IF($L5="",$B6,$L5&amp;"、"&amp;$B6),$L5)</f>
        <v/>
      </c>
      <c r="M6" s="38">
        <f>IF(AND($G6=1,$C6="内务违规"),IF($M5="",$B6&amp;"（"&amp;$F6&amp;"）",$M5&amp;"；"&amp;$B6&amp;"（"&amp;$F6&amp;"）"),$M5)</f>
        <v/>
      </c>
      <c r="N6" s="38">
        <f>IF(AND($H6=1,$C6="内务违规"),IF($N5="",$B6&amp;"（"&amp;$F6&amp;"）",$N5&amp;"；"&amp;$B6&amp;"（"&amp;$F6&amp;"）"),$N5)</f>
        <v/>
      </c>
      <c r="O6" s="38">
        <f>IF(AND($I6=1,$C6="内务违规"),IF($O5="",$B6&amp;"（"&amp;$F6&amp;"）",$O5&amp;"；"&amp;$B6&amp;"（"&amp;$F6&amp;"）"),$O5)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36</v>
      </c>
      <c r="E7" s="36" t="n">
        <v>15000</v>
      </c>
      <c r="F7" s="37" t="inlineStr">
        <is>
          <t>违背意愿约束/扣押/拘禁他人</t>
        </is>
      </c>
      <c r="G7" s="38">
        <f>IF(SUMIFS('关键词库'!$C$2:$C$1679,'关键词库'!$B$2:$B$1679,$B7)&gt;0,1,0)</f>
        <v/>
      </c>
      <c r="H7" s="38">
        <f>IF(SUMIFS('关键词库'!$D$2:$D$1679,'关键词库'!$B$2:$B$1679,$B7)&gt;0,1,0)</f>
        <v/>
      </c>
      <c r="I7" s="38">
        <f>IF(SUMIFS('关键词库'!$E$2:$E$1679,'关键词库'!$B$2:$B$1679,$B7)&gt;0,1,0)</f>
        <v/>
      </c>
      <c r="J7" s="38">
        <f>IF(AND($G7=1,$C7&lt;&gt;"内务违规"),IF($J6="",$B7,$J6&amp;"、"&amp;$B7),$J6)</f>
        <v/>
      </c>
      <c r="K7" s="38">
        <f>IF(AND($H7=1,$C7&lt;&gt;"内务违规"),IF($K6="",$B7,$K6&amp;"、"&amp;$B7),$K6)</f>
        <v/>
      </c>
      <c r="L7" s="38">
        <f>IF(AND($I7=1,$C7&lt;&gt;"内务违规"),IF($L6="",$B7,$L6&amp;"、"&amp;$B7),$L6)</f>
        <v/>
      </c>
      <c r="M7" s="38">
        <f>IF(AND($G7=1,$C7="内务违规"),IF($M6="",$B7&amp;"（"&amp;$F7&amp;"）",$M6&amp;"；"&amp;$B7&amp;"（"&amp;$F7&amp;"）"),$M6)</f>
        <v/>
      </c>
      <c r="N7" s="38">
        <f>IF(AND($H7=1,$C7="内务违规"),IF($N6="",$B7&amp;"（"&amp;$F7&amp;"）",$N6&amp;"；"&amp;$B7&amp;"（"&amp;$F7&amp;"）"),$N6)</f>
        <v/>
      </c>
      <c r="O7" s="38">
        <f>IF(AND($I7=1,$C7="内务违规"),IF($O6="",$B7&amp;"（"&amp;$F7&amp;"）",$O6&amp;"；"&amp;$B7&amp;"（"&amp;$F7&amp;"）"),$O6)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36</v>
      </c>
      <c r="E8" s="36" t="n">
        <v>15000</v>
      </c>
      <c r="F8" s="37" t="inlineStr">
        <is>
          <t>蓄意暴力致他人身体受伤</t>
        </is>
      </c>
      <c r="G8" s="38">
        <f>IF(SUMIFS('关键词库'!$C$2:$C$1679,'关键词库'!$B$2:$B$1679,$B8)&gt;0,1,0)</f>
        <v/>
      </c>
      <c r="H8" s="38">
        <f>IF(SUMIFS('关键词库'!$D$2:$D$1679,'关键词库'!$B$2:$B$1679,$B8)&gt;0,1,0)</f>
        <v/>
      </c>
      <c r="I8" s="38">
        <f>IF(SUMIFS('关键词库'!$E$2:$E$1679,'关键词库'!$B$2:$B$1679,$B8)&gt;0,1,0)</f>
        <v/>
      </c>
      <c r="J8" s="38">
        <f>IF(AND($G8=1,$C8&lt;&gt;"内务违规"),IF($J7="",$B8,$J7&amp;"、"&amp;$B8),$J7)</f>
        <v/>
      </c>
      <c r="K8" s="38">
        <f>IF(AND($H8=1,$C8&lt;&gt;"内务违规"),IF($K7="",$B8,$K7&amp;"、"&amp;$B8),$K7)</f>
        <v/>
      </c>
      <c r="L8" s="38">
        <f>IF(AND($I8=1,$C8&lt;&gt;"内务违规"),IF($L7="",$B8,$L7&amp;"、"&amp;$B8),$L7)</f>
        <v/>
      </c>
      <c r="M8" s="38">
        <f>IF(AND($G8=1,$C8="内务违规"),IF($M7="",$B8&amp;"（"&amp;$F8&amp;"）",$M7&amp;"；"&amp;$B8&amp;"（"&amp;$F8&amp;"）"),$M7)</f>
        <v/>
      </c>
      <c r="N8" s="38">
        <f>IF(AND($H8=1,$C8="内务违规"),IF($N7="",$B8&amp;"（"&amp;$F8&amp;"）",$N7&amp;"；"&amp;$B8&amp;"（"&amp;$F8&amp;"）"),$N7)</f>
        <v/>
      </c>
      <c r="O8" s="38">
        <f>IF(AND($I8=1,$C8="内务违规"),IF($O7="",$B8&amp;"（"&amp;$F8&amp;"）",$O7&amp;"；"&amp;$B8&amp;"（"&amp;$F8&amp;"）"),$O7)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60</v>
      </c>
      <c r="E9" s="36" t="n">
        <v>25000</v>
      </c>
      <c r="F9" s="37" t="inlineStr">
        <is>
          <t>侵占/羁押/控制他人意图恐吓</t>
        </is>
      </c>
      <c r="G9" s="38">
        <f>IF(SUMIFS('关键词库'!$C$2:$C$1679,'关键词库'!$B$2:$B$1679,$B9)&gt;0,1,0)</f>
        <v/>
      </c>
      <c r="H9" s="38">
        <f>IF(SUMIFS('关键词库'!$D$2:$D$1679,'关键词库'!$B$2:$B$1679,$B9)&gt;0,1,0)</f>
        <v/>
      </c>
      <c r="I9" s="38">
        <f>IF(SUMIFS('关键词库'!$E$2:$E$1679,'关键词库'!$B$2:$B$1679,$B9)&gt;0,1,0)</f>
        <v/>
      </c>
      <c r="J9" s="38">
        <f>IF(AND($G9=1,$C9&lt;&gt;"内务违规"),IF($J8="",$B9,$J8&amp;"、"&amp;$B9),$J8)</f>
        <v/>
      </c>
      <c r="K9" s="38">
        <f>IF(AND($H9=1,$C9&lt;&gt;"内务违规"),IF($K8="",$B9,$K8&amp;"、"&amp;$B9),$K8)</f>
        <v/>
      </c>
      <c r="L9" s="38">
        <f>IF(AND($I9=1,$C9&lt;&gt;"内务违规"),IF($L8="",$B9,$L8&amp;"、"&amp;$B9),$L8)</f>
        <v/>
      </c>
      <c r="M9" s="38">
        <f>IF(AND($G9=1,$C9="内务违规"),IF($M8="",$B9&amp;"（"&amp;$F9&amp;"）",$M8&amp;"；"&amp;$B9&amp;"（"&amp;$F9&amp;"）"),$M8)</f>
        <v/>
      </c>
      <c r="N9" s="38">
        <f>IF(AND($H9=1,$C9="内务违规"),IF($N8="",$B9&amp;"（"&amp;$F9&amp;"）",$N8&amp;"；"&amp;$B9&amp;"（"&amp;$F9&amp;"）"),$N8)</f>
        <v/>
      </c>
      <c r="O9" s="38">
        <f>IF(AND($I9=1,$C9="内务违规"),IF($O8="",$B9&amp;"（"&amp;$F9&amp;"）",$O8&amp;"；"&amp;$B9&amp;"（"&amp;$F9&amp;"）"),$O8)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24</v>
      </c>
      <c r="E10" s="36" t="n">
        <v>20000</v>
      </c>
      <c r="F10" s="37" t="inlineStr">
        <is>
          <t>毁损/处置尸体掩盖犯罪</t>
        </is>
      </c>
      <c r="G10" s="38">
        <f>IF(SUMIFS('关键词库'!$C$2:$C$1679,'关键词库'!$B$2:$B$1679,$B10)&gt;0,1,0)</f>
        <v/>
      </c>
      <c r="H10" s="38">
        <f>IF(SUMIFS('关键词库'!$D$2:$D$1679,'关键词库'!$B$2:$B$1679,$B10)&gt;0,1,0)</f>
        <v/>
      </c>
      <c r="I10" s="38">
        <f>IF(SUMIFS('关键词库'!$E$2:$E$1679,'关键词库'!$B$2:$B$1679,$B10)&gt;0,1,0)</f>
        <v/>
      </c>
      <c r="J10" s="38">
        <f>IF(AND($G10=1,$C10&lt;&gt;"内务违规"),IF($J9="",$B10,$J9&amp;"、"&amp;$B10),$J9)</f>
        <v/>
      </c>
      <c r="K10" s="38">
        <f>IF(AND($H10=1,$C10&lt;&gt;"内务违规"),IF($K9="",$B10,$K9&amp;"、"&amp;$B10),$K9)</f>
        <v/>
      </c>
      <c r="L10" s="38">
        <f>IF(AND($I10=1,$C10&lt;&gt;"内务违规"),IF($L9="",$B10,$L9&amp;"、"&amp;$B10),$L9)</f>
        <v/>
      </c>
      <c r="M10" s="38">
        <f>IF(AND($G10=1,$C10="内务违规"),IF($M9="",$B10&amp;"（"&amp;$F10&amp;"）",$M9&amp;"；"&amp;$B10&amp;"（"&amp;$F10&amp;"）"),$M9)</f>
        <v/>
      </c>
      <c r="N10" s="38">
        <f>IF(AND($H10=1,$C10="内务违规"),IF($N9="",$B10&amp;"（"&amp;$F10&amp;"）",$N9&amp;"；"&amp;$B10&amp;"（"&amp;$F10&amp;"）"),$N9)</f>
        <v/>
      </c>
      <c r="O10" s="38">
        <f>IF(AND($I10=1,$C10="内务违规"),IF($O9="",$B10&amp;"（"&amp;$F10&amp;"）",$O9&amp;"；"&amp;$B10&amp;"（"&amp;$F10&amp;"）"),$O9)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60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IF(SUMIFS('关键词库'!$C$2:$C$1679,'关键词库'!$B$2:$B$1679,$B11)&gt;0,1,0)</f>
        <v/>
      </c>
      <c r="H11" s="38">
        <f>IF(SUMIFS('关键词库'!$D$2:$D$1679,'关键词库'!$B$2:$B$1679,$B11)&gt;0,1,0)</f>
        <v/>
      </c>
      <c r="I11" s="38">
        <f>IF(SUMIFS('关键词库'!$E$2:$E$1679,'关键词库'!$B$2:$B$1679,$B11)&gt;0,1,0)</f>
        <v/>
      </c>
      <c r="J11" s="38">
        <f>IF(AND($G11=1,$C11&lt;&gt;"内务违规"),IF($J10="",$B11,$J10&amp;"、"&amp;$B11),$J10)</f>
        <v/>
      </c>
      <c r="K11" s="38">
        <f>IF(AND($H11=1,$C11&lt;&gt;"内务违规"),IF($K10="",$B11,$K10&amp;"、"&amp;$B11),$K10)</f>
        <v/>
      </c>
      <c r="L11" s="38">
        <f>IF(AND($I11=1,$C11&lt;&gt;"内务违规"),IF($L10="",$B11,$L10&amp;"、"&amp;$B11),$L10)</f>
        <v/>
      </c>
      <c r="M11" s="38">
        <f>IF(AND($G11=1,$C11="内务违规"),IF($M10="",$B11&amp;"（"&amp;$F11&amp;"）",$M10&amp;"；"&amp;$B11&amp;"（"&amp;$F11&amp;"）"),$M10)</f>
        <v/>
      </c>
      <c r="N11" s="38">
        <f>IF(AND($H11=1,$C11="内务违规"),IF($N10="",$B11&amp;"（"&amp;$F11&amp;"）",$N10&amp;"；"&amp;$B11&amp;"（"&amp;$F11&amp;"）"),$N10)</f>
        <v/>
      </c>
      <c r="O11" s="38">
        <f>IF(AND($I11=1,$C11="内务违规"),IF($O10="",$B11&amp;"（"&amp;$F11&amp;"）",$O10&amp;"；"&amp;$B11&amp;"（"&amp;$F11&amp;"）"),$O10)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24</v>
      </c>
      <c r="E12" s="36" t="n">
        <v>8000</v>
      </c>
      <c r="F12" s="37" t="inlineStr">
        <is>
          <t>被要求离开后仍拒绝离开</t>
        </is>
      </c>
      <c r="G12" s="38">
        <f>IF(SUMIFS('关键词库'!$C$2:$C$1679,'关键词库'!$B$2:$B$1679,$B12)&gt;0,1,0)</f>
        <v/>
      </c>
      <c r="H12" s="38">
        <f>IF(SUMIFS('关键词库'!$D$2:$D$1679,'关键词库'!$B$2:$B$1679,$B12)&gt;0,1,0)</f>
        <v/>
      </c>
      <c r="I12" s="38">
        <f>IF(SUMIFS('关键词库'!$E$2:$E$1679,'关键词库'!$B$2:$B$1679,$B12)&gt;0,1,0)</f>
        <v/>
      </c>
      <c r="J12" s="38">
        <f>IF(AND($G12=1,$C12&lt;&gt;"内务违规"),IF($J11="",$B12,$J11&amp;"、"&amp;$B12),$J11)</f>
        <v/>
      </c>
      <c r="K12" s="38">
        <f>IF(AND($H12=1,$C12&lt;&gt;"内务违规"),IF($K11="",$B12,$K11&amp;"、"&amp;$B12),$K11)</f>
        <v/>
      </c>
      <c r="L12" s="38">
        <f>IF(AND($I12=1,$C12&lt;&gt;"内务违规"),IF($L11="",$B12,$L11&amp;"、"&amp;$B12),$L11)</f>
        <v/>
      </c>
      <c r="M12" s="38">
        <f>IF(AND($G12=1,$C12="内务违规"),IF($M11="",$B12&amp;"（"&amp;$F12&amp;"）",$M11&amp;"；"&amp;$B12&amp;"（"&amp;$F12&amp;"）"),$M11)</f>
        <v/>
      </c>
      <c r="N12" s="38">
        <f>IF(AND($H12=1,$C12="内务违规"),IF($N11="",$B12&amp;"（"&amp;$F12&amp;"）",$N11&amp;"；"&amp;$B12&amp;"（"&amp;$F12&amp;"）"),$N11)</f>
        <v/>
      </c>
      <c r="O12" s="38">
        <f>IF(AND($I12=1,$C12="内务违规"),IF($O11="",$B12&amp;"（"&amp;$F12&amp;"）",$O11&amp;"；"&amp;$B12&amp;"（"&amp;$F12&amp;"）"),$O11)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36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IF(SUMIFS('关键词库'!$C$2:$C$1679,'关键词库'!$B$2:$B$1679,$B13)&gt;0,1,0)</f>
        <v/>
      </c>
      <c r="H13" s="38">
        <f>IF(SUMIFS('关键词库'!$D$2:$D$1679,'关键词库'!$B$2:$B$1679,$B13)&gt;0,1,0)</f>
        <v/>
      </c>
      <c r="I13" s="38">
        <f>IF(SUMIFS('关键词库'!$E$2:$E$1679,'关键词库'!$B$2:$B$1679,$B13)&gt;0,1,0)</f>
        <v/>
      </c>
      <c r="J13" s="38">
        <f>IF(AND($G13=1,$C13&lt;&gt;"内务违规"),IF($J12="",$B13,$J12&amp;"、"&amp;$B13),$J12)</f>
        <v/>
      </c>
      <c r="K13" s="38">
        <f>IF(AND($H13=1,$C13&lt;&gt;"内务违规"),IF($K12="",$B13,$K12&amp;"、"&amp;$B13),$K12)</f>
        <v/>
      </c>
      <c r="L13" s="38">
        <f>IF(AND($I13=1,$C13&lt;&gt;"内务违规"),IF($L12="",$B13,$L12&amp;"、"&amp;$B13),$L12)</f>
        <v/>
      </c>
      <c r="M13" s="38">
        <f>IF(AND($G13=1,$C13="内务违规"),IF($M12="",$B13&amp;"（"&amp;$F13&amp;"）",$M12&amp;"；"&amp;$B13&amp;"（"&amp;$F13&amp;"）"),$M12)</f>
        <v/>
      </c>
      <c r="N13" s="38">
        <f>IF(AND($H13=1,$C13="内务违规"),IF($N12="",$B13&amp;"（"&amp;$F13&amp;"）",$N12&amp;"；"&amp;$B13&amp;"（"&amp;$F13&amp;"）"),$N12)</f>
        <v/>
      </c>
      <c r="O13" s="38">
        <f>IF(AND($I13=1,$C13="内务违规"),IF($O12="",$B13&amp;"（"&amp;$F13&amp;"）",$O12&amp;"；"&amp;$B13&amp;"（"&amp;$F13&amp;"）"),$O12)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36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IF(SUMIFS('关键词库'!$C$2:$C$1679,'关键词库'!$B$2:$B$1679,$B14)&gt;0,1,0)</f>
        <v/>
      </c>
      <c r="H14" s="38">
        <f>IF(SUMIFS('关键词库'!$D$2:$D$1679,'关键词库'!$B$2:$B$1679,$B14)&gt;0,1,0)</f>
        <v/>
      </c>
      <c r="I14" s="38">
        <f>IF(SUMIFS('关键词库'!$E$2:$E$1679,'关键词库'!$B$2:$B$1679,$B14)&gt;0,1,0)</f>
        <v/>
      </c>
      <c r="J14" s="38">
        <f>IF(AND($G14=1,$C14&lt;&gt;"内务违规"),IF($J13="",$B14,$J13&amp;"、"&amp;$B14),$J13)</f>
        <v/>
      </c>
      <c r="K14" s="38">
        <f>IF(AND($H14=1,$C14&lt;&gt;"内务违规"),IF($K13="",$B14,$K13&amp;"、"&amp;$B14),$K13)</f>
        <v/>
      </c>
      <c r="L14" s="38">
        <f>IF(AND($I14=1,$C14&lt;&gt;"内务违规"),IF($L13="",$B14,$L13&amp;"、"&amp;$B14),$L13)</f>
        <v/>
      </c>
      <c r="M14" s="38">
        <f>IF(AND($G14=1,$C14="内务违规"),IF($M13="",$B14&amp;"（"&amp;$F14&amp;"）",$M13&amp;"；"&amp;$B14&amp;"（"&amp;$F14&amp;"）"),$M13)</f>
        <v/>
      </c>
      <c r="N14" s="38">
        <f>IF(AND($H14=1,$C14="内务违规"),IF($N13="",$B14&amp;"（"&amp;$F14&amp;"）",$N13&amp;"；"&amp;$B14&amp;"（"&amp;$F14&amp;"）"),$N13)</f>
        <v/>
      </c>
      <c r="O14" s="38">
        <f>IF(AND($I14=1,$C14="内务违规"),IF($O13="",$B14&amp;"（"&amp;$F14&amp;"）",$O13&amp;"；"&amp;$B14&amp;"（"&amp;$F14&amp;"）"),$O13)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60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IF(SUMIFS('关键词库'!$C$2:$C$1679,'关键词库'!$B$2:$B$1679,$B15)&gt;0,1,0)</f>
        <v/>
      </c>
      <c r="H15" s="38">
        <f>IF(SUMIFS('关键词库'!$D$2:$D$1679,'关键词库'!$B$2:$B$1679,$B15)&gt;0,1,0)</f>
        <v/>
      </c>
      <c r="I15" s="38">
        <f>IF(SUMIFS('关键词库'!$E$2:$E$1679,'关键词库'!$B$2:$B$1679,$B15)&gt;0,1,0)</f>
        <v/>
      </c>
      <c r="J15" s="38">
        <f>IF(AND($G15=1,$C15&lt;&gt;"内务违规"),IF($J14="",$B15,$J14&amp;"、"&amp;$B15),$J14)</f>
        <v/>
      </c>
      <c r="K15" s="38">
        <f>IF(AND($H15=1,$C15&lt;&gt;"内务违规"),IF($K14="",$B15,$K14&amp;"、"&amp;$B15),$K14)</f>
        <v/>
      </c>
      <c r="L15" s="38">
        <f>IF(AND($I15=1,$C15&lt;&gt;"内务违规"),IF($L14="",$B15,$L14&amp;"、"&amp;$B15),$L14)</f>
        <v/>
      </c>
      <c r="M15" s="38">
        <f>IF(AND($G15=1,$C15="内务违规"),IF($M14="",$B15&amp;"（"&amp;$F15&amp;"）",$M14&amp;"；"&amp;$B15&amp;"（"&amp;$F15&amp;"）"),$M14)</f>
        <v/>
      </c>
      <c r="N15" s="38">
        <f>IF(AND($H15=1,$C15="内务违规"),IF($N14="",$B15&amp;"（"&amp;$F15&amp;"）",$N14&amp;"；"&amp;$B15&amp;"（"&amp;$F15&amp;"）"),$N14)</f>
        <v/>
      </c>
      <c r="O15" s="38">
        <f>IF(AND($I15=1,$C15="内务违规"),IF($O14="",$B15&amp;"（"&amp;$F15&amp;"）",$O14&amp;"；"&amp;$B15&amp;"（"&amp;$F15&amp;"）"),$O14)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48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IF(SUMIFS('关键词库'!$C$2:$C$1679,'关键词库'!$B$2:$B$1679,$B16)&gt;0,1,0)</f>
        <v/>
      </c>
      <c r="H16" s="38">
        <f>IF(SUMIFS('关键词库'!$D$2:$D$1679,'关键词库'!$B$2:$B$1679,$B16)&gt;0,1,0)</f>
        <v/>
      </c>
      <c r="I16" s="38">
        <f>IF(SUMIFS('关键词库'!$E$2:$E$1679,'关键词库'!$B$2:$B$1679,$B16)&gt;0,1,0)</f>
        <v/>
      </c>
      <c r="J16" s="38">
        <f>IF(AND($G16=1,$C16&lt;&gt;"内务违规"),IF($J15="",$B16,$J15&amp;"、"&amp;$B16),$J15)</f>
        <v/>
      </c>
      <c r="K16" s="38">
        <f>IF(AND($H16=1,$C16&lt;&gt;"内务违规"),IF($K15="",$B16,$K15&amp;"、"&amp;$B16),$K15)</f>
        <v/>
      </c>
      <c r="L16" s="38">
        <f>IF(AND($I16=1,$C16&lt;&gt;"内务违规"),IF($L15="",$B16,$L15&amp;"、"&amp;$B16),$L15)</f>
        <v/>
      </c>
      <c r="M16" s="38">
        <f>IF(AND($G16=1,$C16="内务违规"),IF($M15="",$B16&amp;"（"&amp;$F16&amp;"）",$M15&amp;"；"&amp;$B16&amp;"（"&amp;$F16&amp;"）"),$M15)</f>
        <v/>
      </c>
      <c r="N16" s="38">
        <f>IF(AND($H16=1,$C16="内务违规"),IF($N15="",$B16&amp;"（"&amp;$F16&amp;"）",$N15&amp;"；"&amp;$B16&amp;"（"&amp;$F16&amp;"）"),$N15)</f>
        <v/>
      </c>
      <c r="O16" s="38">
        <f>IF(AND($I16=1,$C16="内务违规"),IF($O15="",$B16&amp;"（"&amp;$F16&amp;"）",$O15&amp;"；"&amp;$B16&amp;"（"&amp;$F16&amp;"）"),$O15)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12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IF(SUMIFS('关键词库'!$C$2:$C$1679,'关键词库'!$B$2:$B$1679,$B17)&gt;0,1,0)</f>
        <v/>
      </c>
      <c r="H17" s="38">
        <f>IF(SUMIFS('关键词库'!$D$2:$D$1679,'关键词库'!$B$2:$B$1679,$B17)&gt;0,1,0)</f>
        <v/>
      </c>
      <c r="I17" s="38">
        <f>IF(SUMIFS('关键词库'!$E$2:$E$1679,'关键词库'!$B$2:$B$1679,$B17)&gt;0,1,0)</f>
        <v/>
      </c>
      <c r="J17" s="38">
        <f>IF(AND($G17=1,$C17&lt;&gt;"内务违规"),IF($J16="",$B17,$J16&amp;"、"&amp;$B17),$J16)</f>
        <v/>
      </c>
      <c r="K17" s="38">
        <f>IF(AND($H17=1,$C17&lt;&gt;"内务违规"),IF($K16="",$B17,$K16&amp;"、"&amp;$B17),$K16)</f>
        <v/>
      </c>
      <c r="L17" s="38">
        <f>IF(AND($I17=1,$C17&lt;&gt;"内务违规"),IF($L16="",$B17,$L16&amp;"、"&amp;$B17),$L16)</f>
        <v/>
      </c>
      <c r="M17" s="38">
        <f>IF(AND($G17=1,$C17="内务违规"),IF($M16="",$B17&amp;"（"&amp;$F17&amp;"）",$M16&amp;"；"&amp;$B17&amp;"（"&amp;$F17&amp;"）"),$M16)</f>
        <v/>
      </c>
      <c r="N17" s="38">
        <f>IF(AND($H17=1,$C17="内务违规"),IF($N16="",$B17&amp;"（"&amp;$F17&amp;"）",$N16&amp;"；"&amp;$B17&amp;"（"&amp;$F17&amp;"）"),$N16)</f>
        <v/>
      </c>
      <c r="O17" s="38">
        <f>IF(AND($I17=1,$C17="内务违规"),IF($O16="",$B17&amp;"（"&amp;$F17&amp;"）",$O16&amp;"；"&amp;$B17&amp;"（"&amp;$F17&amp;"）"),$O16)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24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IF(SUMIFS('关键词库'!$C$2:$C$1679,'关键词库'!$B$2:$B$1679,$B18)&gt;0,1,0)</f>
        <v/>
      </c>
      <c r="H18" s="38">
        <f>IF(SUMIFS('关键词库'!$D$2:$D$1679,'关键词库'!$B$2:$B$1679,$B18)&gt;0,1,0)</f>
        <v/>
      </c>
      <c r="I18" s="38">
        <f>IF(SUMIFS('关键词库'!$E$2:$E$1679,'关键词库'!$B$2:$B$1679,$B18)&gt;0,1,0)</f>
        <v/>
      </c>
      <c r="J18" s="38">
        <f>IF(AND($G18=1,$C18&lt;&gt;"内务违规"),IF($J17="",$B18,$J17&amp;"、"&amp;$B18),$J17)</f>
        <v/>
      </c>
      <c r="K18" s="38">
        <f>IF(AND($H18=1,$C18&lt;&gt;"内务违规"),IF($K17="",$B18,$K17&amp;"、"&amp;$B18),$K17)</f>
        <v/>
      </c>
      <c r="L18" s="38">
        <f>IF(AND($I18=1,$C18&lt;&gt;"内务违规"),IF($L17="",$B18,$L17&amp;"、"&amp;$B18),$L17)</f>
        <v/>
      </c>
      <c r="M18" s="38">
        <f>IF(AND($G18=1,$C18="内务违规"),IF($M17="",$B18&amp;"（"&amp;$F18&amp;"）",$M17&amp;"；"&amp;$B18&amp;"（"&amp;$F18&amp;"）"),$M17)</f>
        <v/>
      </c>
      <c r="N18" s="38">
        <f>IF(AND($H18=1,$C18="内务违规"),IF($N17="",$B18&amp;"（"&amp;$F18&amp;"）",$N17&amp;"；"&amp;$B18&amp;"（"&amp;$F18&amp;"）"),$N17)</f>
        <v/>
      </c>
      <c r="O18" s="38">
        <f>IF(AND($I18=1,$C18="内务违规"),IF($O17="",$B18&amp;"（"&amp;$F18&amp;"）",$O17&amp;"；"&amp;$B18&amp;"（"&amp;$F18&amp;"）"),$O17)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24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IF(SUMIFS('关键词库'!$C$2:$C$1679,'关键词库'!$B$2:$B$1679,$B19)&gt;0,1,0)</f>
        <v/>
      </c>
      <c r="H19" s="38">
        <f>IF(SUMIFS('关键词库'!$D$2:$D$1679,'关键词库'!$B$2:$B$1679,$B19)&gt;0,1,0)</f>
        <v/>
      </c>
      <c r="I19" s="38">
        <f>IF(SUMIFS('关键词库'!$E$2:$E$1679,'关键词库'!$B$2:$B$1679,$B19)&gt;0,1,0)</f>
        <v/>
      </c>
      <c r="J19" s="38">
        <f>IF(AND($G19=1,$C19&lt;&gt;"内务违规"),IF($J18="",$B19,$J18&amp;"、"&amp;$B19),$J18)</f>
        <v/>
      </c>
      <c r="K19" s="38">
        <f>IF(AND($H19=1,$C19&lt;&gt;"内务违规"),IF($K18="",$B19,$K18&amp;"、"&amp;$B19),$K18)</f>
        <v/>
      </c>
      <c r="L19" s="38">
        <f>IF(AND($I19=1,$C19&lt;&gt;"内务违规"),IF($L18="",$B19,$L18&amp;"、"&amp;$B19),$L18)</f>
        <v/>
      </c>
      <c r="M19" s="38">
        <f>IF(AND($G19=1,$C19="内务违规"),IF($M18="",$B19&amp;"（"&amp;$F19&amp;"）",$M18&amp;"；"&amp;$B19&amp;"（"&amp;$F19&amp;"）"),$M18)</f>
        <v/>
      </c>
      <c r="N19" s="38">
        <f>IF(AND($H19=1,$C19="内务违规"),IF($N18="",$B19&amp;"（"&amp;$F19&amp;"）",$N18&amp;"；"&amp;$B19&amp;"（"&amp;$F19&amp;"）"),$N18)</f>
        <v/>
      </c>
      <c r="O19" s="38">
        <f>IF(AND($I19=1,$C19="内务违规"),IF($O18="",$B19&amp;"（"&amp;$F19&amp;"）",$O18&amp;"；"&amp;$B19&amp;"（"&amp;$F19&amp;"）"),$O18)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24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IF(SUMIFS('关键词库'!$C$2:$C$1679,'关键词库'!$B$2:$B$1679,$B20)&gt;0,1,0)</f>
        <v/>
      </c>
      <c r="H20" s="38">
        <f>IF(SUMIFS('关键词库'!$D$2:$D$1679,'关键词库'!$B$2:$B$1679,$B20)&gt;0,1,0)</f>
        <v/>
      </c>
      <c r="I20" s="38">
        <f>IF(SUMIFS('关键词库'!$E$2:$E$1679,'关键词库'!$B$2:$B$1679,$B20)&gt;0,1,0)</f>
        <v/>
      </c>
      <c r="J20" s="38">
        <f>IF(AND($G20=1,$C20&lt;&gt;"内务违规"),IF($J19="",$B20,$J19&amp;"、"&amp;$B20),$J19)</f>
        <v/>
      </c>
      <c r="K20" s="38">
        <f>IF(AND($H20=1,$C20&lt;&gt;"内务违规"),IF($K19="",$B20,$K19&amp;"、"&amp;$B20),$K19)</f>
        <v/>
      </c>
      <c r="L20" s="38">
        <f>IF(AND($I20=1,$C20&lt;&gt;"内务违规"),IF($L19="",$B20,$L19&amp;"、"&amp;$B20),$L19)</f>
        <v/>
      </c>
      <c r="M20" s="38">
        <f>IF(AND($G20=1,$C20="内务违规"),IF($M19="",$B20&amp;"（"&amp;$F20&amp;"）",$M19&amp;"；"&amp;$B20&amp;"（"&amp;$F20&amp;"）"),$M19)</f>
        <v/>
      </c>
      <c r="N20" s="38">
        <f>IF(AND($H20=1,$C20="内务违规"),IF($N19="",$B20&amp;"（"&amp;$F20&amp;"）",$N19&amp;"；"&amp;$B20&amp;"（"&amp;$F20&amp;"）"),$N19)</f>
        <v/>
      </c>
      <c r="O20" s="38">
        <f>IF(AND($I20=1,$C20="内务违规"),IF($O19="",$B20&amp;"（"&amp;$F20&amp;"）",$O19&amp;"；"&amp;$B20&amp;"（"&amp;$F20&amp;"）"),$O19)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48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IF(SUMIFS('关键词库'!$C$2:$C$1679,'关键词库'!$B$2:$B$1679,$B21)&gt;0,1,0)</f>
        <v/>
      </c>
      <c r="H21" s="38">
        <f>IF(SUMIFS('关键词库'!$D$2:$D$1679,'关键词库'!$B$2:$B$1679,$B21)&gt;0,1,0)</f>
        <v/>
      </c>
      <c r="I21" s="38">
        <f>IF(SUMIFS('关键词库'!$E$2:$E$1679,'关键词库'!$B$2:$B$1679,$B21)&gt;0,1,0)</f>
        <v/>
      </c>
      <c r="J21" s="38">
        <f>IF(AND($G21=1,$C21&lt;&gt;"内务违规"),IF($J20="",$B21,$J20&amp;"、"&amp;$B21),$J20)</f>
        <v/>
      </c>
      <c r="K21" s="38">
        <f>IF(AND($H21=1,$C21&lt;&gt;"内务违规"),IF($K20="",$B21,$K20&amp;"、"&amp;$B21),$K20)</f>
        <v/>
      </c>
      <c r="L21" s="38">
        <f>IF(AND($I21=1,$C21&lt;&gt;"内务违规"),IF($L20="",$B21,$L20&amp;"、"&amp;$B21),$L20)</f>
        <v/>
      </c>
      <c r="M21" s="38">
        <f>IF(AND($G21=1,$C21="内务违规"),IF($M20="",$B21&amp;"（"&amp;$F21&amp;"）",$M20&amp;"；"&amp;$B21&amp;"（"&amp;$F21&amp;"）"),$M20)</f>
        <v/>
      </c>
      <c r="N21" s="38">
        <f>IF(AND($H21=1,$C21="内务违规"),IF($N20="",$B21&amp;"（"&amp;$F21&amp;"）",$N20&amp;"；"&amp;$B21&amp;"（"&amp;$F21&amp;"）"),$N20)</f>
        <v/>
      </c>
      <c r="O21" s="38">
        <f>IF(AND($I21=1,$C21="内务违规"),IF($O20="",$B21&amp;"（"&amp;$F21&amp;"）",$O20&amp;"；"&amp;$B21&amp;"（"&amp;$F21&amp;"）"),$O20)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24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IF(SUMIFS('关键词库'!$C$2:$C$1679,'关键词库'!$B$2:$B$1679,$B22)&gt;0,1,0)</f>
        <v/>
      </c>
      <c r="H22" s="38">
        <f>IF(SUMIFS('关键词库'!$D$2:$D$1679,'关键词库'!$B$2:$B$1679,$B22)&gt;0,1,0)</f>
        <v/>
      </c>
      <c r="I22" s="38">
        <f>IF(SUMIFS('关键词库'!$E$2:$E$1679,'关键词库'!$B$2:$B$1679,$B22)&gt;0,1,0)</f>
        <v/>
      </c>
      <c r="J22" s="38">
        <f>IF(AND($G22=1,$C22&lt;&gt;"内务违规"),IF($J21="",$B22,$J21&amp;"、"&amp;$B22),$J21)</f>
        <v/>
      </c>
      <c r="K22" s="38">
        <f>IF(AND($H22=1,$C22&lt;&gt;"内务违规"),IF($K21="",$B22,$K21&amp;"、"&amp;$B22),$K21)</f>
        <v/>
      </c>
      <c r="L22" s="38">
        <f>IF(AND($I22=1,$C22&lt;&gt;"内务违规"),IF($L21="",$B22,$L21&amp;"、"&amp;$B22),$L21)</f>
        <v/>
      </c>
      <c r="M22" s="38">
        <f>IF(AND($G22=1,$C22="内务违规"),IF($M21="",$B22&amp;"（"&amp;$F22&amp;"）",$M21&amp;"；"&amp;$B22&amp;"（"&amp;$F22&amp;"）"),$M21)</f>
        <v/>
      </c>
      <c r="N22" s="38">
        <f>IF(AND($H22=1,$C22="内务违规"),IF($N21="",$B22&amp;"（"&amp;$F22&amp;"）",$N21&amp;"；"&amp;$B22&amp;"（"&amp;$F22&amp;"）"),$N21)</f>
        <v/>
      </c>
      <c r="O22" s="38">
        <f>IF(AND($I22=1,$C22="内务违规"),IF($O21="",$B22&amp;"（"&amp;$F22&amp;"）",$O21&amp;"；"&amp;$B22&amp;"（"&amp;$F22&amp;"）"),$O21)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24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IF(SUMIFS('关键词库'!$C$2:$C$1679,'关键词库'!$B$2:$B$1679,$B23)&gt;0,1,0)</f>
        <v/>
      </c>
      <c r="H23" s="38">
        <f>IF(SUMIFS('关键词库'!$D$2:$D$1679,'关键词库'!$B$2:$B$1679,$B23)&gt;0,1,0)</f>
        <v/>
      </c>
      <c r="I23" s="38">
        <f>IF(SUMIFS('关键词库'!$E$2:$E$1679,'关键词库'!$B$2:$B$1679,$B23)&gt;0,1,0)</f>
        <v/>
      </c>
      <c r="J23" s="38">
        <f>IF(AND($G23=1,$C23&lt;&gt;"内务违规"),IF($J22="",$B23,$J22&amp;"、"&amp;$B23),$J22)</f>
        <v/>
      </c>
      <c r="K23" s="38">
        <f>IF(AND($H23=1,$C23&lt;&gt;"内务违规"),IF($K22="",$B23,$K22&amp;"、"&amp;$B23),$K22)</f>
        <v/>
      </c>
      <c r="L23" s="38">
        <f>IF(AND($I23=1,$C23&lt;&gt;"内务违规"),IF($L22="",$B23,$L22&amp;"、"&amp;$B23),$L22)</f>
        <v/>
      </c>
      <c r="M23" s="38">
        <f>IF(AND($G23=1,$C23="内务违规"),IF($M22="",$B23&amp;"（"&amp;$F23&amp;"）",$M22&amp;"；"&amp;$B23&amp;"（"&amp;$F23&amp;"）"),$M22)</f>
        <v/>
      </c>
      <c r="N23" s="38">
        <f>IF(AND($H23=1,$C23="内务违规"),IF($N22="",$B23&amp;"（"&amp;$F23&amp;"）",$N22&amp;"；"&amp;$B23&amp;"（"&amp;$F23&amp;"）"),$N22)</f>
        <v/>
      </c>
      <c r="O23" s="38">
        <f>IF(AND($I23=1,$C23="内务违规"),IF($O22="",$B23&amp;"（"&amp;$F23&amp;"）",$O22&amp;"；"&amp;$B23&amp;"（"&amp;$F23&amp;"）"),$O22)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36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IF(SUMIFS('关键词库'!$C$2:$C$1679,'关键词库'!$B$2:$B$1679,$B24)&gt;0,1,0)</f>
        <v/>
      </c>
      <c r="H24" s="38">
        <f>IF(SUMIFS('关键词库'!$D$2:$D$1679,'关键词库'!$B$2:$B$1679,$B24)&gt;0,1,0)</f>
        <v/>
      </c>
      <c r="I24" s="38">
        <f>IF(SUMIFS('关键词库'!$E$2:$E$1679,'关键词库'!$B$2:$B$1679,$B24)&gt;0,1,0)</f>
        <v/>
      </c>
      <c r="J24" s="38">
        <f>IF(AND($G24=1,$C24&lt;&gt;"内务违规"),IF($J23="",$B24,$J23&amp;"、"&amp;$B24),$J23)</f>
        <v/>
      </c>
      <c r="K24" s="38">
        <f>IF(AND($H24=1,$C24&lt;&gt;"内务违规"),IF($K23="",$B24,$K23&amp;"、"&amp;$B24),$K23)</f>
        <v/>
      </c>
      <c r="L24" s="38">
        <f>IF(AND($I24=1,$C24&lt;&gt;"内务违规"),IF($L23="",$B24,$L23&amp;"、"&amp;$B24),$L23)</f>
        <v/>
      </c>
      <c r="M24" s="38">
        <f>IF(AND($G24=1,$C24="内务违规"),IF($M23="",$B24&amp;"（"&amp;$F24&amp;"）",$M23&amp;"；"&amp;$B24&amp;"（"&amp;$F24&amp;"）"),$M23)</f>
        <v/>
      </c>
      <c r="N24" s="38">
        <f>IF(AND($H24=1,$C24="内务违规"),IF($N23="",$B24&amp;"（"&amp;$F24&amp;"）",$N23&amp;"；"&amp;$B24&amp;"（"&amp;$F24&amp;"）"),$N23)</f>
        <v/>
      </c>
      <c r="O24" s="38">
        <f>IF(AND($I24=1,$C24="内务违规"),IF($O23="",$B24&amp;"（"&amp;$F24&amp;"）",$O23&amp;"；"&amp;$B24&amp;"（"&amp;$F24&amp;"）"),$O23)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24</v>
      </c>
      <c r="E25" s="36" t="n">
        <v>15000</v>
      </c>
      <c r="F25" s="37" t="inlineStr">
        <is>
          <t>以性服务换取财物</t>
        </is>
      </c>
      <c r="G25" s="38">
        <f>IF(SUMIFS('关键词库'!$C$2:$C$1679,'关键词库'!$B$2:$B$1679,$B25)&gt;0,1,0)</f>
        <v/>
      </c>
      <c r="H25" s="38">
        <f>IF(SUMIFS('关键词库'!$D$2:$D$1679,'关键词库'!$B$2:$B$1679,$B25)&gt;0,1,0)</f>
        <v/>
      </c>
      <c r="I25" s="38">
        <f>IF(SUMIFS('关键词库'!$E$2:$E$1679,'关键词库'!$B$2:$B$1679,$B25)&gt;0,1,0)</f>
        <v/>
      </c>
      <c r="J25" s="38">
        <f>IF(AND($G25=1,$C25&lt;&gt;"内务违规"),IF($J24="",$B25,$J24&amp;"、"&amp;$B25),$J24)</f>
        <v/>
      </c>
      <c r="K25" s="38">
        <f>IF(AND($H25=1,$C25&lt;&gt;"内务违规"),IF($K24="",$B25,$K24&amp;"、"&amp;$B25),$K24)</f>
        <v/>
      </c>
      <c r="L25" s="38">
        <f>IF(AND($I25=1,$C25&lt;&gt;"内务违规"),IF($L24="",$B25,$L24&amp;"、"&amp;$B25),$L24)</f>
        <v/>
      </c>
      <c r="M25" s="38">
        <f>IF(AND($G25=1,$C25="内务违规"),IF($M24="",$B25&amp;"（"&amp;$F25&amp;"）",$M24&amp;"；"&amp;$B25&amp;"（"&amp;$F25&amp;"）"),$M24)</f>
        <v/>
      </c>
      <c r="N25" s="38">
        <f>IF(AND($H25=1,$C25="内务违规"),IF($N24="",$B25&amp;"（"&amp;$F25&amp;"）",$N24&amp;"；"&amp;$B25&amp;"（"&amp;$F25&amp;"）"),$N24)</f>
        <v/>
      </c>
      <c r="O25" s="38">
        <f>IF(AND($I25=1,$C25="内务违规"),IF($O24="",$B25&amp;"（"&amp;$F25&amp;"）",$O24&amp;"；"&amp;$B25&amp;"（"&amp;$F25&amp;"）"),$O24)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60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IF(SUMIFS('关键词库'!$C$2:$C$1679,'关键词库'!$B$2:$B$1679,$B26)&gt;0,1,0)</f>
        <v/>
      </c>
      <c r="H26" s="38">
        <f>IF(SUMIFS('关键词库'!$D$2:$D$1679,'关键词库'!$B$2:$B$1679,$B26)&gt;0,1,0)</f>
        <v/>
      </c>
      <c r="I26" s="38">
        <f>IF(SUMIFS('关键词库'!$E$2:$E$1679,'关键词库'!$B$2:$B$1679,$B26)&gt;0,1,0)</f>
        <v/>
      </c>
      <c r="J26" s="38">
        <f>IF(AND($G26=1,$C26&lt;&gt;"内务违规"),IF($J25="",$B26,$J25&amp;"、"&amp;$B26),$J25)</f>
        <v/>
      </c>
      <c r="K26" s="38">
        <f>IF(AND($H26=1,$C26&lt;&gt;"内务违规"),IF($K25="",$B26,$K25&amp;"、"&amp;$B26),$K25)</f>
        <v/>
      </c>
      <c r="L26" s="38">
        <f>IF(AND($I26=1,$C26&lt;&gt;"内务违规"),IF($L25="",$B26,$L25&amp;"、"&amp;$B26),$L25)</f>
        <v/>
      </c>
      <c r="M26" s="38">
        <f>IF(AND($G26=1,$C26="内务违规"),IF($M25="",$B26&amp;"（"&amp;$F26&amp;"）",$M25&amp;"；"&amp;$B26&amp;"（"&amp;$F26&amp;"）"),$M25)</f>
        <v/>
      </c>
      <c r="N26" s="38">
        <f>IF(AND($H26=1,$C26="内务违规"),IF($N25="",$B26&amp;"（"&amp;$F26&amp;"）",$N25&amp;"；"&amp;$B26&amp;"（"&amp;$F26&amp;"）"),$N25)</f>
        <v/>
      </c>
      <c r="O26" s="38">
        <f>IF(AND($I26=1,$C26="内务违规"),IF($O25="",$B26&amp;"（"&amp;$F26&amp;"）",$O25&amp;"；"&amp;$B26&amp;"（"&amp;$F26&amp;"）"),$O25)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12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IF(SUMIFS('关键词库'!$C$2:$C$1679,'关键词库'!$B$2:$B$1679,$B27)&gt;0,1,0)</f>
        <v/>
      </c>
      <c r="H27" s="38">
        <f>IF(SUMIFS('关键词库'!$D$2:$D$1679,'关键词库'!$B$2:$B$1679,$B27)&gt;0,1,0)</f>
        <v/>
      </c>
      <c r="I27" s="38">
        <f>IF(SUMIFS('关键词库'!$E$2:$E$1679,'关键词库'!$B$2:$B$1679,$B27)&gt;0,1,0)</f>
        <v/>
      </c>
      <c r="J27" s="38">
        <f>IF(AND($G27=1,$C27&lt;&gt;"内务违规"),IF($J26="",$B27,$J26&amp;"、"&amp;$B27),$J26)</f>
        <v/>
      </c>
      <c r="K27" s="38">
        <f>IF(AND($H27=1,$C27&lt;&gt;"内务违规"),IF($K26="",$B27,$K26&amp;"、"&amp;$B27),$K26)</f>
        <v/>
      </c>
      <c r="L27" s="38">
        <f>IF(AND($I27=1,$C27&lt;&gt;"内务违规"),IF($L26="",$B27,$L26&amp;"、"&amp;$B27),$L26)</f>
        <v/>
      </c>
      <c r="M27" s="38">
        <f>IF(AND($G27=1,$C27="内务违规"),IF($M26="",$B27&amp;"（"&amp;$F27&amp;"）",$M26&amp;"；"&amp;$B27&amp;"（"&amp;$F27&amp;"）"),$M26)</f>
        <v/>
      </c>
      <c r="N27" s="38">
        <f>IF(AND($H27=1,$C27="内务违规"),IF($N26="",$B27&amp;"（"&amp;$F27&amp;"）",$N26&amp;"；"&amp;$B27&amp;"（"&amp;$F27&amp;"）"),$N26)</f>
        <v/>
      </c>
      <c r="O27" s="38">
        <f>IF(AND($I27=1,$C27="内务违规"),IF($O26="",$B27&amp;"（"&amp;$F27&amp;"）",$O26&amp;"；"&amp;$B27&amp;"（"&amp;$F27&amp;"）"),$O26)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36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IF(SUMIFS('关键词库'!$C$2:$C$1679,'关键词库'!$B$2:$B$1679,$B28)&gt;0,1,0)</f>
        <v/>
      </c>
      <c r="H28" s="38">
        <f>IF(SUMIFS('关键词库'!$D$2:$D$1679,'关键词库'!$B$2:$B$1679,$B28)&gt;0,1,0)</f>
        <v/>
      </c>
      <c r="I28" s="38">
        <f>IF(SUMIFS('关键词库'!$E$2:$E$1679,'关键词库'!$B$2:$B$1679,$B28)&gt;0,1,0)</f>
        <v/>
      </c>
      <c r="J28" s="38">
        <f>IF(AND($G28=1,$C28&lt;&gt;"内务违规"),IF($J27="",$B28,$J27&amp;"、"&amp;$B28),$J27)</f>
        <v/>
      </c>
      <c r="K28" s="38">
        <f>IF(AND($H28=1,$C28&lt;&gt;"内务违规"),IF($K27="",$B28,$K27&amp;"、"&amp;$B28),$K27)</f>
        <v/>
      </c>
      <c r="L28" s="38">
        <f>IF(AND($I28=1,$C28&lt;&gt;"内务违规"),IF($L27="",$B28,$L27&amp;"、"&amp;$B28),$L27)</f>
        <v/>
      </c>
      <c r="M28" s="38">
        <f>IF(AND($G28=1,$C28="内务违规"),IF($M27="",$B28&amp;"（"&amp;$F28&amp;"）",$M27&amp;"；"&amp;$B28&amp;"（"&amp;$F28&amp;"）"),$M27)</f>
        <v/>
      </c>
      <c r="N28" s="38">
        <f>IF(AND($H28=1,$C28="内务违规"),IF($N27="",$B28&amp;"（"&amp;$F28&amp;"）",$N27&amp;"；"&amp;$B28&amp;"（"&amp;$F28&amp;"）"),$N27)</f>
        <v/>
      </c>
      <c r="O28" s="38">
        <f>IF(AND($I28=1,$C28="内务违规"),IF($O27="",$B28&amp;"（"&amp;$F28&amp;"）",$O27&amp;"；"&amp;$B28&amp;"（"&amp;$F28&amp;"）"),$O27)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24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IF(SUMIFS('关键词库'!$C$2:$C$1679,'关键词库'!$B$2:$B$1679,$B29)&gt;0,1,0)</f>
        <v/>
      </c>
      <c r="H29" s="38">
        <f>IF(SUMIFS('关键词库'!$D$2:$D$1679,'关键词库'!$B$2:$B$1679,$B29)&gt;0,1,0)</f>
        <v/>
      </c>
      <c r="I29" s="38">
        <f>IF(SUMIFS('关键词库'!$E$2:$E$1679,'关键词库'!$B$2:$B$1679,$B29)&gt;0,1,0)</f>
        <v/>
      </c>
      <c r="J29" s="38">
        <f>IF(AND($G29=1,$C29&lt;&gt;"内务违规"),IF($J28="",$B29,$J28&amp;"、"&amp;$B29),$J28)</f>
        <v/>
      </c>
      <c r="K29" s="38">
        <f>IF(AND($H29=1,$C29&lt;&gt;"内务违规"),IF($K28="",$B29,$K28&amp;"、"&amp;$B29),$K28)</f>
        <v/>
      </c>
      <c r="L29" s="38">
        <f>IF(AND($I29=1,$C29&lt;&gt;"内务违规"),IF($L28="",$B29,$L28&amp;"、"&amp;$B29),$L28)</f>
        <v/>
      </c>
      <c r="M29" s="38">
        <f>IF(AND($G29=1,$C29="内务违规"),IF($M28="",$B29&amp;"（"&amp;$F29&amp;"）",$M28&amp;"；"&amp;$B29&amp;"（"&amp;$F29&amp;"）"),$M28)</f>
        <v/>
      </c>
      <c r="N29" s="38">
        <f>IF(AND($H29=1,$C29="内务违规"),IF($N28="",$B29&amp;"（"&amp;$F29&amp;"）",$N28&amp;"；"&amp;$B29&amp;"（"&amp;$F29&amp;"）"),$N28)</f>
        <v/>
      </c>
      <c r="O29" s="38">
        <f>IF(AND($I29=1,$C29="内务违规"),IF($O28="",$B29&amp;"（"&amp;$F29&amp;"）",$O28&amp;"；"&amp;$B29&amp;"（"&amp;$F29&amp;"）"),$O28)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24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IF(SUMIFS('关键词库'!$C$2:$C$1679,'关键词库'!$B$2:$B$1679,$B30)&gt;0,1,0)</f>
        <v/>
      </c>
      <c r="H30" s="38">
        <f>IF(SUMIFS('关键词库'!$D$2:$D$1679,'关键词库'!$B$2:$B$1679,$B30)&gt;0,1,0)</f>
        <v/>
      </c>
      <c r="I30" s="38">
        <f>IF(SUMIFS('关键词库'!$E$2:$E$1679,'关键词库'!$B$2:$B$1679,$B30)&gt;0,1,0)</f>
        <v/>
      </c>
      <c r="J30" s="38">
        <f>IF(AND($G30=1,$C30&lt;&gt;"内务违规"),IF($J29="",$B30,$J29&amp;"、"&amp;$B30),$J29)</f>
        <v/>
      </c>
      <c r="K30" s="38">
        <f>IF(AND($H30=1,$C30&lt;&gt;"内务违规"),IF($K29="",$B30,$K29&amp;"、"&amp;$B30),$K29)</f>
        <v/>
      </c>
      <c r="L30" s="38">
        <f>IF(AND($I30=1,$C30&lt;&gt;"内务违规"),IF($L29="",$B30,$L29&amp;"、"&amp;$B30),$L29)</f>
        <v/>
      </c>
      <c r="M30" s="38">
        <f>IF(AND($G30=1,$C30="内务违规"),IF($M29="",$B30&amp;"（"&amp;$F30&amp;"）",$M29&amp;"；"&amp;$B30&amp;"（"&amp;$F30&amp;"）"),$M29)</f>
        <v/>
      </c>
      <c r="N30" s="38">
        <f>IF(AND($H30=1,$C30="内务违规"),IF($N29="",$B30&amp;"（"&amp;$F30&amp;"）",$N29&amp;"；"&amp;$B30&amp;"（"&amp;$F30&amp;"）"),$N29)</f>
        <v/>
      </c>
      <c r="O30" s="38">
        <f>IF(AND($I30=1,$C30="内务违规"),IF($O29="",$B30&amp;"（"&amp;$F30&amp;"）",$O29&amp;"；"&amp;$B30&amp;"（"&amp;$F30&amp;"）"),$O29)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36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IF(SUMIFS('关键词库'!$C$2:$C$1679,'关键词库'!$B$2:$B$1679,$B31)&gt;0,1,0)</f>
        <v/>
      </c>
      <c r="H31" s="38">
        <f>IF(SUMIFS('关键词库'!$D$2:$D$1679,'关键词库'!$B$2:$B$1679,$B31)&gt;0,1,0)</f>
        <v/>
      </c>
      <c r="I31" s="38">
        <f>IF(SUMIFS('关键词库'!$E$2:$E$1679,'关键词库'!$B$2:$B$1679,$B31)&gt;0,1,0)</f>
        <v/>
      </c>
      <c r="J31" s="38">
        <f>IF(AND($G31=1,$C31&lt;&gt;"内务违规"),IF($J30="",$B31,$J30&amp;"、"&amp;$B31),$J30)</f>
        <v/>
      </c>
      <c r="K31" s="38">
        <f>IF(AND($H31=1,$C31&lt;&gt;"内务违规"),IF($K30="",$B31,$K30&amp;"、"&amp;$B31),$K30)</f>
        <v/>
      </c>
      <c r="L31" s="38">
        <f>IF(AND($I31=1,$C31&lt;&gt;"内务违规"),IF($L30="",$B31,$L30&amp;"、"&amp;$B31),$L30)</f>
        <v/>
      </c>
      <c r="M31" s="38">
        <f>IF(AND($G31=1,$C31="内务违规"),IF($M30="",$B31&amp;"（"&amp;$F31&amp;"）",$M30&amp;"；"&amp;$B31&amp;"（"&amp;$F31&amp;"）"),$M30)</f>
        <v/>
      </c>
      <c r="N31" s="38">
        <f>IF(AND($H31=1,$C31="内务违规"),IF($N30="",$B31&amp;"（"&amp;$F31&amp;"）",$N30&amp;"；"&amp;$B31&amp;"（"&amp;$F31&amp;"）"),$N30)</f>
        <v/>
      </c>
      <c r="O31" s="38">
        <f>IF(AND($I31=1,$C31="内务违规"),IF($O30="",$B31&amp;"（"&amp;$F31&amp;"）",$O30&amp;"；"&amp;$B31&amp;"（"&amp;$F31&amp;"）"),$O30)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36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IF(SUMIFS('关键词库'!$C$2:$C$1679,'关键词库'!$B$2:$B$1679,$B32)&gt;0,1,0)</f>
        <v/>
      </c>
      <c r="H32" s="38">
        <f>IF(SUMIFS('关键词库'!$D$2:$D$1679,'关键词库'!$B$2:$B$1679,$B32)&gt;0,1,0)</f>
        <v/>
      </c>
      <c r="I32" s="38">
        <f>IF(SUMIFS('关键词库'!$E$2:$E$1679,'关键词库'!$B$2:$B$1679,$B32)&gt;0,1,0)</f>
        <v/>
      </c>
      <c r="J32" s="38">
        <f>IF(AND($G32=1,$C32&lt;&gt;"内务违规"),IF($J31="",$B32,$J31&amp;"、"&amp;$B32),$J31)</f>
        <v/>
      </c>
      <c r="K32" s="38">
        <f>IF(AND($H32=1,$C32&lt;&gt;"内务违规"),IF($K31="",$B32,$K31&amp;"、"&amp;$B32),$K31)</f>
        <v/>
      </c>
      <c r="L32" s="38">
        <f>IF(AND($I32=1,$C32&lt;&gt;"内务违规"),IF($L31="",$B32,$L31&amp;"、"&amp;$B32),$L31)</f>
        <v/>
      </c>
      <c r="M32" s="38">
        <f>IF(AND($G32=1,$C32="内务违规"),IF($M31="",$B32&amp;"（"&amp;$F32&amp;"）",$M31&amp;"；"&amp;$B32&amp;"（"&amp;$F32&amp;"）"),$M31)</f>
        <v/>
      </c>
      <c r="N32" s="38">
        <f>IF(AND($H32=1,$C32="内务违规"),IF($N31="",$B32&amp;"（"&amp;$F32&amp;"）",$N31&amp;"；"&amp;$B32&amp;"（"&amp;$F32&amp;"）"),$N31)</f>
        <v/>
      </c>
      <c r="O32" s="38">
        <f>IF(AND($I32=1,$C32="内务违规"),IF($O31="",$B32&amp;"（"&amp;$F32&amp;"）",$O31&amp;"；"&amp;$B32&amp;"（"&amp;$F32&amp;"）"),$O31)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12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IF(SUMIFS('关键词库'!$C$2:$C$1679,'关键词库'!$B$2:$B$1679,$B33)&gt;0,1,0)</f>
        <v/>
      </c>
      <c r="H33" s="38">
        <f>IF(SUMIFS('关键词库'!$D$2:$D$1679,'关键词库'!$B$2:$B$1679,$B33)&gt;0,1,0)</f>
        <v/>
      </c>
      <c r="I33" s="38">
        <f>IF(SUMIFS('关键词库'!$E$2:$E$1679,'关键词库'!$B$2:$B$1679,$B33)&gt;0,1,0)</f>
        <v/>
      </c>
      <c r="J33" s="38">
        <f>IF(AND($G33=1,$C33&lt;&gt;"内务违规"),IF($J32="",$B33,$J32&amp;"、"&amp;$B33),$J32)</f>
        <v/>
      </c>
      <c r="K33" s="38">
        <f>IF(AND($H33=1,$C33&lt;&gt;"内务违规"),IF($K32="",$B33,$K32&amp;"、"&amp;$B33),$K32)</f>
        <v/>
      </c>
      <c r="L33" s="38">
        <f>IF(AND($I33=1,$C33&lt;&gt;"内务违规"),IF($L32="",$B33,$L32&amp;"、"&amp;$B33),$L32)</f>
        <v/>
      </c>
      <c r="M33" s="38">
        <f>IF(AND($G33=1,$C33="内务违规"),IF($M32="",$B33&amp;"（"&amp;$F33&amp;"）",$M32&amp;"；"&amp;$B33&amp;"（"&amp;$F33&amp;"）"),$M32)</f>
        <v/>
      </c>
      <c r="N33" s="38">
        <f>IF(AND($H33=1,$C33="内务违规"),IF($N32="",$B33&amp;"（"&amp;$F33&amp;"）",$N32&amp;"；"&amp;$B33&amp;"（"&amp;$F33&amp;"）"),$N32)</f>
        <v/>
      </c>
      <c r="O33" s="38">
        <f>IF(AND($I33=1,$C33="内务违规"),IF($O32="",$B33&amp;"（"&amp;$F33&amp;"）",$O32&amp;"；"&amp;$B33&amp;"（"&amp;$F33&amp;"）"),$O32)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36</v>
      </c>
      <c r="E34" s="36" t="n">
        <v>20000</v>
      </c>
      <c r="F34" s="37" t="inlineStr">
        <is>
          <t>隐瞒/销毁/篡改/伪造证据</t>
        </is>
      </c>
      <c r="G34" s="38">
        <f>IF(SUMIFS('关键词库'!$C$2:$C$1679,'关键词库'!$B$2:$B$1679,$B34)&gt;0,1,0)</f>
        <v/>
      </c>
      <c r="H34" s="38">
        <f>IF(SUMIFS('关键词库'!$D$2:$D$1679,'关键词库'!$B$2:$B$1679,$B34)&gt;0,1,0)</f>
        <v/>
      </c>
      <c r="I34" s="38">
        <f>IF(SUMIFS('关键词库'!$E$2:$E$1679,'关键词库'!$B$2:$B$1679,$B34)&gt;0,1,0)</f>
        <v/>
      </c>
      <c r="J34" s="38">
        <f>IF(AND($G34=1,$C34&lt;&gt;"内务违规"),IF($J33="",$B34,$J33&amp;"、"&amp;$B34),$J33)</f>
        <v/>
      </c>
      <c r="K34" s="38">
        <f>IF(AND($H34=1,$C34&lt;&gt;"内务违规"),IF($K33="",$B34,$K33&amp;"、"&amp;$B34),$K33)</f>
        <v/>
      </c>
      <c r="L34" s="38">
        <f>IF(AND($I34=1,$C34&lt;&gt;"内务违规"),IF($L33="",$B34,$L33&amp;"、"&amp;$B34),$L33)</f>
        <v/>
      </c>
      <c r="M34" s="38">
        <f>IF(AND($G34=1,$C34="内务违规"),IF($M33="",$B34&amp;"（"&amp;$F34&amp;"）",$M33&amp;"；"&amp;$B34&amp;"（"&amp;$F34&amp;"）"),$M33)</f>
        <v/>
      </c>
      <c r="N34" s="38">
        <f>IF(AND($H34=1,$C34="内务违规"),IF($N33="",$B34&amp;"（"&amp;$F34&amp;"）",$N33&amp;"；"&amp;$B34&amp;"（"&amp;$F34&amp;"）"),$N33)</f>
        <v/>
      </c>
      <c r="O34" s="38">
        <f>IF(AND($I34=1,$C34="内务违规"),IF($O33="",$B34&amp;"（"&amp;$F34&amp;"）",$O33&amp;"；"&amp;$B34&amp;"（"&amp;$F34&amp;"）"),$O33)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24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IF(SUMIFS('关键词库'!$C$2:$C$1679,'关键词库'!$B$2:$B$1679,$B35)&gt;0,1,0)</f>
        <v/>
      </c>
      <c r="H35" s="38">
        <f>IF(SUMIFS('关键词库'!$D$2:$D$1679,'关键词库'!$B$2:$B$1679,$B35)&gt;0,1,0)</f>
        <v/>
      </c>
      <c r="I35" s="38">
        <f>IF(SUMIFS('关键词库'!$E$2:$E$1679,'关键词库'!$B$2:$B$1679,$B35)&gt;0,1,0)</f>
        <v/>
      </c>
      <c r="J35" s="38">
        <f>IF(AND($G35=1,$C35&lt;&gt;"内务违规"),IF($J34="",$B35,$J34&amp;"、"&amp;$B35),$J34)</f>
        <v/>
      </c>
      <c r="K35" s="38">
        <f>IF(AND($H35=1,$C35&lt;&gt;"内务违规"),IF($K34="",$B35,$K34&amp;"、"&amp;$B35),$K34)</f>
        <v/>
      </c>
      <c r="L35" s="38">
        <f>IF(AND($I35=1,$C35&lt;&gt;"内务违规"),IF($L34="",$B35,$L34&amp;"、"&amp;$B35),$L34)</f>
        <v/>
      </c>
      <c r="M35" s="38">
        <f>IF(AND($G35=1,$C35="内务违规"),IF($M34="",$B35&amp;"（"&amp;$F35&amp;"）",$M34&amp;"；"&amp;$B35&amp;"（"&amp;$F35&amp;"）"),$M34)</f>
        <v/>
      </c>
      <c r="N35" s="38">
        <f>IF(AND($H35=1,$C35="内务违规"),IF($N34="",$B35&amp;"（"&amp;$F35&amp;"）",$N34&amp;"；"&amp;$B35&amp;"（"&amp;$F35&amp;"）"),$N34)</f>
        <v/>
      </c>
      <c r="O35" s="38">
        <f>IF(AND($I35=1,$C35="内务违规"),IF($O34="",$B35&amp;"（"&amp;$F35&amp;"）",$O34&amp;"；"&amp;$B35&amp;"（"&amp;$F35&amp;"）"),$O34)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48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IF(SUMIFS('关键词库'!$C$2:$C$1679,'关键词库'!$B$2:$B$1679,$B36)&gt;0,1,0)</f>
        <v/>
      </c>
      <c r="H36" s="38">
        <f>IF(SUMIFS('关键词库'!$D$2:$D$1679,'关键词库'!$B$2:$B$1679,$B36)&gt;0,1,0)</f>
        <v/>
      </c>
      <c r="I36" s="38">
        <f>IF(SUMIFS('关键词库'!$E$2:$E$1679,'关键词库'!$B$2:$B$1679,$B36)&gt;0,1,0)</f>
        <v/>
      </c>
      <c r="J36" s="38">
        <f>IF(AND($G36=1,$C36&lt;&gt;"内务违规"),IF($J35="",$B36,$J35&amp;"、"&amp;$B36),$J35)</f>
        <v/>
      </c>
      <c r="K36" s="38">
        <f>IF(AND($H36=1,$C36&lt;&gt;"内务违规"),IF($K35="",$B36,$K35&amp;"、"&amp;$B36),$K35)</f>
        <v/>
      </c>
      <c r="L36" s="38">
        <f>IF(AND($I36=1,$C36&lt;&gt;"内务违规"),IF($L35="",$B36,$L35&amp;"、"&amp;$B36),$L35)</f>
        <v/>
      </c>
      <c r="M36" s="38">
        <f>IF(AND($G36=1,$C36="内务违规"),IF($M35="",$B36&amp;"（"&amp;$F36&amp;"）",$M35&amp;"；"&amp;$B36&amp;"（"&amp;$F36&amp;"）"),$M35)</f>
        <v/>
      </c>
      <c r="N36" s="38">
        <f>IF(AND($H36=1,$C36="内务违规"),IF($N35="",$B36&amp;"（"&amp;$F36&amp;"）",$N35&amp;"；"&amp;$B36&amp;"（"&amp;$F36&amp;"）"),$N35)</f>
        <v/>
      </c>
      <c r="O36" s="38">
        <f>IF(AND($I36=1,$C36="内务违规"),IF($O35="",$B36&amp;"（"&amp;$F36&amp;"）",$O35&amp;"；"&amp;$B36&amp;"（"&amp;$F36&amp;"）"),$O35)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48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IF(SUMIFS('关键词库'!$C$2:$C$1679,'关键词库'!$B$2:$B$1679,$B37)&gt;0,1,0)</f>
        <v/>
      </c>
      <c r="H37" s="38">
        <f>IF(SUMIFS('关键词库'!$D$2:$D$1679,'关键词库'!$B$2:$B$1679,$B37)&gt;0,1,0)</f>
        <v/>
      </c>
      <c r="I37" s="38">
        <f>IF(SUMIFS('关键词库'!$E$2:$E$1679,'关键词库'!$B$2:$B$1679,$B37)&gt;0,1,0)</f>
        <v/>
      </c>
      <c r="J37" s="38">
        <f>IF(AND($G37=1,$C37&lt;&gt;"内务违规"),IF($J36="",$B37,$J36&amp;"、"&amp;$B37),$J36)</f>
        <v/>
      </c>
      <c r="K37" s="38">
        <f>IF(AND($H37=1,$C37&lt;&gt;"内务违规"),IF($K36="",$B37,$K36&amp;"、"&amp;$B37),$K36)</f>
        <v/>
      </c>
      <c r="L37" s="38">
        <f>IF(AND($I37=1,$C37&lt;&gt;"内务违规"),IF($L36="",$B37,$L36&amp;"、"&amp;$B37),$L36)</f>
        <v/>
      </c>
      <c r="M37" s="38">
        <f>IF(AND($G37=1,$C37="内务违规"),IF($M36="",$B37&amp;"（"&amp;$F37&amp;"）",$M36&amp;"；"&amp;$B37&amp;"（"&amp;$F37&amp;"）"),$M36)</f>
        <v/>
      </c>
      <c r="N37" s="38">
        <f>IF(AND($H37=1,$C37="内务违规"),IF($N36="",$B37&amp;"（"&amp;$F37&amp;"）",$N36&amp;"；"&amp;$B37&amp;"（"&amp;$F37&amp;"）"),$N36)</f>
        <v/>
      </c>
      <c r="O37" s="38">
        <f>IF(AND($I37=1,$C37="内务违规"),IF($O36="",$B37&amp;"（"&amp;$F37&amp;"）",$O36&amp;"；"&amp;$B37&amp;"（"&amp;$F37&amp;"）"),$O36)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36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IF(SUMIFS('关键词库'!$C$2:$C$1679,'关键词库'!$B$2:$B$1679,$B38)&gt;0,1,0)</f>
        <v/>
      </c>
      <c r="H38" s="38">
        <f>IF(SUMIFS('关键词库'!$D$2:$D$1679,'关键词库'!$B$2:$B$1679,$B38)&gt;0,1,0)</f>
        <v/>
      </c>
      <c r="I38" s="38">
        <f>IF(SUMIFS('关键词库'!$E$2:$E$1679,'关键词库'!$B$2:$B$1679,$B38)&gt;0,1,0)</f>
        <v/>
      </c>
      <c r="J38" s="38">
        <f>IF(AND($G38=1,$C38&lt;&gt;"内务违规"),IF($J37="",$B38,$J37&amp;"、"&amp;$B38),$J37)</f>
        <v/>
      </c>
      <c r="K38" s="38">
        <f>IF(AND($H38=1,$C38&lt;&gt;"内务违规"),IF($K37="",$B38,$K37&amp;"、"&amp;$B38),$K37)</f>
        <v/>
      </c>
      <c r="L38" s="38">
        <f>IF(AND($I38=1,$C38&lt;&gt;"内务违规"),IF($L37="",$B38,$L37&amp;"、"&amp;$B38),$L37)</f>
        <v/>
      </c>
      <c r="M38" s="38">
        <f>IF(AND($G38=1,$C38="内务违规"),IF($M37="",$B38&amp;"（"&amp;$F38&amp;"）",$M37&amp;"；"&amp;$B38&amp;"（"&amp;$F38&amp;"）"),$M37)</f>
        <v/>
      </c>
      <c r="N38" s="38">
        <f>IF(AND($H38=1,$C38="内务违规"),IF($N37="",$B38&amp;"（"&amp;$F38&amp;"）",$N37&amp;"；"&amp;$B38&amp;"（"&amp;$F38&amp;"）"),$N37)</f>
        <v/>
      </c>
      <c r="O38" s="38">
        <f>IF(AND($I38=1,$C38="内务违规"),IF($O37="",$B38&amp;"（"&amp;$F38&amp;"）",$O37&amp;"；"&amp;$B38&amp;"（"&amp;$F38&amp;"）"),$O37)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36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IF(SUMIFS('关键词库'!$C$2:$C$1679,'关键词库'!$B$2:$B$1679,$B39)&gt;0,1,0)</f>
        <v/>
      </c>
      <c r="H39" s="38">
        <f>IF(SUMIFS('关键词库'!$D$2:$D$1679,'关键词库'!$B$2:$B$1679,$B39)&gt;0,1,0)</f>
        <v/>
      </c>
      <c r="I39" s="38">
        <f>IF(SUMIFS('关键词库'!$E$2:$E$1679,'关键词库'!$B$2:$B$1679,$B39)&gt;0,1,0)</f>
        <v/>
      </c>
      <c r="J39" s="38">
        <f>IF(AND($G39=1,$C39&lt;&gt;"内务违规"),IF($J38="",$B39,$J38&amp;"、"&amp;$B39),$J38)</f>
        <v/>
      </c>
      <c r="K39" s="38">
        <f>IF(AND($H39=1,$C39&lt;&gt;"内务违规"),IF($K38="",$B39,$K38&amp;"、"&amp;$B39),$K38)</f>
        <v/>
      </c>
      <c r="L39" s="38">
        <f>IF(AND($I39=1,$C39&lt;&gt;"内务违规"),IF($L38="",$B39,$L38&amp;"、"&amp;$B39),$L38)</f>
        <v/>
      </c>
      <c r="M39" s="38">
        <f>IF(AND($G39=1,$C39="内务违规"),IF($M38="",$B39&amp;"（"&amp;$F39&amp;"）",$M38&amp;"；"&amp;$B39&amp;"（"&amp;$F39&amp;"）"),$M38)</f>
        <v/>
      </c>
      <c r="N39" s="38">
        <f>IF(AND($H39=1,$C39="内务违规"),IF($N38="",$B39&amp;"（"&amp;$F39&amp;"）",$N38&amp;"；"&amp;$B39&amp;"（"&amp;$F39&amp;"）"),$N38)</f>
        <v/>
      </c>
      <c r="O39" s="38">
        <f>IF(AND($I39=1,$C39="内务违规"),IF($O38="",$B39&amp;"（"&amp;$F39&amp;"）",$O38&amp;"；"&amp;$B39&amp;"（"&amp;$F39&amp;"）"),$O38)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36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IF(SUMIFS('关键词库'!$C$2:$C$1679,'关键词库'!$B$2:$B$1679,$B40)&gt;0,1,0)</f>
        <v/>
      </c>
      <c r="H40" s="38">
        <f>IF(SUMIFS('关键词库'!$D$2:$D$1679,'关键词库'!$B$2:$B$1679,$B40)&gt;0,1,0)</f>
        <v/>
      </c>
      <c r="I40" s="38">
        <f>IF(SUMIFS('关键词库'!$E$2:$E$1679,'关键词库'!$B$2:$B$1679,$B40)&gt;0,1,0)</f>
        <v/>
      </c>
      <c r="J40" s="38">
        <f>IF(AND($G40=1,$C40&lt;&gt;"内务违规"),IF($J39="",$B40,$J39&amp;"、"&amp;$B40),$J39)</f>
        <v/>
      </c>
      <c r="K40" s="38">
        <f>IF(AND($H40=1,$C40&lt;&gt;"内务违规"),IF($K39="",$B40,$K39&amp;"、"&amp;$B40),$K39)</f>
        <v/>
      </c>
      <c r="L40" s="38">
        <f>IF(AND($I40=1,$C40&lt;&gt;"内务违规"),IF($L39="",$B40,$L39&amp;"、"&amp;$B40),$L39)</f>
        <v/>
      </c>
      <c r="M40" s="38">
        <f>IF(AND($G40=1,$C40="内务违规"),IF($M39="",$B40&amp;"（"&amp;$F40&amp;"）",$M39&amp;"；"&amp;$B40&amp;"（"&amp;$F40&amp;"）"),$M39)</f>
        <v/>
      </c>
      <c r="N40" s="38">
        <f>IF(AND($H40=1,$C40="内务违规"),IF($N39="",$B40&amp;"（"&amp;$F40&amp;"）",$N39&amp;"；"&amp;$B40&amp;"（"&amp;$F40&amp;"）"),$N39)</f>
        <v/>
      </c>
      <c r="O40" s="38">
        <f>IF(AND($I40=1,$C40="内务违规"),IF($O39="",$B40&amp;"（"&amp;$F40&amp;"）",$O39&amp;"；"&amp;$B40&amp;"（"&amp;$F40&amp;"）"),$O39)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36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IF(SUMIFS('关键词库'!$C$2:$C$1679,'关键词库'!$B$2:$B$1679,$B41)&gt;0,1,0)</f>
        <v/>
      </c>
      <c r="H41" s="38">
        <f>IF(SUMIFS('关键词库'!$D$2:$D$1679,'关键词库'!$B$2:$B$1679,$B41)&gt;0,1,0)</f>
        <v/>
      </c>
      <c r="I41" s="38">
        <f>IF(SUMIFS('关键词库'!$E$2:$E$1679,'关键词库'!$B$2:$B$1679,$B41)&gt;0,1,0)</f>
        <v/>
      </c>
      <c r="J41" s="38">
        <f>IF(AND($G41=1,$C41&lt;&gt;"内务违规"),IF($J40="",$B41,$J40&amp;"、"&amp;$B41),$J40)</f>
        <v/>
      </c>
      <c r="K41" s="38">
        <f>IF(AND($H41=1,$C41&lt;&gt;"内务违规"),IF($K40="",$B41,$K40&amp;"、"&amp;$B41),$K40)</f>
        <v/>
      </c>
      <c r="L41" s="38">
        <f>IF(AND($I41=1,$C41&lt;&gt;"内务违规"),IF($L40="",$B41,$L40&amp;"、"&amp;$B41),$L40)</f>
        <v/>
      </c>
      <c r="M41" s="38">
        <f>IF(AND($G41=1,$C41="内务违规"),IF($M40="",$B41&amp;"（"&amp;$F41&amp;"）",$M40&amp;"；"&amp;$B41&amp;"（"&amp;$F41&amp;"）"),$M40)</f>
        <v/>
      </c>
      <c r="N41" s="38">
        <f>IF(AND($H41=1,$C41="内务违规"),IF($N40="",$B41&amp;"（"&amp;$F41&amp;"）",$N40&amp;"；"&amp;$B41&amp;"（"&amp;$F41&amp;"）"),$N40)</f>
        <v/>
      </c>
      <c r="O41" s="38">
        <f>IF(AND($I41=1,$C41="内务违规"),IF($O40="",$B41&amp;"（"&amp;$F41&amp;"）",$O40&amp;"；"&amp;$B41&amp;"（"&amp;$F41&amp;"）"),$O40)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48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IF(SUMIFS('关键词库'!$C$2:$C$1679,'关键词库'!$B$2:$B$1679,$B42)&gt;0,1,0)</f>
        <v/>
      </c>
      <c r="H42" s="38">
        <f>IF(SUMIFS('关键词库'!$D$2:$D$1679,'关键词库'!$B$2:$B$1679,$B42)&gt;0,1,0)</f>
        <v/>
      </c>
      <c r="I42" s="38">
        <f>IF(SUMIFS('关键词库'!$E$2:$E$1679,'关键词库'!$B$2:$B$1679,$B42)&gt;0,1,0)</f>
        <v/>
      </c>
      <c r="J42" s="38">
        <f>IF(AND($G42=1,$C42&lt;&gt;"内务违规"),IF($J41="",$B42,$J41&amp;"、"&amp;$B42),$J41)</f>
        <v/>
      </c>
      <c r="K42" s="38">
        <f>IF(AND($H42=1,$C42&lt;&gt;"内务违规"),IF($K41="",$B42,$K41&amp;"、"&amp;$B42),$K41)</f>
        <v/>
      </c>
      <c r="L42" s="38">
        <f>IF(AND($I42=1,$C42&lt;&gt;"内务违规"),IF($L41="",$B42,$L41&amp;"、"&amp;$B42),$L41)</f>
        <v/>
      </c>
      <c r="M42" s="38">
        <f>IF(AND($G42=1,$C42="内务违规"),IF($M41="",$B42&amp;"（"&amp;$F42&amp;"）",$M41&amp;"；"&amp;$B42&amp;"（"&amp;$F42&amp;"）"),$M41)</f>
        <v/>
      </c>
      <c r="N42" s="38">
        <f>IF(AND($H42=1,$C42="内务违规"),IF($N41="",$B42&amp;"（"&amp;$F42&amp;"）",$N41&amp;"；"&amp;$B42&amp;"（"&amp;$F42&amp;"）"),$N41)</f>
        <v/>
      </c>
      <c r="O42" s="38">
        <f>IF(AND($I42=1,$C42="内务违规"),IF($O41="",$B42&amp;"（"&amp;$F42&amp;"）",$O41&amp;"；"&amp;$B42&amp;"（"&amp;$F42&amp;"）"),$O41)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12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IF(SUMIFS('关键词库'!$C$2:$C$1679,'关键词库'!$B$2:$B$1679,$B43)&gt;0,1,0)</f>
        <v/>
      </c>
      <c r="H43" s="38">
        <f>IF(SUMIFS('关键词库'!$D$2:$D$1679,'关键词库'!$B$2:$B$1679,$B43)&gt;0,1,0)</f>
        <v/>
      </c>
      <c r="I43" s="38">
        <f>IF(SUMIFS('关键词库'!$E$2:$E$1679,'关键词库'!$B$2:$B$1679,$B43)&gt;0,1,0)</f>
        <v/>
      </c>
      <c r="J43" s="38">
        <f>IF(AND($G43=1,$C43&lt;&gt;"内务违规"),IF($J42="",$B43,$J42&amp;"、"&amp;$B43),$J42)</f>
        <v/>
      </c>
      <c r="K43" s="38">
        <f>IF(AND($H43=1,$C43&lt;&gt;"内务违规"),IF($K42="",$B43,$K42&amp;"、"&amp;$B43),$K42)</f>
        <v/>
      </c>
      <c r="L43" s="38">
        <f>IF(AND($I43=1,$C43&lt;&gt;"内务违规"),IF($L42="",$B43,$L42&amp;"、"&amp;$B43),$L42)</f>
        <v/>
      </c>
      <c r="M43" s="38">
        <f>IF(AND($G43=1,$C43="内务违规"),IF($M42="",$B43&amp;"（"&amp;$F43&amp;"）",$M42&amp;"；"&amp;$B43&amp;"（"&amp;$F43&amp;"）"),$M42)</f>
        <v/>
      </c>
      <c r="N43" s="38">
        <f>IF(AND($H43=1,$C43="内务违规"),IF($N42="",$B43&amp;"（"&amp;$F43&amp;"）",$N42&amp;"；"&amp;$B43&amp;"（"&amp;$F43&amp;"）"),$N42)</f>
        <v/>
      </c>
      <c r="O43" s="38">
        <f>IF(AND($I43=1,$C43="内务违规"),IF($O42="",$B43&amp;"（"&amp;$F43&amp;"）",$O42&amp;"；"&amp;$B43&amp;"（"&amp;$F43&amp;"）"),$O42)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12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IF(SUMIFS('关键词库'!$C$2:$C$1679,'关键词库'!$B$2:$B$1679,$B44)&gt;0,1,0)</f>
        <v/>
      </c>
      <c r="H44" s="38">
        <f>IF(SUMIFS('关键词库'!$D$2:$D$1679,'关键词库'!$B$2:$B$1679,$B44)&gt;0,1,0)</f>
        <v/>
      </c>
      <c r="I44" s="38">
        <f>IF(SUMIFS('关键词库'!$E$2:$E$1679,'关键词库'!$B$2:$B$1679,$B44)&gt;0,1,0)</f>
        <v/>
      </c>
      <c r="J44" s="38">
        <f>IF(AND($G44=1,$C44&lt;&gt;"内务违规"),IF($J43="",$B44,$J43&amp;"、"&amp;$B44),$J43)</f>
        <v/>
      </c>
      <c r="K44" s="38">
        <f>IF(AND($H44=1,$C44&lt;&gt;"内务违规"),IF($K43="",$B44,$K43&amp;"、"&amp;$B44),$K43)</f>
        <v/>
      </c>
      <c r="L44" s="38">
        <f>IF(AND($I44=1,$C44&lt;&gt;"内务违规"),IF($L43="",$B44,$L43&amp;"、"&amp;$B44),$L43)</f>
        <v/>
      </c>
      <c r="M44" s="38">
        <f>IF(AND($G44=1,$C44="内务违规"),IF($M43="",$B44&amp;"（"&amp;$F44&amp;"）",$M43&amp;"；"&amp;$B44&amp;"（"&amp;$F44&amp;"）"),$M43)</f>
        <v/>
      </c>
      <c r="N44" s="38">
        <f>IF(AND($H44=1,$C44="内务违规"),IF($N43="",$B44&amp;"（"&amp;$F44&amp;"）",$N43&amp;"；"&amp;$B44&amp;"（"&amp;$F44&amp;"）"),$N43)</f>
        <v/>
      </c>
      <c r="O44" s="38">
        <f>IF(AND($I44=1,$C44="内务违规"),IF($O43="",$B44&amp;"（"&amp;$F44&amp;"）",$O43&amp;"；"&amp;$B44&amp;"（"&amp;$F44&amp;"）"),$O43)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48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IF(SUMIFS('关键词库'!$C$2:$C$1679,'关键词库'!$B$2:$B$1679,$B45)&gt;0,1,0)</f>
        <v/>
      </c>
      <c r="H45" s="38">
        <f>IF(SUMIFS('关键词库'!$D$2:$D$1679,'关键词库'!$B$2:$B$1679,$B45)&gt;0,1,0)</f>
        <v/>
      </c>
      <c r="I45" s="38">
        <f>IF(SUMIFS('关键词库'!$E$2:$E$1679,'关键词库'!$B$2:$B$1679,$B45)&gt;0,1,0)</f>
        <v/>
      </c>
      <c r="J45" s="38">
        <f>IF(AND($G45=1,$C45&lt;&gt;"内务违规"),IF($J44="",$B45,$J44&amp;"、"&amp;$B45),$J44)</f>
        <v/>
      </c>
      <c r="K45" s="38">
        <f>IF(AND($H45=1,$C45&lt;&gt;"内务违规"),IF($K44="",$B45,$K44&amp;"、"&amp;$B45),$K44)</f>
        <v/>
      </c>
      <c r="L45" s="38">
        <f>IF(AND($I45=1,$C45&lt;&gt;"内务违规"),IF($L44="",$B45,$L44&amp;"、"&amp;$B45),$L44)</f>
        <v/>
      </c>
      <c r="M45" s="38">
        <f>IF(AND($G45=1,$C45="内务违规"),IF($M44="",$B45&amp;"（"&amp;$F45&amp;"）",$M44&amp;"；"&amp;$B45&amp;"（"&amp;$F45&amp;"）"),$M44)</f>
        <v/>
      </c>
      <c r="N45" s="38">
        <f>IF(AND($H45=1,$C45="内务违规"),IF($N44="",$B45&amp;"（"&amp;$F45&amp;"）",$N44&amp;"；"&amp;$B45&amp;"（"&amp;$F45&amp;"）"),$N44)</f>
        <v/>
      </c>
      <c r="O45" s="38">
        <f>IF(AND($I45=1,$C45="内务违规"),IF($O44="",$B45&amp;"（"&amp;$F45&amp;"）",$O44&amp;"；"&amp;$B45&amp;"（"&amp;$F45&amp;"）"),$O44)</f>
        <v/>
      </c>
    </row>
    <row r="46" ht="26" customHeight="1">
      <c r="A46" s="33" t="inlineStr">
        <is>
          <t>六·秩序</t>
        </is>
      </c>
      <c r="B46" s="34" t="inlineStr">
        <is>
          <t>扰乱治安罪</t>
        </is>
      </c>
      <c r="C46" s="35" t="inlineStr">
        <is>
          <t>轻罪</t>
        </is>
      </c>
      <c r="D46" s="33" t="n">
        <v>12</v>
      </c>
      <c r="E46" s="36" t="n">
        <v>5000</v>
      </c>
      <c r="F46" s="37" t="inlineStr">
        <is>
          <t>公共场所挑衅/扰乱/冒犯性言语</t>
        </is>
      </c>
      <c r="G46" s="38">
        <f>IF(SUMIFS('关键词库'!$C$2:$C$1679,'关键词库'!$B$2:$B$1679,$B46)&gt;0,1,0)</f>
        <v/>
      </c>
      <c r="H46" s="38">
        <f>IF(SUMIFS('关键词库'!$D$2:$D$1679,'关键词库'!$B$2:$B$1679,$B46)&gt;0,1,0)</f>
        <v/>
      </c>
      <c r="I46" s="38">
        <f>IF(SUMIFS('关键词库'!$E$2:$E$1679,'关键词库'!$B$2:$B$1679,$B46)&gt;0,1,0)</f>
        <v/>
      </c>
      <c r="J46" s="38">
        <f>IF(AND($G46=1,$C46&lt;&gt;"内务违规"),IF($J45="",$B46,$J45&amp;"、"&amp;$B46),$J45)</f>
        <v/>
      </c>
      <c r="K46" s="38">
        <f>IF(AND($H46=1,$C46&lt;&gt;"内务违规"),IF($K45="",$B46,$K45&amp;"、"&amp;$B46),$K45)</f>
        <v/>
      </c>
      <c r="L46" s="38">
        <f>IF(AND($I46=1,$C46&lt;&gt;"内务违规"),IF($L45="",$B46,$L45&amp;"、"&amp;$B46),$L45)</f>
        <v/>
      </c>
      <c r="M46" s="38">
        <f>IF(AND($G46=1,$C46="内务违规"),IF($M45="",$B46&amp;"（"&amp;$F46&amp;"）",$M45&amp;"；"&amp;$B46&amp;"（"&amp;$F46&amp;"）"),$M45)</f>
        <v/>
      </c>
      <c r="N46" s="38">
        <f>IF(AND($H46=1,$C46="内务违规"),IF($N45="",$B46&amp;"（"&amp;$F46&amp;"）",$N45&amp;"；"&amp;$B46&amp;"（"&amp;$F46&amp;"）"),$N45)</f>
        <v/>
      </c>
      <c r="O46" s="38">
        <f>IF(AND($I46=1,$C46="内务违规"),IF($O45="",$B46&amp;"（"&amp;$F46&amp;"）",$O45&amp;"；"&amp;$B46&amp;"（"&amp;$F46&amp;"）"),$O45)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非法集会罪</t>
        </is>
      </c>
      <c r="C47" s="35" t="inlineStr">
        <is>
          <t>轻罪</t>
        </is>
      </c>
      <c r="D47" s="33" t="n">
        <v>12</v>
      </c>
      <c r="E47" s="36" t="n">
        <v>20000</v>
      </c>
      <c r="F47" s="37" t="inlineStr">
        <is>
          <t>两人以上聚集引发骚乱/非法行动</t>
        </is>
      </c>
      <c r="G47" s="38">
        <f>IF(SUMIFS('关键词库'!$C$2:$C$1679,'关键词库'!$B$2:$B$1679,$B47)&gt;0,1,0)</f>
        <v/>
      </c>
      <c r="H47" s="38">
        <f>IF(SUMIFS('关键词库'!$D$2:$D$1679,'关键词库'!$B$2:$B$1679,$B47)&gt;0,1,0)</f>
        <v/>
      </c>
      <c r="I47" s="38">
        <f>IF(SUMIFS('关键词库'!$E$2:$E$1679,'关键词库'!$B$2:$B$1679,$B47)&gt;0,1,0)</f>
        <v/>
      </c>
      <c r="J47" s="38">
        <f>IF(AND($G47=1,$C47&lt;&gt;"内务违规"),IF($J46="",$B47,$J46&amp;"、"&amp;$B47),$J46)</f>
        <v/>
      </c>
      <c r="K47" s="38">
        <f>IF(AND($H47=1,$C47&lt;&gt;"内务违规"),IF($K46="",$B47,$K46&amp;"、"&amp;$B47),$K46)</f>
        <v/>
      </c>
      <c r="L47" s="38">
        <f>IF(AND($I47=1,$C47&lt;&gt;"内务违规"),IF($L46="",$B47,$L46&amp;"、"&amp;$B47),$L46)</f>
        <v/>
      </c>
      <c r="M47" s="38">
        <f>IF(AND($G47=1,$C47="内务违规"),IF($M46="",$B47&amp;"（"&amp;$F47&amp;"）",$M46&amp;"；"&amp;$B47&amp;"（"&amp;$F47&amp;"）"),$M46)</f>
        <v/>
      </c>
      <c r="N47" s="38">
        <f>IF(AND($H47=1,$C47="内务违规"),IF($N46="",$B47&amp;"（"&amp;$F47&amp;"）",$N46&amp;"；"&amp;$B47&amp;"（"&amp;$F47&amp;"）"),$N46)</f>
        <v/>
      </c>
      <c r="O47" s="38">
        <f>IF(AND($I47=1,$C47="内务违规"),IF($O46="",$B47&amp;"（"&amp;$F47&amp;"）",$O46&amp;"；"&amp;$B47&amp;"（"&amp;$F47&amp;"）"),$O46)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煽动暴乱罪</t>
        </is>
      </c>
      <c r="C48" s="39" t="inlineStr">
        <is>
          <t>重罪</t>
        </is>
      </c>
      <c r="D48" s="33" t="n">
        <v>48</v>
      </c>
      <c r="E48" s="36" t="n">
        <v>0</v>
      </c>
      <c r="F48" s="37" t="inlineStr">
        <is>
          <t>意图引起暴乱/鼓励他人暴力破坏(仅监禁)</t>
        </is>
      </c>
      <c r="G48" s="38">
        <f>IF(SUMIFS('关键词库'!$C$2:$C$1679,'关键词库'!$B$2:$B$1679,$B48)&gt;0,1,0)</f>
        <v/>
      </c>
      <c r="H48" s="38">
        <f>IF(SUMIFS('关键词库'!$D$2:$D$1679,'关键词库'!$B$2:$B$1679,$B48)&gt;0,1,0)</f>
        <v/>
      </c>
      <c r="I48" s="38">
        <f>IF(SUMIFS('关键词库'!$E$2:$E$1679,'关键词库'!$B$2:$B$1679,$B48)&gt;0,1,0)</f>
        <v/>
      </c>
      <c r="J48" s="38">
        <f>IF(AND($G48=1,$C48&lt;&gt;"内务违规"),IF($J47="",$B48,$J47&amp;"、"&amp;$B48),$J47)</f>
        <v/>
      </c>
      <c r="K48" s="38">
        <f>IF(AND($H48=1,$C48&lt;&gt;"内务违规"),IF($K47="",$B48,$K47&amp;"、"&amp;$B48),$K47)</f>
        <v/>
      </c>
      <c r="L48" s="38">
        <f>IF(AND($I48=1,$C48&lt;&gt;"内务违规"),IF($L47="",$B48,$L47&amp;"、"&amp;$B48),$L47)</f>
        <v/>
      </c>
      <c r="M48" s="38">
        <f>IF(AND($G48=1,$C48="内务违规"),IF($M47="",$B48&amp;"（"&amp;$F48&amp;"）",$M47&amp;"；"&amp;$B48&amp;"（"&amp;$F48&amp;"）"),$M47)</f>
        <v/>
      </c>
      <c r="N48" s="38">
        <f>IF(AND($H48=1,$C48="内务违规"),IF($N47="",$B48&amp;"（"&amp;$F48&amp;"）",$N47&amp;"；"&amp;$B48&amp;"（"&amp;$F48&amp;"）"),$N47)</f>
        <v/>
      </c>
      <c r="O48" s="38">
        <f>IF(AND($I48=1,$C48="内务违规"),IF($O47="",$B48&amp;"（"&amp;$F48&amp;"）",$O47&amp;"；"&amp;$B48&amp;"（"&amp;$F48&amp;"）"),$O47)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遮挡面部罪</t>
        </is>
      </c>
      <c r="C49" s="35" t="inlineStr">
        <is>
          <t>轻罪</t>
        </is>
      </c>
      <c r="D49" s="33" t="n">
        <v>24</v>
      </c>
      <c r="E49" s="36" t="n">
        <v>5000</v>
      </c>
      <c r="F49" s="37" t="inlineStr">
        <is>
          <t>遮面拒揭 / 犯罪过程中遮面(节庆等除外)</t>
        </is>
      </c>
      <c r="G49" s="38">
        <f>IF(SUMIFS('关键词库'!$C$2:$C$1679,'关键词库'!$B$2:$B$1679,$B49)&gt;0,1,0)</f>
        <v/>
      </c>
      <c r="H49" s="38">
        <f>IF(SUMIFS('关键词库'!$D$2:$D$1679,'关键词库'!$B$2:$B$1679,$B49)&gt;0,1,0)</f>
        <v/>
      </c>
      <c r="I49" s="38">
        <f>IF(SUMIFS('关键词库'!$E$2:$E$1679,'关键词库'!$B$2:$B$1679,$B49)&gt;0,1,0)</f>
        <v/>
      </c>
      <c r="J49" s="38">
        <f>IF(AND($G49=1,$C49&lt;&gt;"内务违规"),IF($J48="",$B49,$J48&amp;"、"&amp;$B49),$J48)</f>
        <v/>
      </c>
      <c r="K49" s="38">
        <f>IF(AND($H49=1,$C49&lt;&gt;"内务违规"),IF($K48="",$B49,$K48&amp;"、"&amp;$B49),$K48)</f>
        <v/>
      </c>
      <c r="L49" s="38">
        <f>IF(AND($I49=1,$C49&lt;&gt;"内务违规"),IF($L48="",$B49,$L48&amp;"、"&amp;$B49),$L48)</f>
        <v/>
      </c>
      <c r="M49" s="38">
        <f>IF(AND($G49=1,$C49="内务违规"),IF($M48="",$B49&amp;"（"&amp;$F49&amp;"）",$M48&amp;"；"&amp;$B49&amp;"（"&amp;$F49&amp;"）"),$M48)</f>
        <v/>
      </c>
      <c r="N49" s="38">
        <f>IF(AND($H49=1,$C49="内务违规"),IF($N48="",$B49&amp;"（"&amp;$F49&amp;"）",$N48&amp;"；"&amp;$B49&amp;"（"&amp;$F49&amp;"）"),$N48)</f>
        <v/>
      </c>
      <c r="O49" s="38">
        <f>IF(AND($I49=1,$C49="内务违规"),IF($O48="",$B49&amp;"（"&amp;$F49&amp;"）",$O48&amp;"；"&amp;$B49&amp;"（"&amp;$F49&amp;"）"),$O48)</f>
        <v/>
      </c>
    </row>
    <row r="50" ht="26" customHeight="1">
      <c r="A50" s="33" t="inlineStr">
        <is>
          <t>七·热武器</t>
        </is>
      </c>
      <c r="B50" s="34" t="inlineStr">
        <is>
          <t>非法持有热武器罪</t>
        </is>
      </c>
      <c r="C50" s="39" t="inlineStr">
        <is>
          <t>重罪</t>
        </is>
      </c>
      <c r="D50" s="33" t="n">
        <v>24</v>
      </c>
      <c r="E50" s="36" t="n">
        <v>15000</v>
      </c>
      <c r="F50" s="37" t="inlineStr">
        <is>
          <t>无证/非法持有枪支/爆炸物(执法公务除外)</t>
        </is>
      </c>
      <c r="G50" s="38">
        <f>IF(SUMIFS('关键词库'!$C$2:$C$1679,'关键词库'!$B$2:$B$1679,$B50)&gt;0,1,0)</f>
        <v/>
      </c>
      <c r="H50" s="38">
        <f>IF(SUMIFS('关键词库'!$D$2:$D$1679,'关键词库'!$B$2:$B$1679,$B50)&gt;0,1,0)</f>
        <v/>
      </c>
      <c r="I50" s="38">
        <f>IF(SUMIFS('关键词库'!$E$2:$E$1679,'关键词库'!$B$2:$B$1679,$B50)&gt;0,1,0)</f>
        <v/>
      </c>
      <c r="J50" s="38">
        <f>IF(AND($G50=1,$C50&lt;&gt;"内务违规"),IF($J49="",$B50,$J49&amp;"、"&amp;$B50),$J49)</f>
        <v/>
      </c>
      <c r="K50" s="38">
        <f>IF(AND($H50=1,$C50&lt;&gt;"内务违规"),IF($K49="",$B50,$K49&amp;"、"&amp;$B50),$K49)</f>
        <v/>
      </c>
      <c r="L50" s="38">
        <f>IF(AND($I50=1,$C50&lt;&gt;"内务违规"),IF($L49="",$B50,$L49&amp;"、"&amp;$B50),$L49)</f>
        <v/>
      </c>
      <c r="M50" s="38">
        <f>IF(AND($G50=1,$C50="内务违规"),IF($M49="",$B50&amp;"（"&amp;$F50&amp;"）",$M49&amp;"；"&amp;$B50&amp;"（"&amp;$F50&amp;"）"),$M49)</f>
        <v/>
      </c>
      <c r="N50" s="38">
        <f>IF(AND($H50=1,$C50="内务违规"),IF($N49="",$B50&amp;"（"&amp;$F50&amp;"）",$N49&amp;"；"&amp;$B50&amp;"（"&amp;$F50&amp;"）"),$N49)</f>
        <v/>
      </c>
      <c r="O50" s="38">
        <f>IF(AND($I50=1,$C50="内务违规"),IF($O49="",$B50&amp;"（"&amp;$F50&amp;"）",$O49&amp;"；"&amp;$B50&amp;"（"&amp;$F50&amp;"）"),$O49)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非法展示热武器罪</t>
        </is>
      </c>
      <c r="C51" s="35" t="inlineStr">
        <is>
          <t>轻罪</t>
        </is>
      </c>
      <c r="D51" s="33" t="n">
        <v>12</v>
      </c>
      <c r="E51" s="36" t="n">
        <v>8000</v>
      </c>
      <c r="F51" s="37" t="inlineStr">
        <is>
          <t>公共场所公开携带/挥舞展示武器</t>
        </is>
      </c>
      <c r="G51" s="38">
        <f>IF(SUMIFS('关键词库'!$C$2:$C$1679,'关键词库'!$B$2:$B$1679,$B51)&gt;0,1,0)</f>
        <v/>
      </c>
      <c r="H51" s="38">
        <f>IF(SUMIFS('关键词库'!$D$2:$D$1679,'关键词库'!$B$2:$B$1679,$B51)&gt;0,1,0)</f>
        <v/>
      </c>
      <c r="I51" s="38">
        <f>IF(SUMIFS('关键词库'!$E$2:$E$1679,'关键词库'!$B$2:$B$1679,$B51)&gt;0,1,0)</f>
        <v/>
      </c>
      <c r="J51" s="38">
        <f>IF(AND($G51=1,$C51&lt;&gt;"内务违规"),IF($J50="",$B51,$J50&amp;"、"&amp;$B51),$J50)</f>
        <v/>
      </c>
      <c r="K51" s="38">
        <f>IF(AND($H51=1,$C51&lt;&gt;"内务违规"),IF($K50="",$B51,$K50&amp;"、"&amp;$B51),$K50)</f>
        <v/>
      </c>
      <c r="L51" s="38">
        <f>IF(AND($I51=1,$C51&lt;&gt;"内务违规"),IF($L50="",$B51,$L50&amp;"、"&amp;$B51),$L50)</f>
        <v/>
      </c>
      <c r="M51" s="38">
        <f>IF(AND($G51=1,$C51="内务违规"),IF($M50="",$B51&amp;"（"&amp;$F51&amp;"）",$M50&amp;"；"&amp;$B51&amp;"（"&amp;$F51&amp;"）"),$M50)</f>
        <v/>
      </c>
      <c r="N51" s="38">
        <f>IF(AND($H51=1,$C51="内务违规"),IF($N50="",$B51&amp;"（"&amp;$F51&amp;"）",$N50&amp;"；"&amp;$B51&amp;"（"&amp;$F51&amp;"）"),$N50)</f>
        <v/>
      </c>
      <c r="O51" s="38">
        <f>IF(AND($I51=1,$C51="内务违规"),IF($O50="",$B51&amp;"（"&amp;$F51&amp;"）",$O50&amp;"；"&amp;$B51&amp;"（"&amp;$F51&amp;"）"),$O50)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非法使用热武器罪</t>
        </is>
      </c>
      <c r="C52" s="39" t="inlineStr">
        <is>
          <t>重罪</t>
        </is>
      </c>
      <c r="D52" s="33" t="n">
        <v>24</v>
      </c>
      <c r="E52" s="36" t="n">
        <v>15000</v>
      </c>
      <c r="F52" s="37" t="inlineStr">
        <is>
          <t>鲁莽/蓄意/威胁公共安全方式开枪</t>
        </is>
      </c>
      <c r="G52" s="38">
        <f>IF(SUMIFS('关键词库'!$C$2:$C$1679,'关键词库'!$B$2:$B$1679,$B52)&gt;0,1,0)</f>
        <v/>
      </c>
      <c r="H52" s="38">
        <f>IF(SUMIFS('关键词库'!$D$2:$D$1679,'关键词库'!$B$2:$B$1679,$B52)&gt;0,1,0)</f>
        <v/>
      </c>
      <c r="I52" s="38">
        <f>IF(SUMIFS('关键词库'!$E$2:$E$1679,'关键词库'!$B$2:$B$1679,$B52)&gt;0,1,0)</f>
        <v/>
      </c>
      <c r="J52" s="38">
        <f>IF(AND($G52=1,$C52&lt;&gt;"内务违规"),IF($J51="",$B52,$J51&amp;"、"&amp;$B52),$J51)</f>
        <v/>
      </c>
      <c r="K52" s="38">
        <f>IF(AND($H52=1,$C52&lt;&gt;"内务违规"),IF($K51="",$B52,$K51&amp;"、"&amp;$B52),$K51)</f>
        <v/>
      </c>
      <c r="L52" s="38">
        <f>IF(AND($I52=1,$C52&lt;&gt;"内务违规"),IF($L51="",$B52,$L51&amp;"、"&amp;$B52),$L51)</f>
        <v/>
      </c>
      <c r="M52" s="38">
        <f>IF(AND($G52=1,$C52="内务违规"),IF($M51="",$B52&amp;"（"&amp;$F52&amp;"）",$M51&amp;"；"&amp;$B52&amp;"（"&amp;$F52&amp;"）"),$M51)</f>
        <v/>
      </c>
      <c r="N52" s="38">
        <f>IF(AND($H52=1,$C52="内务违规"),IF($N51="",$B52&amp;"（"&amp;$F52&amp;"）",$N51&amp;"；"&amp;$B52&amp;"（"&amp;$F52&amp;"）"),$N51)</f>
        <v/>
      </c>
      <c r="O52" s="38">
        <f>IF(AND($I52=1,$C52="内务违规"),IF($O51="",$B52&amp;"（"&amp;$F52&amp;"）",$O51&amp;"；"&amp;$B52&amp;"（"&amp;$F52&amp;"）"),$O51)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非法贩卖武器罪</t>
        </is>
      </c>
      <c r="C53" s="39" t="inlineStr">
        <is>
          <t>重罪</t>
        </is>
      </c>
      <c r="D53" s="33" t="n">
        <v>48</v>
      </c>
      <c r="E53" s="36" t="n">
        <v>25000</v>
      </c>
      <c r="F53" s="37" t="inlineStr">
        <is>
          <t>贩卖/转让/出售非法或未认证武器</t>
        </is>
      </c>
      <c r="G53" s="38">
        <f>IF(SUMIFS('关键词库'!$C$2:$C$1679,'关键词库'!$B$2:$B$1679,$B53)&gt;0,1,0)</f>
        <v/>
      </c>
      <c r="H53" s="38">
        <f>IF(SUMIFS('关键词库'!$D$2:$D$1679,'关键词库'!$B$2:$B$1679,$B53)&gt;0,1,0)</f>
        <v/>
      </c>
      <c r="I53" s="38">
        <f>IF(SUMIFS('关键词库'!$E$2:$E$1679,'关键词库'!$B$2:$B$1679,$B53)&gt;0,1,0)</f>
        <v/>
      </c>
      <c r="J53" s="38">
        <f>IF(AND($G53=1,$C53&lt;&gt;"内务违规"),IF($J52="",$B53,$J52&amp;"、"&amp;$B53),$J52)</f>
        <v/>
      </c>
      <c r="K53" s="38">
        <f>IF(AND($H53=1,$C53&lt;&gt;"内务违规"),IF($K52="",$B53,$K52&amp;"、"&amp;$B53),$K52)</f>
        <v/>
      </c>
      <c r="L53" s="38">
        <f>IF(AND($I53=1,$C53&lt;&gt;"内务违规"),IF($L52="",$B53,$L52&amp;"、"&amp;$B53),$L52)</f>
        <v/>
      </c>
      <c r="M53" s="38">
        <f>IF(AND($G53=1,$C53="内务违规"),IF($M52="",$B53&amp;"（"&amp;$F53&amp;"）",$M52&amp;"；"&amp;$B53&amp;"（"&amp;$F53&amp;"）"),$M52)</f>
        <v/>
      </c>
      <c r="N53" s="38">
        <f>IF(AND($H53=1,$C53="内务违规"),IF($N52="",$B53&amp;"（"&amp;$F53&amp;"）",$N52&amp;"；"&amp;$B53&amp;"（"&amp;$F53&amp;"）"),$N52)</f>
        <v/>
      </c>
      <c r="O53" s="38">
        <f>IF(AND($I53=1,$C53="内务违规"),IF($O52="",$B53&amp;"（"&amp;$F53&amp;"）",$O52&amp;"；"&amp;$B53&amp;"（"&amp;$F53&amp;"）"),$O52)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走私罪</t>
        </is>
      </c>
      <c r="C54" s="39" t="inlineStr">
        <is>
          <t>重罪</t>
        </is>
      </c>
      <c r="D54" s="33" t="n">
        <v>48</v>
      </c>
      <c r="E54" s="36" t="n">
        <v>30000</v>
      </c>
      <c r="F54" s="37" t="inlineStr">
        <is>
          <t>非法运输/转让武器爆炸物 / 参与军火走私</t>
        </is>
      </c>
      <c r="G54" s="38">
        <f>IF(SUMIFS('关键词库'!$C$2:$C$1679,'关键词库'!$B$2:$B$1679,$B54)&gt;0,1,0)</f>
        <v/>
      </c>
      <c r="H54" s="38">
        <f>IF(SUMIFS('关键词库'!$D$2:$D$1679,'关键词库'!$B$2:$B$1679,$B54)&gt;0,1,0)</f>
        <v/>
      </c>
      <c r="I54" s="38">
        <f>IF(SUMIFS('关键词库'!$E$2:$E$1679,'关键词库'!$B$2:$B$1679,$B54)&gt;0,1,0)</f>
        <v/>
      </c>
      <c r="J54" s="38">
        <f>IF(AND($G54=1,$C54&lt;&gt;"内务违规"),IF($J53="",$B54,$J53&amp;"、"&amp;$B54),$J53)</f>
        <v/>
      </c>
      <c r="K54" s="38">
        <f>IF(AND($H54=1,$C54&lt;&gt;"内务违规"),IF($K53="",$B54,$K53&amp;"、"&amp;$B54),$K53)</f>
        <v/>
      </c>
      <c r="L54" s="38">
        <f>IF(AND($I54=1,$C54&lt;&gt;"内务违规"),IF($L53="",$B54,$L53&amp;"、"&amp;$B54),$L53)</f>
        <v/>
      </c>
      <c r="M54" s="38">
        <f>IF(AND($G54=1,$C54="内务违规"),IF($M53="",$B54&amp;"（"&amp;$F54&amp;"）",$M53&amp;"；"&amp;$B54&amp;"（"&amp;$F54&amp;"）"),$M53)</f>
        <v/>
      </c>
      <c r="N54" s="38">
        <f>IF(AND($H54=1,$C54="内务违规"),IF($N53="",$B54&amp;"（"&amp;$F54&amp;"）",$N53&amp;"；"&amp;$B54&amp;"（"&amp;$F54&amp;"）"),$N53)</f>
        <v/>
      </c>
      <c r="O54" s="38">
        <f>IF(AND($I54=1,$C54="内务违规"),IF($O53="",$B54&amp;"（"&amp;$F54&amp;"）",$O53&amp;"；"&amp;$B54&amp;"（"&amp;$F54&amp;"）"),$O53)</f>
        <v/>
      </c>
    </row>
    <row r="55" ht="26" customHeight="1">
      <c r="A55" s="33" t="inlineStr">
        <is>
          <t>十·公共安全</t>
        </is>
      </c>
      <c r="B55" s="34" t="inlineStr">
        <is>
          <t>非法持有管制物品罪</t>
        </is>
      </c>
      <c r="C55" s="39" t="inlineStr">
        <is>
          <t>重罪</t>
        </is>
      </c>
      <c r="D55" s="33" t="n">
        <v>48</v>
      </c>
      <c r="E55" s="36" t="n">
        <v>30000</v>
      </c>
      <c r="F55" s="37" t="inlineStr">
        <is>
          <t>默认毒品/非法枪支(重罪4年$30000); 工具/8cm刀具=轻罪1年$15000</t>
        </is>
      </c>
      <c r="G55" s="38">
        <f>IF(SUMIFS('关键词库'!$C$2:$C$1679,'关键词库'!$B$2:$B$1679,$B55)&gt;0,1,0)</f>
        <v/>
      </c>
      <c r="H55" s="38">
        <f>IF(SUMIFS('关键词库'!$D$2:$D$1679,'关键词库'!$B$2:$B$1679,$B55)&gt;0,1,0)</f>
        <v/>
      </c>
      <c r="I55" s="38">
        <f>IF(SUMIFS('关键词库'!$E$2:$E$1679,'关键词库'!$B$2:$B$1679,$B55)&gt;0,1,0)</f>
        <v/>
      </c>
      <c r="J55" s="38">
        <f>IF(AND($G55=1,$C55&lt;&gt;"内务违规"),IF($J54="",$B55,$J54&amp;"、"&amp;$B55),$J54)</f>
        <v/>
      </c>
      <c r="K55" s="38">
        <f>IF(AND($H55=1,$C55&lt;&gt;"内务违规"),IF($K54="",$B55,$K54&amp;"、"&amp;$B55),$K54)</f>
        <v/>
      </c>
      <c r="L55" s="38">
        <f>IF(AND($I55=1,$C55&lt;&gt;"内务违规"),IF($L54="",$B55,$L54&amp;"、"&amp;$B55),$L54)</f>
        <v/>
      </c>
      <c r="M55" s="38">
        <f>IF(AND($G55=1,$C55="内务违规"),IF($M54="",$B55&amp;"（"&amp;$F55&amp;"）",$M54&amp;"；"&amp;$B55&amp;"（"&amp;$F55&amp;"）"),$M54)</f>
        <v/>
      </c>
      <c r="N55" s="38">
        <f>IF(AND($H55=1,$C55="内务违规"),IF($N54="",$B55&amp;"（"&amp;$F55&amp;"）",$N54&amp;"；"&amp;$B55&amp;"（"&amp;$F55&amp;"）"),$N54)</f>
        <v/>
      </c>
      <c r="O55" s="38">
        <f>IF(AND($I55=1,$C55="内务违规"),IF($O54="",$B55&amp;"（"&amp;$F55&amp;"）",$O54&amp;"；"&amp;$B55&amp;"（"&amp;$F55&amp;"）"),$O54)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非法持有大量管制物品罪</t>
        </is>
      </c>
      <c r="C56" s="39" t="inlineStr">
        <is>
          <t>重罪</t>
        </is>
      </c>
      <c r="D56" s="33" t="n">
        <v>36</v>
      </c>
      <c r="E56" s="36" t="n">
        <v>6000</v>
      </c>
      <c r="F56" s="37" t="inlineStr">
        <is>
          <t>按量: 10-50个=3年$6000; 51-200=2-4年$10000; 201-500=4-6年$15000; 501-999=6-10年$30000(可超5年)</t>
        </is>
      </c>
      <c r="G56" s="38">
        <f>IF(SUMIFS('关键词库'!$C$2:$C$1679,'关键词库'!$B$2:$B$1679,$B56)&gt;0,1,0)</f>
        <v/>
      </c>
      <c r="H56" s="38">
        <f>IF(SUMIFS('关键词库'!$D$2:$D$1679,'关键词库'!$B$2:$B$1679,$B56)&gt;0,1,0)</f>
        <v/>
      </c>
      <c r="I56" s="38">
        <f>IF(SUMIFS('关键词库'!$E$2:$E$1679,'关键词库'!$B$2:$B$1679,$B56)&gt;0,1,0)</f>
        <v/>
      </c>
      <c r="J56" s="38">
        <f>IF(AND($G56=1,$C56&lt;&gt;"内务违规"),IF($J55="",$B56,$J55&amp;"、"&amp;$B56),$J55)</f>
        <v/>
      </c>
      <c r="K56" s="38">
        <f>IF(AND($H56=1,$C56&lt;&gt;"内务违规"),IF($K55="",$B56,$K55&amp;"、"&amp;$B56),$K55)</f>
        <v/>
      </c>
      <c r="L56" s="38">
        <f>IF(AND($I56=1,$C56&lt;&gt;"内务违规"),IF($L55="",$B56,$L55&amp;"、"&amp;$B56),$L55)</f>
        <v/>
      </c>
      <c r="M56" s="38">
        <f>IF(AND($G56=1,$C56="内务违规"),IF($M55="",$B56&amp;"（"&amp;$F56&amp;"）",$M55&amp;"；"&amp;$B56&amp;"（"&amp;$F56&amp;"）"),$M55)</f>
        <v/>
      </c>
      <c r="N56" s="38">
        <f>IF(AND($H56=1,$C56="内务违规"),IF($N55="",$B56&amp;"（"&amp;$F56&amp;"）",$N55&amp;"；"&amp;$B56&amp;"（"&amp;$F56&amp;"）"),$N55)</f>
        <v/>
      </c>
      <c r="O56" s="38">
        <f>IF(AND($I56=1,$C56="内务违规"),IF($O55="",$B56&amp;"（"&amp;$F56&amp;"）",$O55&amp;"；"&amp;$B56&amp;"（"&amp;$F56&amp;"）"),$O55)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非法经营和分发管制物品罪</t>
        </is>
      </c>
      <c r="C57" s="39" t="inlineStr">
        <is>
          <t>重罪</t>
        </is>
      </c>
      <c r="D57" s="33" t="n">
        <v>12</v>
      </c>
      <c r="E57" s="36" t="n">
        <v>5000</v>
      </c>
      <c r="F57" s="37" t="inlineStr">
        <is>
          <t>以出售/分发/储存为目的经营管制物品</t>
        </is>
      </c>
      <c r="G57" s="38">
        <f>IF(SUMIFS('关键词库'!$C$2:$C$1679,'关键词库'!$B$2:$B$1679,$B57)&gt;0,1,0)</f>
        <v/>
      </c>
      <c r="H57" s="38">
        <f>IF(SUMIFS('关键词库'!$D$2:$D$1679,'关键词库'!$B$2:$B$1679,$B57)&gt;0,1,0)</f>
        <v/>
      </c>
      <c r="I57" s="38">
        <f>IF(SUMIFS('关键词库'!$E$2:$E$1679,'关键词库'!$B$2:$B$1679,$B57)&gt;0,1,0)</f>
        <v/>
      </c>
      <c r="J57" s="38">
        <f>IF(AND($G57=1,$C57&lt;&gt;"内务违规"),IF($J56="",$B57,$J56&amp;"、"&amp;$B57),$J56)</f>
        <v/>
      </c>
      <c r="K57" s="38">
        <f>IF(AND($H57=1,$C57&lt;&gt;"内务违规"),IF($K56="",$B57,$K56&amp;"、"&amp;$B57),$K56)</f>
        <v/>
      </c>
      <c r="L57" s="38">
        <f>IF(AND($I57=1,$C57&lt;&gt;"内务违规"),IF($L56="",$B57,$L56&amp;"、"&amp;$B57),$L56)</f>
        <v/>
      </c>
      <c r="M57" s="38">
        <f>IF(AND($G57=1,$C57="内务违规"),IF($M56="",$B57&amp;"（"&amp;$F57&amp;"）",$M56&amp;"；"&amp;$B57&amp;"（"&amp;$F57&amp;"）"),$M56)</f>
        <v/>
      </c>
      <c r="N57" s="38">
        <f>IF(AND($H57=1,$C57="内务违规"),IF($N56="",$B57&amp;"（"&amp;$F57&amp;"）",$N56&amp;"；"&amp;$B57&amp;"（"&amp;$F57&amp;"）"),$N56)</f>
        <v/>
      </c>
      <c r="O57" s="38">
        <f>IF(AND($I57=1,$C57="内务违规"),IF($O56="",$B57&amp;"（"&amp;$F57&amp;"）",$O56&amp;"；"&amp;$B57&amp;"（"&amp;$F57&amp;"）"),$O56)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非法制造管制物品罪</t>
        </is>
      </c>
      <c r="C58" s="39" t="inlineStr">
        <is>
          <t>重罪</t>
        </is>
      </c>
      <c r="D58" s="33" t="n">
        <v>24</v>
      </c>
      <c r="E58" s="36" t="n">
        <v>8000</v>
      </c>
      <c r="F58" s="37" t="inlineStr">
        <is>
          <t>生产/制造处方药/大麻等管制物品</t>
        </is>
      </c>
      <c r="G58" s="38">
        <f>IF(SUMIFS('关键词库'!$C$2:$C$1679,'关键词库'!$B$2:$B$1679,$B58)&gt;0,1,0)</f>
        <v/>
      </c>
      <c r="H58" s="38">
        <f>IF(SUMIFS('关键词库'!$D$2:$D$1679,'关键词库'!$B$2:$B$1679,$B58)&gt;0,1,0)</f>
        <v/>
      </c>
      <c r="I58" s="38">
        <f>IF(SUMIFS('关键词库'!$E$2:$E$1679,'关键词库'!$B$2:$B$1679,$B58)&gt;0,1,0)</f>
        <v/>
      </c>
      <c r="J58" s="38">
        <f>IF(AND($G58=1,$C58&lt;&gt;"内务违规"),IF($J57="",$B58,$J57&amp;"、"&amp;$B58),$J57)</f>
        <v/>
      </c>
      <c r="K58" s="38">
        <f>IF(AND($H58=1,$C58&lt;&gt;"内务违规"),IF($K57="",$B58,$K57&amp;"、"&amp;$B58),$K57)</f>
        <v/>
      </c>
      <c r="L58" s="38">
        <f>IF(AND($I58=1,$C58&lt;&gt;"内务违规"),IF($L57="",$B58,$L57&amp;"、"&amp;$B58),$L57)</f>
        <v/>
      </c>
      <c r="M58" s="38">
        <f>IF(AND($G58=1,$C58="内务违规"),IF($M57="",$B58&amp;"（"&amp;$F58&amp;"）",$M57&amp;"；"&amp;$B58&amp;"（"&amp;$F58&amp;"）"),$M57)</f>
        <v/>
      </c>
      <c r="N58" s="38">
        <f>IF(AND($H58=1,$C58="内务违规"),IF($N57="",$B58&amp;"（"&amp;$F58&amp;"）",$N57&amp;"；"&amp;$B58&amp;"（"&amp;$F58&amp;"）"),$N57)</f>
        <v/>
      </c>
      <c r="O58" s="38">
        <f>IF(AND($I58=1,$C58="内务违规"),IF($O57="",$B58&amp;"（"&amp;$F58&amp;"）",$O57&amp;"；"&amp;$B58&amp;"（"&amp;$F58&amp;"）"),$O57)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非法贩卖管制物品罪</t>
        </is>
      </c>
      <c r="C59" s="39" t="inlineStr">
        <is>
          <t>重罪</t>
        </is>
      </c>
      <c r="D59" s="33" t="n">
        <v>36</v>
      </c>
      <c r="E59" s="36" t="n">
        <v>10000</v>
      </c>
      <c r="F59" s="37" t="inlineStr">
        <is>
          <t>非法出售/赠送/运输管制物品给他人</t>
        </is>
      </c>
      <c r="G59" s="38">
        <f>IF(SUMIFS('关键词库'!$C$2:$C$1679,'关键词库'!$B$2:$B$1679,$B59)&gt;0,1,0)</f>
        <v/>
      </c>
      <c r="H59" s="38">
        <f>IF(SUMIFS('关键词库'!$D$2:$D$1679,'关键词库'!$B$2:$B$1679,$B59)&gt;0,1,0)</f>
        <v/>
      </c>
      <c r="I59" s="38">
        <f>IF(SUMIFS('关键词库'!$E$2:$E$1679,'关键词库'!$B$2:$B$1679,$B59)&gt;0,1,0)</f>
        <v/>
      </c>
      <c r="J59" s="38">
        <f>IF(AND($G59=1,$C59&lt;&gt;"内务违规"),IF($J58="",$B59,$J58&amp;"、"&amp;$B59),$J58)</f>
        <v/>
      </c>
      <c r="K59" s="38">
        <f>IF(AND($H59=1,$C59&lt;&gt;"内务违规"),IF($K58="",$B59,$K58&amp;"、"&amp;$B59),$K58)</f>
        <v/>
      </c>
      <c r="L59" s="38">
        <f>IF(AND($I59=1,$C59&lt;&gt;"内务违规"),IF($L58="",$B59,$L58&amp;"、"&amp;$B59),$L58)</f>
        <v/>
      </c>
      <c r="M59" s="38">
        <f>IF(AND($G59=1,$C59="内务违规"),IF($M58="",$B59&amp;"（"&amp;$F59&amp;"）",$M58&amp;"；"&amp;$B59&amp;"（"&amp;$F59&amp;"）"),$M58)</f>
        <v/>
      </c>
      <c r="N59" s="38">
        <f>IF(AND($H59=1,$C59="内务违规"),IF($N58="",$B59&amp;"（"&amp;$F59&amp;"）",$N58&amp;"；"&amp;$B59&amp;"（"&amp;$F59&amp;"）"),$N58)</f>
        <v/>
      </c>
      <c r="O59" s="38">
        <f>IF(AND($I59=1,$C59="内务违规"),IF($O58="",$B59&amp;"（"&amp;$F59&amp;"）",$O58&amp;"；"&amp;$B59&amp;"（"&amp;$F59&amp;"）"),$O58)</f>
        <v/>
      </c>
    </row>
    <row r="60" ht="26" customHeight="1">
      <c r="A60" s="33" t="inlineStr">
        <is>
          <t>十一·其他</t>
        </is>
      </c>
      <c r="B60" s="34" t="inlineStr">
        <is>
          <t>有组织犯罪</t>
        </is>
      </c>
      <c r="C60" s="39" t="inlineStr">
        <is>
          <t>重罪</t>
        </is>
      </c>
      <c r="D60" s="33" t="n">
        <v>24</v>
      </c>
      <c r="E60" s="36" t="n">
        <v>10000</v>
      </c>
      <c r="F60" s="37" t="inlineStr">
        <is>
          <t>团体以牟利为目的实施违法犯罪(逮捕须先取逮捕令)</t>
        </is>
      </c>
      <c r="G60" s="38">
        <f>IF(SUMIFS('关键词库'!$C$2:$C$1679,'关键词库'!$B$2:$B$1679,$B60)&gt;0,1,0)</f>
        <v/>
      </c>
      <c r="H60" s="38">
        <f>IF(SUMIFS('关键词库'!$D$2:$D$1679,'关键词库'!$B$2:$B$1679,$B60)&gt;0,1,0)</f>
        <v/>
      </c>
      <c r="I60" s="38">
        <f>IF(SUMIFS('关键词库'!$E$2:$E$1679,'关键词库'!$B$2:$B$1679,$B60)&gt;0,1,0)</f>
        <v/>
      </c>
      <c r="J60" s="38">
        <f>IF(AND($G60=1,$C60&lt;&gt;"内务违规"),IF($J59="",$B60,$J59&amp;"、"&amp;$B60),$J59)</f>
        <v/>
      </c>
      <c r="K60" s="38">
        <f>IF(AND($H60=1,$C60&lt;&gt;"内务违规"),IF($K59="",$B60,$K59&amp;"、"&amp;$B60),$K59)</f>
        <v/>
      </c>
      <c r="L60" s="38">
        <f>IF(AND($I60=1,$C60&lt;&gt;"内务违规"),IF($L59="",$B60,$L59&amp;"、"&amp;$B60),$L59)</f>
        <v/>
      </c>
      <c r="M60" s="38">
        <f>IF(AND($G60=1,$C60="内务违规"),IF($M59="",$B60&amp;"（"&amp;$F60&amp;"）",$M59&amp;"；"&amp;$B60&amp;"（"&amp;$F60&amp;"）"),$M59)</f>
        <v/>
      </c>
      <c r="N60" s="38">
        <f>IF(AND($H60=1,$C60="内务违规"),IF($N59="",$B60&amp;"（"&amp;$F60&amp;"）",$N59&amp;"；"&amp;$B60&amp;"（"&amp;$F60&amp;"）"),$N59)</f>
        <v/>
      </c>
      <c r="O60" s="38">
        <f>IF(AND($I60=1,$C60="内务违规"),IF($O59="",$B60&amp;"（"&amp;$F60&amp;"）",$O59&amp;"；"&amp;$B60&amp;"（"&amp;$F60&amp;"）"),$O59)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洗钱罪</t>
        </is>
      </c>
      <c r="C61" s="39" t="inlineStr">
        <is>
          <t>重罪</t>
        </is>
      </c>
      <c r="D61" s="33" t="n">
        <v>48</v>
      </c>
      <c r="E61" s="36" t="n">
        <v>30000</v>
      </c>
      <c r="F61" s="37" t="inlineStr">
        <is>
          <t>持有/隐藏/转移违法所得 / 协助洗钱</t>
        </is>
      </c>
      <c r="G61" s="38">
        <f>IF(SUMIFS('关键词库'!$C$2:$C$1679,'关键词库'!$B$2:$B$1679,$B61)&gt;0,1,0)</f>
        <v/>
      </c>
      <c r="H61" s="38">
        <f>IF(SUMIFS('关键词库'!$D$2:$D$1679,'关键词库'!$B$2:$B$1679,$B61)&gt;0,1,0)</f>
        <v/>
      </c>
      <c r="I61" s="38">
        <f>IF(SUMIFS('关键词库'!$E$2:$E$1679,'关键词库'!$B$2:$B$1679,$B61)&gt;0,1,0)</f>
        <v/>
      </c>
      <c r="J61" s="38">
        <f>IF(AND($G61=1,$C61&lt;&gt;"内务违规"),IF($J60="",$B61,$J60&amp;"、"&amp;$B61),$J60)</f>
        <v/>
      </c>
      <c r="K61" s="38">
        <f>IF(AND($H61=1,$C61&lt;&gt;"内务违规"),IF($K60="",$B61,$K60&amp;"、"&amp;$B61),$K60)</f>
        <v/>
      </c>
      <c r="L61" s="38">
        <f>IF(AND($I61=1,$C61&lt;&gt;"内务违规"),IF($L60="",$B61,$L60&amp;"、"&amp;$B61),$L60)</f>
        <v/>
      </c>
      <c r="M61" s="38">
        <f>IF(AND($G61=1,$C61="内务违规"),IF($M60="",$B61&amp;"（"&amp;$F61&amp;"）",$M60&amp;"；"&amp;$B61&amp;"（"&amp;$F61&amp;"）"),$M60)</f>
        <v/>
      </c>
      <c r="N61" s="38">
        <f>IF(AND($H61=1,$C61="内务违规"),IF($N60="",$B61&amp;"（"&amp;$F61&amp;"）",$N60&amp;"；"&amp;$B61&amp;"（"&amp;$F61&amp;"）"),$N60)</f>
        <v/>
      </c>
      <c r="O61" s="38">
        <f>IF(AND($I61=1,$C61="内务违规"),IF($O60="",$B61&amp;"（"&amp;$F61&amp;"）",$O60&amp;"；"&amp;$B61&amp;"（"&amp;$F61&amp;"）"),$O60)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身份盗用罪</t>
        </is>
      </c>
      <c r="C62" s="35" t="inlineStr">
        <is>
          <t>轻罪</t>
        </is>
      </c>
      <c r="D62" s="33" t="n">
        <v>12</v>
      </c>
      <c r="E62" s="36" t="n">
        <v>8000</v>
      </c>
      <c r="F62" s="37" t="inlineStr">
        <is>
          <t>未经许可盗取/使用他人个人信息, 另需赔偿</t>
        </is>
      </c>
      <c r="G62" s="38">
        <f>IF(SUMIFS('关键词库'!$C$2:$C$1679,'关键词库'!$B$2:$B$1679,$B62)&gt;0,1,0)</f>
        <v/>
      </c>
      <c r="H62" s="38">
        <f>IF(SUMIFS('关键词库'!$D$2:$D$1679,'关键词库'!$B$2:$B$1679,$B62)&gt;0,1,0)</f>
        <v/>
      </c>
      <c r="I62" s="38">
        <f>IF(SUMIFS('关键词库'!$E$2:$E$1679,'关键词库'!$B$2:$B$1679,$B62)&gt;0,1,0)</f>
        <v/>
      </c>
      <c r="J62" s="38">
        <f>IF(AND($G62=1,$C62&lt;&gt;"内务违规"),IF($J61="",$B62,$J61&amp;"、"&amp;$B62),$J61)</f>
        <v/>
      </c>
      <c r="K62" s="38">
        <f>IF(AND($H62=1,$C62&lt;&gt;"内务违规"),IF($K61="",$B62,$K61&amp;"、"&amp;$B62),$K61)</f>
        <v/>
      </c>
      <c r="L62" s="38">
        <f>IF(AND($I62=1,$C62&lt;&gt;"内务违规"),IF($L61="",$B62,$L61&amp;"、"&amp;$B62),$L61)</f>
        <v/>
      </c>
      <c r="M62" s="38">
        <f>IF(AND($G62=1,$C62="内务违规"),IF($M61="",$B62&amp;"（"&amp;$F62&amp;"）",$M61&amp;"；"&amp;$B62&amp;"（"&amp;$F62&amp;"）"),$M61)</f>
        <v/>
      </c>
      <c r="N62" s="38">
        <f>IF(AND($H62=1,$C62="内务违规"),IF($N61="",$B62&amp;"（"&amp;$F62&amp;"）",$N61&amp;"；"&amp;$B62&amp;"（"&amp;$F62&amp;"）"),$N61)</f>
        <v/>
      </c>
      <c r="O62" s="38">
        <f>IF(AND($I62=1,$C62="内务违规"),IF($O61="",$B62&amp;"（"&amp;$F62&amp;"）",$O61&amp;"；"&amp;$B62&amp;"（"&amp;$F62&amp;"）"),$O61)</f>
        <v/>
      </c>
    </row>
    <row r="63" ht="26" customHeight="1">
      <c r="A63" s="33" t="inlineStr">
        <is>
          <t>交通法</t>
        </is>
      </c>
      <c r="B63" s="34" t="inlineStr">
        <is>
          <t>无证驾驶</t>
        </is>
      </c>
      <c r="C63" s="35" t="inlineStr">
        <is>
          <t>轻罪</t>
        </is>
      </c>
      <c r="D63" s="33" t="n">
        <v>0</v>
      </c>
      <c r="E63" s="36" t="n">
        <v>3000</v>
      </c>
      <c r="F63" s="37" t="inlineStr">
        <is>
          <t>未持有效驾照驾驶机动车（另扣押车辆）</t>
        </is>
      </c>
      <c r="G63" s="38">
        <f>IF(SUMIFS('关键词库'!$C$2:$C$1679,'关键词库'!$B$2:$B$1679,$B63)&gt;0,1,0)</f>
        <v/>
      </c>
      <c r="H63" s="38">
        <f>IF(SUMIFS('关键词库'!$D$2:$D$1679,'关键词库'!$B$2:$B$1679,$B63)&gt;0,1,0)</f>
        <v/>
      </c>
      <c r="I63" s="38">
        <f>IF(SUMIFS('关键词库'!$E$2:$E$1679,'关键词库'!$B$2:$B$1679,$B63)&gt;0,1,0)</f>
        <v/>
      </c>
      <c r="J63" s="38">
        <f>IF(AND($G63=1,$C63&lt;&gt;"内务违规"),IF($J62="",$B63,$J62&amp;"、"&amp;$B63),$J62)</f>
        <v/>
      </c>
      <c r="K63" s="38">
        <f>IF(AND($H63=1,$C63&lt;&gt;"内务违规"),IF($K62="",$B63,$K62&amp;"、"&amp;$B63),$K62)</f>
        <v/>
      </c>
      <c r="L63" s="38">
        <f>IF(AND($I63=1,$C63&lt;&gt;"内务违规"),IF($L62="",$B63,$L62&amp;"、"&amp;$B63),$L62)</f>
        <v/>
      </c>
      <c r="M63" s="38">
        <f>IF(AND($G63=1,$C63="内务违规"),IF($M62="",$B63&amp;"（"&amp;$F63&amp;"）",$M62&amp;"；"&amp;$B63&amp;"（"&amp;$F63&amp;"）"),$M62)</f>
        <v/>
      </c>
      <c r="N63" s="38">
        <f>IF(AND($H63=1,$C63="内务违规"),IF($N62="",$B63&amp;"（"&amp;$F63&amp;"）",$N62&amp;"；"&amp;$B63&amp;"（"&amp;$F63&amp;"）"),$N62)</f>
        <v/>
      </c>
      <c r="O63" s="38">
        <f>IF(AND($I63=1,$C63="内务违规"),IF($O62="",$B63&amp;"（"&amp;$F63&amp;"）",$O62&amp;"；"&amp;$B63&amp;"（"&amp;$F63&amp;"）"),$O62)</f>
        <v/>
      </c>
    </row>
    <row r="64" ht="26" customHeight="1">
      <c r="A64" s="33" t="inlineStr">
        <is>
          <t>交通法</t>
        </is>
      </c>
      <c r="B64" s="34" t="inlineStr">
        <is>
          <t>持暂停/吊销驾照驾驶</t>
        </is>
      </c>
      <c r="C64" s="35" t="inlineStr">
        <is>
          <t>轻罪</t>
        </is>
      </c>
      <c r="D64" s="33" t="n">
        <v>12</v>
      </c>
      <c r="E64" s="36" t="n">
        <v>4000</v>
      </c>
      <c r="F64" s="37" t="inlineStr">
        <is>
          <t>驾照被暂停/吊销时驾驶（不构其他罪轻罪1年$4000；构其他罪如酒驾=重罪2年；多次=重罪2年扣车7天）</t>
        </is>
      </c>
      <c r="G64" s="38">
        <f>IF(SUMIFS('关键词库'!$C$2:$C$1679,'关键词库'!$B$2:$B$1679,$B64)&gt;0,1,0)</f>
        <v/>
      </c>
      <c r="H64" s="38">
        <f>IF(SUMIFS('关键词库'!$D$2:$D$1679,'关键词库'!$B$2:$B$1679,$B64)&gt;0,1,0)</f>
        <v/>
      </c>
      <c r="I64" s="38">
        <f>IF(SUMIFS('关键词库'!$E$2:$E$1679,'关键词库'!$B$2:$B$1679,$B64)&gt;0,1,0)</f>
        <v/>
      </c>
      <c r="J64" s="38">
        <f>IF(AND($G64=1,$C64&lt;&gt;"内务违规"),IF($J63="",$B64,$J63&amp;"、"&amp;$B64),$J63)</f>
        <v/>
      </c>
      <c r="K64" s="38">
        <f>IF(AND($H64=1,$C64&lt;&gt;"内务违规"),IF($K63="",$B64,$K63&amp;"、"&amp;$B64),$K63)</f>
        <v/>
      </c>
      <c r="L64" s="38">
        <f>IF(AND($I64=1,$C64&lt;&gt;"内务违规"),IF($L63="",$B64,$L63&amp;"、"&amp;$B64),$L63)</f>
        <v/>
      </c>
      <c r="M64" s="38">
        <f>IF(AND($G64=1,$C64="内务违规"),IF($M63="",$B64&amp;"（"&amp;$F64&amp;"）",$M63&amp;"；"&amp;$B64&amp;"（"&amp;$F64&amp;"）"),$M63)</f>
        <v/>
      </c>
      <c r="N64" s="38">
        <f>IF(AND($H64=1,$C64="内务违规"),IF($N63="",$B64&amp;"（"&amp;$F64&amp;"）",$N63&amp;"；"&amp;$B64&amp;"（"&amp;$F64&amp;"）"),$N63)</f>
        <v/>
      </c>
      <c r="O64" s="38">
        <f>IF(AND($I64=1,$C64="内务违规"),IF($O63="",$B64&amp;"（"&amp;$F64&amp;"）",$O63&amp;"；"&amp;$B64&amp;"（"&amp;$F64&amp;"）"),$O63)</f>
        <v/>
      </c>
    </row>
    <row r="65" ht="26" customHeight="1">
      <c r="A65" s="33" t="inlineStr">
        <is>
          <t>交通法</t>
        </is>
      </c>
      <c r="B65" s="34" t="inlineStr">
        <is>
          <t>肇事逃逸罪</t>
        </is>
      </c>
      <c r="C65" s="40" t="inlineStr">
        <is>
          <t>违法</t>
        </is>
      </c>
      <c r="D65" s="33" t="n">
        <v>0</v>
      </c>
      <c r="E65" s="36" t="n">
        <v>5000</v>
      </c>
      <c r="F65" s="37" t="inlineStr">
        <is>
          <t>撞坏他人财物未及时报告（另扣车+赔偿）；致人受伤见严重肇事逃逸罪</t>
        </is>
      </c>
      <c r="G65" s="38">
        <f>IF(SUMIFS('关键词库'!$C$2:$C$1679,'关键词库'!$B$2:$B$1679,$B65)&gt;0,1,0)</f>
        <v/>
      </c>
      <c r="H65" s="38">
        <f>IF(SUMIFS('关键词库'!$D$2:$D$1679,'关键词库'!$B$2:$B$1679,$B65)&gt;0,1,0)</f>
        <v/>
      </c>
      <c r="I65" s="38">
        <f>IF(SUMIFS('关键词库'!$E$2:$E$1679,'关键词库'!$B$2:$B$1679,$B65)&gt;0,1,0)</f>
        <v/>
      </c>
      <c r="J65" s="38">
        <f>IF(AND($G65=1,$C65&lt;&gt;"内务违规"),IF($J64="",$B65,$J64&amp;"、"&amp;$B65),$J64)</f>
        <v/>
      </c>
      <c r="K65" s="38">
        <f>IF(AND($H65=1,$C65&lt;&gt;"内务违规"),IF($K64="",$B65,$K64&amp;"、"&amp;$B65),$K64)</f>
        <v/>
      </c>
      <c r="L65" s="38">
        <f>IF(AND($I65=1,$C65&lt;&gt;"内务违规"),IF($L64="",$B65,$L64&amp;"、"&amp;$B65),$L64)</f>
        <v/>
      </c>
      <c r="M65" s="38">
        <f>IF(AND($G65=1,$C65="内务违规"),IF($M64="",$B65&amp;"（"&amp;$F65&amp;"）",$M64&amp;"；"&amp;$B65&amp;"（"&amp;$F65&amp;"）"),$M64)</f>
        <v/>
      </c>
      <c r="N65" s="38">
        <f>IF(AND($H65=1,$C65="内务违规"),IF($N64="",$B65&amp;"（"&amp;$F65&amp;"）",$N64&amp;"；"&amp;$B65&amp;"（"&amp;$F65&amp;"）"),$N64)</f>
        <v/>
      </c>
      <c r="O65" s="38">
        <f>IF(AND($I65=1,$C65="内务违规"),IF($O64="",$B65&amp;"（"&amp;$F65&amp;"）",$O64&amp;"；"&amp;$B65&amp;"（"&amp;$F65&amp;"）"),$O64)</f>
        <v/>
      </c>
    </row>
    <row r="66" ht="26" customHeight="1">
      <c r="A66" s="33" t="inlineStr">
        <is>
          <t>交通法</t>
        </is>
      </c>
      <c r="B66" s="34" t="inlineStr">
        <is>
          <t>严重肇事逃逸罪</t>
        </is>
      </c>
      <c r="C66" s="39" t="inlineStr">
        <is>
          <t>重罪</t>
        </is>
      </c>
      <c r="D66" s="33" t="n">
        <v>36</v>
      </c>
      <c r="E66" s="36" t="n">
        <v>10000</v>
      </c>
      <c r="F66" s="37" t="inlineStr">
        <is>
          <t>撞致他人受伤未及时报告（另赔偿）</t>
        </is>
      </c>
      <c r="G66" s="38">
        <f>IF(SUMIFS('关键词库'!$C$2:$C$1679,'关键词库'!$B$2:$B$1679,$B66)&gt;0,1,0)</f>
        <v/>
      </c>
      <c r="H66" s="38">
        <f>IF(SUMIFS('关键词库'!$D$2:$D$1679,'关键词库'!$B$2:$B$1679,$B66)&gt;0,1,0)</f>
        <v/>
      </c>
      <c r="I66" s="38">
        <f>IF(SUMIFS('关键词库'!$E$2:$E$1679,'关键词库'!$B$2:$B$1679,$B66)&gt;0,1,0)</f>
        <v/>
      </c>
      <c r="J66" s="38">
        <f>IF(AND($G66=1,$C66&lt;&gt;"内务违规"),IF($J65="",$B66,$J65&amp;"、"&amp;$B66),$J65)</f>
        <v/>
      </c>
      <c r="K66" s="38">
        <f>IF(AND($H66=1,$C66&lt;&gt;"内务违规"),IF($K65="",$B66,$K65&amp;"、"&amp;$B66),$K65)</f>
        <v/>
      </c>
      <c r="L66" s="38">
        <f>IF(AND($I66=1,$C66&lt;&gt;"内务违规"),IF($L65="",$B66,$L65&amp;"、"&amp;$B66),$L65)</f>
        <v/>
      </c>
      <c r="M66" s="38">
        <f>IF(AND($G66=1,$C66="内务违规"),IF($M65="",$B66&amp;"（"&amp;$F66&amp;"）",$M65&amp;"；"&amp;$B66&amp;"（"&amp;$F66&amp;"）"),$M65)</f>
        <v/>
      </c>
      <c r="N66" s="38">
        <f>IF(AND($H66=1,$C66="内务违规"),IF($N65="",$B66&amp;"（"&amp;$F66&amp;"）",$N65&amp;"；"&amp;$B66&amp;"（"&amp;$F66&amp;"）"),$N65)</f>
        <v/>
      </c>
      <c r="O66" s="38">
        <f>IF(AND($I66=1,$C66="内务违规"),IF($O65="",$B66&amp;"（"&amp;$F66&amp;"）",$O65&amp;"；"&amp;$B66&amp;"（"&amp;$F66&amp;"）"),$O65)</f>
        <v/>
      </c>
    </row>
    <row r="67" ht="26" customHeight="1">
      <c r="A67" s="33" t="inlineStr">
        <is>
          <t>交通法</t>
        </is>
      </c>
      <c r="B67" s="34" t="inlineStr">
        <is>
          <t>右侧驾驶/越线违规</t>
        </is>
      </c>
      <c r="C67" s="40" t="inlineStr">
        <is>
          <t>违法</t>
        </is>
      </c>
      <c r="D67" s="33" t="n">
        <v>0</v>
      </c>
      <c r="E67" s="36" t="n">
        <v>4000</v>
      </c>
      <c r="F67" s="37" t="inlineStr">
        <is>
          <t>未靠右/超车越黄白实线/越隔离带行驶</t>
        </is>
      </c>
      <c r="G67" s="38">
        <f>IF(SUMIFS('关键词库'!$C$2:$C$1679,'关键词库'!$B$2:$B$1679,$B67)&gt;0,1,0)</f>
        <v/>
      </c>
      <c r="H67" s="38">
        <f>IF(SUMIFS('关键词库'!$D$2:$D$1679,'关键词库'!$B$2:$B$1679,$B67)&gt;0,1,0)</f>
        <v/>
      </c>
      <c r="I67" s="38">
        <f>IF(SUMIFS('关键词库'!$E$2:$E$1679,'关键词库'!$B$2:$B$1679,$B67)&gt;0,1,0)</f>
        <v/>
      </c>
      <c r="J67" s="38">
        <f>IF(AND($G67=1,$C67&lt;&gt;"内务违规"),IF($J66="",$B67,$J66&amp;"、"&amp;$B67),$J66)</f>
        <v/>
      </c>
      <c r="K67" s="38">
        <f>IF(AND($H67=1,$C67&lt;&gt;"内务违规"),IF($K66="",$B67,$K66&amp;"、"&amp;$B67),$K66)</f>
        <v/>
      </c>
      <c r="L67" s="38">
        <f>IF(AND($I67=1,$C67&lt;&gt;"内务违规"),IF($L66="",$B67,$L66&amp;"、"&amp;$B67),$L66)</f>
        <v/>
      </c>
      <c r="M67" s="38">
        <f>IF(AND($G67=1,$C67="内务违规"),IF($M66="",$B67&amp;"（"&amp;$F67&amp;"）",$M66&amp;"；"&amp;$B67&amp;"（"&amp;$F67&amp;"）"),$M66)</f>
        <v/>
      </c>
      <c r="N67" s="38">
        <f>IF(AND($H67=1,$C67="内务违规"),IF($N66="",$B67&amp;"（"&amp;$F67&amp;"）",$N66&amp;"；"&amp;$B67&amp;"（"&amp;$F67&amp;"）"),$N66)</f>
        <v/>
      </c>
      <c r="O67" s="38">
        <f>IF(AND($I67=1,$C67="内务违规"),IF($O66="",$B67&amp;"（"&amp;$F67&amp;"）",$O66&amp;"；"&amp;$B67&amp;"（"&amp;$F67&amp;"）"),$O66)</f>
        <v/>
      </c>
    </row>
    <row r="68" ht="26" customHeight="1">
      <c r="A68" s="33" t="inlineStr">
        <is>
          <t>交通法</t>
        </is>
      </c>
      <c r="B68" s="34" t="inlineStr">
        <is>
          <t>不避让应急车辆</t>
        </is>
      </c>
      <c r="C68" s="40" t="inlineStr">
        <is>
          <t>违法</t>
        </is>
      </c>
      <c r="D68" s="33" t="n">
        <v>0</v>
      </c>
      <c r="E68" s="36" t="n">
        <v>8000</v>
      </c>
      <c r="F68" s="37" t="inlineStr">
        <is>
          <t>遇警报声/红蓝灯应急车辆未立即靠右让行</t>
        </is>
      </c>
      <c r="G68" s="38">
        <f>IF(SUMIFS('关键词库'!$C$2:$C$1679,'关键词库'!$B$2:$B$1679,$B68)&gt;0,1,0)</f>
        <v/>
      </c>
      <c r="H68" s="38">
        <f>IF(SUMIFS('关键词库'!$D$2:$D$1679,'关键词库'!$B$2:$B$1679,$B68)&gt;0,1,0)</f>
        <v/>
      </c>
      <c r="I68" s="38">
        <f>IF(SUMIFS('关键词库'!$E$2:$E$1679,'关键词库'!$B$2:$B$1679,$B68)&gt;0,1,0)</f>
        <v/>
      </c>
      <c r="J68" s="38">
        <f>IF(AND($G68=1,$C68&lt;&gt;"内务违规"),IF($J67="",$B68,$J67&amp;"、"&amp;$B68),$J67)</f>
        <v/>
      </c>
      <c r="K68" s="38">
        <f>IF(AND($H68=1,$C68&lt;&gt;"内务违规"),IF($K67="",$B68,$K67&amp;"、"&amp;$B68),$K67)</f>
        <v/>
      </c>
      <c r="L68" s="38">
        <f>IF(AND($I68=1,$C68&lt;&gt;"内务违规"),IF($L67="",$B68,$L67&amp;"、"&amp;$B68),$L67)</f>
        <v/>
      </c>
      <c r="M68" s="38">
        <f>IF(AND($G68=1,$C68="内务违规"),IF($M67="",$B68&amp;"（"&amp;$F68&amp;"）",$M67&amp;"；"&amp;$B68&amp;"（"&amp;$F68&amp;"）"),$M67)</f>
        <v/>
      </c>
      <c r="N68" s="38">
        <f>IF(AND($H68=1,$C68="内务违规"),IF($N67="",$B68&amp;"（"&amp;$F68&amp;"）",$N67&amp;"；"&amp;$B68&amp;"（"&amp;$F68&amp;"）"),$N67)</f>
        <v/>
      </c>
      <c r="O68" s="38">
        <f>IF(AND($I68=1,$C68="内务违规"),IF($O67="",$B68&amp;"（"&amp;$F68&amp;"）",$O67&amp;"；"&amp;$B68&amp;"（"&amp;$F68&amp;"）"),$O67)</f>
        <v/>
      </c>
    </row>
    <row r="69" ht="26" customHeight="1">
      <c r="A69" s="33" t="inlineStr">
        <is>
          <t>交通法</t>
        </is>
      </c>
      <c r="B69" s="34" t="inlineStr">
        <is>
          <t>超速</t>
        </is>
      </c>
      <c r="C69" s="40" t="inlineStr">
        <is>
          <t>违法</t>
        </is>
      </c>
      <c r="D69" s="33" t="n">
        <v>0</v>
      </c>
      <c r="E69" s="36" t="n">
        <v>2000</v>
      </c>
      <c r="F69" s="37" t="inlineStr">
        <is>
          <t>超速10MPH内/低于最低限速/非法停车≤$500；超10-20=$500-1000；超20以上=$2000</t>
        </is>
      </c>
      <c r="G69" s="38">
        <f>IF(SUMIFS('关键词库'!$C$2:$C$1679,'关键词库'!$B$2:$B$1679,$B69)&gt;0,1,0)</f>
        <v/>
      </c>
      <c r="H69" s="38">
        <f>IF(SUMIFS('关键词库'!$D$2:$D$1679,'关键词库'!$B$2:$B$1679,$B69)&gt;0,1,0)</f>
        <v/>
      </c>
      <c r="I69" s="38">
        <f>IF(SUMIFS('关键词库'!$E$2:$E$1679,'关键词库'!$B$2:$B$1679,$B69)&gt;0,1,0)</f>
        <v/>
      </c>
      <c r="J69" s="38">
        <f>IF(AND($G69=1,$C69&lt;&gt;"内务违规"),IF($J68="",$B69,$J68&amp;"、"&amp;$B69),$J68)</f>
        <v/>
      </c>
      <c r="K69" s="38">
        <f>IF(AND($H69=1,$C69&lt;&gt;"内务违规"),IF($K68="",$B69,$K68&amp;"、"&amp;$B69),$K68)</f>
        <v/>
      </c>
      <c r="L69" s="38">
        <f>IF(AND($I69=1,$C69&lt;&gt;"内务违规"),IF($L68="",$B69,$L68&amp;"、"&amp;$B69),$L68)</f>
        <v/>
      </c>
      <c r="M69" s="38">
        <f>IF(AND($G69=1,$C69="内务违规"),IF($M68="",$B69&amp;"（"&amp;$F69&amp;"）",$M68&amp;"；"&amp;$B69&amp;"（"&amp;$F69&amp;"）"),$M68)</f>
        <v/>
      </c>
      <c r="N69" s="38">
        <f>IF(AND($H69=1,$C69="内务违规"),IF($N68="",$B69&amp;"（"&amp;$F69&amp;"）",$N68&amp;"；"&amp;$B69&amp;"（"&amp;$F69&amp;"）"),$N68)</f>
        <v/>
      </c>
      <c r="O69" s="38">
        <f>IF(AND($I69=1,$C69="内务违规"),IF($O68="",$B69&amp;"（"&amp;$F69&amp;"）",$O68&amp;"；"&amp;$B69&amp;"（"&amp;$F69&amp;"）"),$O68)</f>
        <v/>
      </c>
    </row>
    <row r="70" ht="26" customHeight="1">
      <c r="A70" s="33" t="inlineStr">
        <is>
          <t>交通法</t>
        </is>
      </c>
      <c r="B70" s="34" t="inlineStr">
        <is>
          <t>违规停车</t>
        </is>
      </c>
      <c r="C70" s="40" t="inlineStr">
        <is>
          <t>违法</t>
        </is>
      </c>
      <c r="D70" s="33" t="n">
        <v>0</v>
      </c>
      <c r="E70" s="36" t="n">
        <v>500</v>
      </c>
      <c r="F70" s="37" t="inlineStr">
        <is>
          <t>在禁停处/妨碍交通处停车</t>
        </is>
      </c>
      <c r="G70" s="38">
        <f>IF(SUMIFS('关键词库'!$C$2:$C$1679,'关键词库'!$B$2:$B$1679,$B70)&gt;0,1,0)</f>
        <v/>
      </c>
      <c r="H70" s="38">
        <f>IF(SUMIFS('关键词库'!$D$2:$D$1679,'关键词库'!$B$2:$B$1679,$B70)&gt;0,1,0)</f>
        <v/>
      </c>
      <c r="I70" s="38">
        <f>IF(SUMIFS('关键词库'!$E$2:$E$1679,'关键词库'!$B$2:$B$1679,$B70)&gt;0,1,0)</f>
        <v/>
      </c>
      <c r="J70" s="38">
        <f>IF(AND($G70=1,$C70&lt;&gt;"内务违规"),IF($J69="",$B70,$J69&amp;"、"&amp;$B70),$J69)</f>
        <v/>
      </c>
      <c r="K70" s="38">
        <f>IF(AND($H70=1,$C70&lt;&gt;"内务违规"),IF($K69="",$B70,$K69&amp;"、"&amp;$B70),$K69)</f>
        <v/>
      </c>
      <c r="L70" s="38">
        <f>IF(AND($I70=1,$C70&lt;&gt;"内务违规"),IF($L69="",$B70,$L69&amp;"、"&amp;$B70),$L69)</f>
        <v/>
      </c>
      <c r="M70" s="38">
        <f>IF(AND($G70=1,$C70="内务违规"),IF($M69="",$B70&amp;"（"&amp;$F70&amp;"）",$M69&amp;"；"&amp;$B70&amp;"（"&amp;$F70&amp;"）"),$M69)</f>
        <v/>
      </c>
      <c r="N70" s="38">
        <f>IF(AND($H70=1,$C70="内务违规"),IF($N69="",$B70&amp;"（"&amp;$F70&amp;"）",$N69&amp;"；"&amp;$B70&amp;"（"&amp;$F70&amp;"）"),$N69)</f>
        <v/>
      </c>
      <c r="O70" s="38">
        <f>IF(AND($I70=1,$C70="内务违规"),IF($O69="",$B70&amp;"（"&amp;$F70&amp;"）",$O69&amp;"；"&amp;$B70&amp;"（"&amp;$F70&amp;"）"),$O69)</f>
        <v/>
      </c>
    </row>
    <row r="71" ht="26" customHeight="1">
      <c r="A71" s="33" t="inlineStr">
        <is>
          <t>交通法</t>
        </is>
      </c>
      <c r="B71" s="34" t="inlineStr">
        <is>
          <t>危险驾驶</t>
        </is>
      </c>
      <c r="C71" s="35" t="inlineStr">
        <is>
          <t>轻罪</t>
        </is>
      </c>
      <c r="D71" s="33" t="n">
        <v>12</v>
      </c>
      <c r="E71" s="36" t="n">
        <v>5000</v>
      </c>
      <c r="F71" s="37" t="inlineStr">
        <is>
          <t>漠视安全(逆行/多次撞击/破坏公共财产)/超速+危险因素/违规威胁公共安全（另扣车）</t>
        </is>
      </c>
      <c r="G71" s="38">
        <f>IF(SUMIFS('关键词库'!$C$2:$C$1679,'关键词库'!$B$2:$B$1679,$B71)&gt;0,1,0)</f>
        <v/>
      </c>
      <c r="H71" s="38">
        <f>IF(SUMIFS('关键词库'!$D$2:$D$1679,'关键词库'!$B$2:$B$1679,$B71)&gt;0,1,0)</f>
        <v/>
      </c>
      <c r="I71" s="38">
        <f>IF(SUMIFS('关键词库'!$E$2:$E$1679,'关键词库'!$B$2:$B$1679,$B71)&gt;0,1,0)</f>
        <v/>
      </c>
      <c r="J71" s="38">
        <f>IF(AND($G71=1,$C71&lt;&gt;"内务违规"),IF($J70="",$B71,$J70&amp;"、"&amp;$B71),$J70)</f>
        <v/>
      </c>
      <c r="K71" s="38">
        <f>IF(AND($H71=1,$C71&lt;&gt;"内务违规"),IF($K70="",$B71,$K70&amp;"、"&amp;$B71),$K70)</f>
        <v/>
      </c>
      <c r="L71" s="38">
        <f>IF(AND($I71=1,$C71&lt;&gt;"内务违规"),IF($L70="",$B71,$L70&amp;"、"&amp;$B71),$L70)</f>
        <v/>
      </c>
      <c r="M71" s="38">
        <f>IF(AND($G71=1,$C71="内务违规"),IF($M70="",$B71&amp;"（"&amp;$F71&amp;"）",$M70&amp;"；"&amp;$B71&amp;"（"&amp;$F71&amp;"）"),$M70)</f>
        <v/>
      </c>
      <c r="N71" s="38">
        <f>IF(AND($H71=1,$C71="内务违规"),IF($N70="",$B71&amp;"（"&amp;$F71&amp;"）",$N70&amp;"；"&amp;$B71&amp;"（"&amp;$F71&amp;"）"),$N70)</f>
        <v/>
      </c>
      <c r="O71" s="38">
        <f>IF(AND($I71=1,$C71="内务违规"),IF($O70="",$B71&amp;"（"&amp;$F71&amp;"）",$O70&amp;"；"&amp;$B71&amp;"（"&amp;$F71&amp;"）"),$O70)</f>
        <v/>
      </c>
    </row>
    <row r="72" ht="26" customHeight="1">
      <c r="A72" s="33" t="inlineStr">
        <is>
          <t>交通法</t>
        </is>
      </c>
      <c r="B72" s="34" t="inlineStr">
        <is>
          <t>飙车</t>
        </is>
      </c>
      <c r="C72" s="35" t="inlineStr">
        <is>
          <t>轻罪</t>
        </is>
      </c>
      <c r="D72" s="33" t="n">
        <v>24</v>
      </c>
      <c r="E72" s="36" t="n">
        <v>5000</v>
      </c>
      <c r="F72" s="37" t="inlineStr">
        <is>
          <t>公共道路两车以上计时竞速 / 帮助竞速或设障（另暂停驾照）</t>
        </is>
      </c>
      <c r="G72" s="38">
        <f>IF(SUMIFS('关键词库'!$C$2:$C$1679,'关键词库'!$B$2:$B$1679,$B72)&gt;0,1,0)</f>
        <v/>
      </c>
      <c r="H72" s="38">
        <f>IF(SUMIFS('关键词库'!$D$2:$D$1679,'关键词库'!$B$2:$B$1679,$B72)&gt;0,1,0)</f>
        <v/>
      </c>
      <c r="I72" s="38">
        <f>IF(SUMIFS('关键词库'!$E$2:$E$1679,'关键词库'!$B$2:$B$1679,$B72)&gt;0,1,0)</f>
        <v/>
      </c>
      <c r="J72" s="38">
        <f>IF(AND($G72=1,$C72&lt;&gt;"内务违规"),IF($J71="",$B72,$J71&amp;"、"&amp;$B72),$J71)</f>
        <v/>
      </c>
      <c r="K72" s="38">
        <f>IF(AND($H72=1,$C72&lt;&gt;"内务违规"),IF($K71="",$B72,$K71&amp;"、"&amp;$B72),$K71)</f>
        <v/>
      </c>
      <c r="L72" s="38">
        <f>IF(AND($I72=1,$C72&lt;&gt;"内务违规"),IF($L71="",$B72,$L71&amp;"、"&amp;$B72),$L71)</f>
        <v/>
      </c>
      <c r="M72" s="38">
        <f>IF(AND($G72=1,$C72="内务违规"),IF($M71="",$B72&amp;"（"&amp;$F72&amp;"）",$M71&amp;"；"&amp;$B72&amp;"（"&amp;$F72&amp;"）"),$M71)</f>
        <v/>
      </c>
      <c r="N72" s="38">
        <f>IF(AND($H72=1,$C72="内务违规"),IF($N71="",$B72&amp;"（"&amp;$F72&amp;"）",$N71&amp;"；"&amp;$B72&amp;"（"&amp;$F72&amp;"）"),$N71)</f>
        <v/>
      </c>
      <c r="O72" s="38">
        <f>IF(AND($I72=1,$C72="内务违规"),IF($O71="",$B72&amp;"（"&amp;$F72&amp;"）",$O71&amp;"；"&amp;$B72&amp;"（"&amp;$F72&amp;"）"),$O71)</f>
        <v/>
      </c>
    </row>
    <row r="73" ht="26" customHeight="1">
      <c r="A73" s="33" t="inlineStr">
        <is>
          <t>交通法</t>
        </is>
      </c>
      <c r="B73" s="34" t="inlineStr">
        <is>
          <t>醉驾或毒驾</t>
        </is>
      </c>
      <c r="C73" s="35" t="inlineStr">
        <is>
          <t>轻罪</t>
        </is>
      </c>
      <c r="D73" s="33" t="n">
        <v>24</v>
      </c>
      <c r="E73" s="36" t="n">
        <v>8000</v>
      </c>
      <c r="F73" s="37" t="inlineStr">
        <is>
          <t>BAC≥0.08%或服管制物品驾驶（另扣车+暂停所有驾驶许可）</t>
        </is>
      </c>
      <c r="G73" s="38">
        <f>IF(SUMIFS('关键词库'!$C$2:$C$1679,'关键词库'!$B$2:$B$1679,$B73)&gt;0,1,0)</f>
        <v/>
      </c>
      <c r="H73" s="38">
        <f>IF(SUMIFS('关键词库'!$D$2:$D$1679,'关键词库'!$B$2:$B$1679,$B73)&gt;0,1,0)</f>
        <v/>
      </c>
      <c r="I73" s="38">
        <f>IF(SUMIFS('关键词库'!$E$2:$E$1679,'关键词库'!$B$2:$B$1679,$B73)&gt;0,1,0)</f>
        <v/>
      </c>
      <c r="J73" s="38">
        <f>IF(AND($G73=1,$C73&lt;&gt;"内务违规"),IF($J72="",$B73,$J72&amp;"、"&amp;$B73),$J72)</f>
        <v/>
      </c>
      <c r="K73" s="38">
        <f>IF(AND($H73=1,$C73&lt;&gt;"内务违规"),IF($K72="",$B73,$K72&amp;"、"&amp;$B73),$K72)</f>
        <v/>
      </c>
      <c r="L73" s="38">
        <f>IF(AND($I73=1,$C73&lt;&gt;"内务违规"),IF($L72="",$B73,$L72&amp;"、"&amp;$B73),$L72)</f>
        <v/>
      </c>
      <c r="M73" s="38">
        <f>IF(AND($G73=1,$C73="内务违规"),IF($M72="",$B73&amp;"（"&amp;$F73&amp;"）",$M72&amp;"；"&amp;$B73&amp;"（"&amp;$F73&amp;"）"),$M72)</f>
        <v/>
      </c>
      <c r="N73" s="38">
        <f>IF(AND($H73=1,$C73="内务违规"),IF($N72="",$B73&amp;"（"&amp;$F73&amp;"）",$N72&amp;"；"&amp;$B73&amp;"（"&amp;$F73&amp;"）"),$N72)</f>
        <v/>
      </c>
      <c r="O73" s="38">
        <f>IF(AND($I73=1,$C73="内务违规"),IF($O72="",$B73&amp;"（"&amp;$F73&amp;"）",$O72&amp;"；"&amp;$B73&amp;"（"&amp;$F73&amp;"）"),$O72)</f>
        <v/>
      </c>
    </row>
    <row r="74" ht="26" customHeight="1">
      <c r="A74" s="33" t="inlineStr">
        <is>
          <t>交通法</t>
        </is>
      </c>
      <c r="B74" s="34" t="inlineStr">
        <is>
          <t>严重醉驾或毒驾</t>
        </is>
      </c>
      <c r="C74" s="39" t="inlineStr">
        <is>
          <t>重罪</t>
        </is>
      </c>
      <c r="D74" s="33" t="n">
        <v>36</v>
      </c>
      <c r="E74" s="36" t="n">
        <v>10000</v>
      </c>
      <c r="F74" s="37" t="inlineStr">
        <is>
          <t>BAC≥0.15%且危害他人/一年内4次以上违规（另扣车+吊销驾照）</t>
        </is>
      </c>
      <c r="G74" s="38">
        <f>IF(SUMIFS('关键词库'!$C$2:$C$1679,'关键词库'!$B$2:$B$1679,$B74)&gt;0,1,0)</f>
        <v/>
      </c>
      <c r="H74" s="38">
        <f>IF(SUMIFS('关键词库'!$D$2:$D$1679,'关键词库'!$B$2:$B$1679,$B74)&gt;0,1,0)</f>
        <v/>
      </c>
      <c r="I74" s="38">
        <f>IF(SUMIFS('关键词库'!$E$2:$E$1679,'关键词库'!$B$2:$B$1679,$B74)&gt;0,1,0)</f>
        <v/>
      </c>
      <c r="J74" s="38">
        <f>IF(AND($G74=1,$C74&lt;&gt;"内务违规"),IF($J73="",$B74,$J73&amp;"、"&amp;$B74),$J73)</f>
        <v/>
      </c>
      <c r="K74" s="38">
        <f>IF(AND($H74=1,$C74&lt;&gt;"内务违规"),IF($K73="",$B74,$K73&amp;"、"&amp;$B74),$K73)</f>
        <v/>
      </c>
      <c r="L74" s="38">
        <f>IF(AND($I74=1,$C74&lt;&gt;"内务违规"),IF($L73="",$B74,$L73&amp;"、"&amp;$B74),$L73)</f>
        <v/>
      </c>
      <c r="M74" s="38">
        <f>IF(AND($G74=1,$C74="内务违规"),IF($M73="",$B74&amp;"（"&amp;$F74&amp;"）",$M73&amp;"；"&amp;$B74&amp;"（"&amp;$F74&amp;"）"),$M73)</f>
        <v/>
      </c>
      <c r="N74" s="38">
        <f>IF(AND($H74=1,$C74="内务违规"),IF($N73="",$B74&amp;"（"&amp;$F74&amp;"）",$N73&amp;"；"&amp;$B74&amp;"（"&amp;$F74&amp;"）"),$N73)</f>
        <v/>
      </c>
      <c r="O74" s="38">
        <f>IF(AND($I74=1,$C74="内务违规"),IF($O73="",$B74&amp;"（"&amp;$F74&amp;"）",$O73&amp;"；"&amp;$B74&amp;"（"&amp;$F74&amp;"）"),$O73)</f>
        <v/>
      </c>
    </row>
    <row r="75" ht="26" customHeight="1">
      <c r="A75" s="33" t="inlineStr">
        <is>
          <t>交通法</t>
        </is>
      </c>
      <c r="B75" s="34" t="inlineStr">
        <is>
          <t>非法车辆改装</t>
        </is>
      </c>
      <c r="C75" s="40" t="inlineStr">
        <is>
          <t>违法</t>
        </is>
      </c>
      <c r="D75" s="33" t="n">
        <v>0</v>
      </c>
      <c r="E75" s="36" t="n">
        <v>15000</v>
      </c>
      <c r="F75" s="37" t="inlineStr">
        <is>
          <t>氮气/赛用改装/车窗透光率&lt;70%/私改未报备（另拆除非法改装件）</t>
        </is>
      </c>
      <c r="G75" s="38">
        <f>IF(SUMIFS('关键词库'!$C$2:$C$1679,'关键词库'!$B$2:$B$1679,$B75)&gt;0,1,0)</f>
        <v/>
      </c>
      <c r="H75" s="38">
        <f>IF(SUMIFS('关键词库'!$D$2:$D$1679,'关键词库'!$B$2:$B$1679,$B75)&gt;0,1,0)</f>
        <v/>
      </c>
      <c r="I75" s="38">
        <f>IF(SUMIFS('关键词库'!$E$2:$E$1679,'关键词库'!$B$2:$B$1679,$B75)&gt;0,1,0)</f>
        <v/>
      </c>
      <c r="J75" s="38">
        <f>IF(AND($G75=1,$C75&lt;&gt;"内务违规"),IF($J74="",$B75,$J74&amp;"、"&amp;$B75),$J74)</f>
        <v/>
      </c>
      <c r="K75" s="38">
        <f>IF(AND($H75=1,$C75&lt;&gt;"内务违规"),IF($K74="",$B75,$K74&amp;"、"&amp;$B75),$K74)</f>
        <v/>
      </c>
      <c r="L75" s="38">
        <f>IF(AND($I75=1,$C75&lt;&gt;"内务违规"),IF($L74="",$B75,$L74&amp;"、"&amp;$B75),$L74)</f>
        <v/>
      </c>
      <c r="M75" s="38">
        <f>IF(AND($G75=1,$C75="内务违规"),IF($M74="",$B75&amp;"（"&amp;$F75&amp;"）",$M74&amp;"；"&amp;$B75&amp;"（"&amp;$F75&amp;"）"),$M74)</f>
        <v/>
      </c>
      <c r="N75" s="38">
        <f>IF(AND($H75=1,$C75="内务违规"),IF($N74="",$B75&amp;"（"&amp;$F75&amp;"）",$N74&amp;"；"&amp;$B75&amp;"（"&amp;$F75&amp;"）"),$N74)</f>
        <v/>
      </c>
      <c r="O75" s="38">
        <f>IF(AND($I75=1,$C75="内务违规"),IF($O74="",$B75&amp;"（"&amp;$F75&amp;"）",$O74&amp;"；"&amp;$B75&amp;"（"&amp;$F75&amp;"）"),$O74)</f>
        <v/>
      </c>
    </row>
    <row r="76" ht="26" customHeight="1">
      <c r="A76" s="33" t="inlineStr">
        <is>
          <t>经营法</t>
        </is>
      </c>
      <c r="B76" s="34" t="inlineStr">
        <is>
          <t>售卖非注册商品</t>
        </is>
      </c>
      <c r="C76" s="40" t="inlineStr">
        <is>
          <t>违法</t>
        </is>
      </c>
      <c r="D76" s="33" t="n">
        <v>0</v>
      </c>
      <c r="E76" s="36" t="n">
        <v>10000</v>
      </c>
      <c r="F76" s="37" t="inlineStr">
        <is>
          <t>向他人售卖盈利场所注册商品以外的商品</t>
        </is>
      </c>
      <c r="G76" s="38">
        <f>IF(SUMIFS('关键词库'!$C$2:$C$1679,'关键词库'!$B$2:$B$1679,$B76)&gt;0,1,0)</f>
        <v/>
      </c>
      <c r="H76" s="38">
        <f>IF(SUMIFS('关键词库'!$D$2:$D$1679,'关键词库'!$B$2:$B$1679,$B76)&gt;0,1,0)</f>
        <v/>
      </c>
      <c r="I76" s="38">
        <f>IF(SUMIFS('关键词库'!$E$2:$E$1679,'关键词库'!$B$2:$B$1679,$B76)&gt;0,1,0)</f>
        <v/>
      </c>
      <c r="J76" s="38">
        <f>IF(AND($G76=1,$C76&lt;&gt;"内务违规"),IF($J75="",$B76,$J75&amp;"、"&amp;$B76),$J75)</f>
        <v/>
      </c>
      <c r="K76" s="38">
        <f>IF(AND($H76=1,$C76&lt;&gt;"内务违规"),IF($K75="",$B76,$K75&amp;"、"&amp;$B76),$K75)</f>
        <v/>
      </c>
      <c r="L76" s="38">
        <f>IF(AND($I76=1,$C76&lt;&gt;"内务违规"),IF($L75="",$B76,$L75&amp;"、"&amp;$B76),$L75)</f>
        <v/>
      </c>
      <c r="M76" s="38">
        <f>IF(AND($G76=1,$C76="内务违规"),IF($M75="",$B76&amp;"（"&amp;$F76&amp;"）",$M75&amp;"；"&amp;$B76&amp;"（"&amp;$F76&amp;"）"),$M75)</f>
        <v/>
      </c>
      <c r="N76" s="38">
        <f>IF(AND($H76=1,$C76="内务违规"),IF($N75="",$B76&amp;"（"&amp;$F76&amp;"）",$N75&amp;"；"&amp;$B76&amp;"（"&amp;$F76&amp;"）"),$N75)</f>
        <v/>
      </c>
      <c r="O76" s="38">
        <f>IF(AND($I76=1,$C76="内务违规"),IF($O75="",$B76&amp;"（"&amp;$F76&amp;"）",$O75&amp;"；"&amp;$B76&amp;"（"&amp;$F76&amp;"）"),$O75)</f>
        <v/>
      </c>
    </row>
    <row r="77" ht="26" customHeight="1">
      <c r="A77" s="33" t="inlineStr">
        <is>
          <t>经营法</t>
        </is>
      </c>
      <c r="B77" s="34" t="inlineStr">
        <is>
          <t>虚假报价</t>
        </is>
      </c>
      <c r="C77" s="40" t="inlineStr">
        <is>
          <t>违法</t>
        </is>
      </c>
      <c r="D77" s="33" t="n">
        <v>0</v>
      </c>
      <c r="E77" s="36" t="n">
        <v>20000</v>
      </c>
      <c r="F77" s="37" t="inlineStr">
        <is>
          <t>向他人虚报商品价格</t>
        </is>
      </c>
      <c r="G77" s="38">
        <f>IF(SUMIFS('关键词库'!$C$2:$C$1679,'关键词库'!$B$2:$B$1679,$B77)&gt;0,1,0)</f>
        <v/>
      </c>
      <c r="H77" s="38">
        <f>IF(SUMIFS('关键词库'!$D$2:$D$1679,'关键词库'!$B$2:$B$1679,$B77)&gt;0,1,0)</f>
        <v/>
      </c>
      <c r="I77" s="38">
        <f>IF(SUMIFS('关键词库'!$E$2:$E$1679,'关键词库'!$B$2:$B$1679,$B77)&gt;0,1,0)</f>
        <v/>
      </c>
      <c r="J77" s="38">
        <f>IF(AND($G77=1,$C77&lt;&gt;"内务违规"),IF($J76="",$B77,$J76&amp;"、"&amp;$B77),$J76)</f>
        <v/>
      </c>
      <c r="K77" s="38">
        <f>IF(AND($H77=1,$C77&lt;&gt;"内务违规"),IF($K76="",$B77,$K76&amp;"、"&amp;$B77),$K76)</f>
        <v/>
      </c>
      <c r="L77" s="38">
        <f>IF(AND($I77=1,$C77&lt;&gt;"内务违规"),IF($L76="",$B77,$L76&amp;"、"&amp;$B77),$L76)</f>
        <v/>
      </c>
      <c r="M77" s="38">
        <f>IF(AND($G77=1,$C77="内务违规"),IF($M76="",$B77&amp;"（"&amp;$F77&amp;"）",$M76&amp;"；"&amp;$B77&amp;"（"&amp;$F77&amp;"）"),$M76)</f>
        <v/>
      </c>
      <c r="N77" s="38">
        <f>IF(AND($H77=1,$C77="内务违规"),IF($N76="",$B77&amp;"（"&amp;$F77&amp;"）",$N76&amp;"；"&amp;$B77&amp;"（"&amp;$F77&amp;"）"),$N76)</f>
        <v/>
      </c>
      <c r="O77" s="38">
        <f>IF(AND($I77=1,$C77="内务违规"),IF($O76="",$B77&amp;"（"&amp;$F77&amp;"）",$O76&amp;"；"&amp;$B77&amp;"（"&amp;$F77&amp;"）"),$O76)</f>
        <v/>
      </c>
    </row>
    <row r="78" ht="26" customHeight="1">
      <c r="A78" s="33" t="inlineStr">
        <is>
          <t>经营法</t>
        </is>
      </c>
      <c r="B78" s="34" t="inlineStr">
        <is>
          <t>非法经营</t>
        </is>
      </c>
      <c r="C78" s="40" t="inlineStr">
        <is>
          <t>违法</t>
        </is>
      </c>
      <c r="D78" s="33" t="n">
        <v>0</v>
      </c>
      <c r="E78" s="36" t="n">
        <v>8000</v>
      </c>
      <c r="F78" s="37" t="inlineStr">
        <is>
          <t>未申请/无营业许可进行盈利活动（另没收贩卖商品）</t>
        </is>
      </c>
      <c r="G78" s="38">
        <f>IF(SUMIFS('关键词库'!$C$2:$C$1679,'关键词库'!$B$2:$B$1679,$B78)&gt;0,1,0)</f>
        <v/>
      </c>
      <c r="H78" s="38">
        <f>IF(SUMIFS('关键词库'!$D$2:$D$1679,'关键词库'!$B$2:$B$1679,$B78)&gt;0,1,0)</f>
        <v/>
      </c>
      <c r="I78" s="38">
        <f>IF(SUMIFS('关键词库'!$E$2:$E$1679,'关键词库'!$B$2:$B$1679,$B78)&gt;0,1,0)</f>
        <v/>
      </c>
      <c r="J78" s="38">
        <f>IF(AND($G78=1,$C78&lt;&gt;"内务违规"),IF($J77="",$B78,$J77&amp;"、"&amp;$B78),$J77)</f>
        <v/>
      </c>
      <c r="K78" s="38">
        <f>IF(AND($H78=1,$C78&lt;&gt;"内务违规"),IF($K77="",$B78,$K77&amp;"、"&amp;$B78),$K77)</f>
        <v/>
      </c>
      <c r="L78" s="38">
        <f>IF(AND($I78=1,$C78&lt;&gt;"内务违规"),IF($L77="",$B78,$L77&amp;"、"&amp;$B78),$L77)</f>
        <v/>
      </c>
      <c r="M78" s="38">
        <f>IF(AND($G78=1,$C78="内务违规"),IF($M77="",$B78&amp;"（"&amp;$F78&amp;"）",$M77&amp;"；"&amp;$B78&amp;"（"&amp;$F78&amp;"）"),$M77)</f>
        <v/>
      </c>
      <c r="N78" s="38">
        <f>IF(AND($H78=1,$C78="内务违规"),IF($N77="",$B78&amp;"（"&amp;$F78&amp;"）",$N77&amp;"；"&amp;$B78&amp;"（"&amp;$F78&amp;"）"),$N77)</f>
        <v/>
      </c>
      <c r="O78" s="38">
        <f>IF(AND($I78=1,$C78="内务违规"),IF($O77="",$B78&amp;"（"&amp;$F78&amp;"）",$O77&amp;"；"&amp;$B78&amp;"（"&amp;$F78&amp;"）"),$O77)</f>
        <v/>
      </c>
    </row>
    <row r="79" ht="26" customHeight="1">
      <c r="A79" s="33" t="inlineStr">
        <is>
          <t>经营法</t>
        </is>
      </c>
      <c r="B79" s="34" t="inlineStr">
        <is>
          <t>拒绝食品/监督检查</t>
        </is>
      </c>
      <c r="C79" s="40" t="inlineStr">
        <is>
          <t>违法</t>
        </is>
      </c>
      <c r="D79" s="33" t="n">
        <v>0</v>
      </c>
      <c r="E79" s="36" t="n">
        <v>20000</v>
      </c>
      <c r="F79" s="37" t="inlineStr">
        <is>
          <t>拒绝/阻挠政府食品安全监督检查等（另停产营业；严重者取消许可/没收保证金/冻结盈利）</t>
        </is>
      </c>
      <c r="G79" s="38">
        <f>IF(SUMIFS('关键词库'!$C$2:$C$1679,'关键词库'!$B$2:$B$1679,$B79)&gt;0,1,0)</f>
        <v/>
      </c>
      <c r="H79" s="38">
        <f>IF(SUMIFS('关键词库'!$D$2:$D$1679,'关键词库'!$B$2:$B$1679,$B79)&gt;0,1,0)</f>
        <v/>
      </c>
      <c r="I79" s="38">
        <f>IF(SUMIFS('关键词库'!$E$2:$E$1679,'关键词库'!$B$2:$B$1679,$B79)&gt;0,1,0)</f>
        <v/>
      </c>
      <c r="J79" s="38">
        <f>IF(AND($G79=1,$C79&lt;&gt;"内务违规"),IF($J78="",$B79,$J78&amp;"、"&amp;$B79),$J78)</f>
        <v/>
      </c>
      <c r="K79" s="38">
        <f>IF(AND($H79=1,$C79&lt;&gt;"内务违规"),IF($K78="",$B79,$K78&amp;"、"&amp;$B79),$K78)</f>
        <v/>
      </c>
      <c r="L79" s="38">
        <f>IF(AND($I79=1,$C79&lt;&gt;"内务违规"),IF($L78="",$B79,$L78&amp;"、"&amp;$B79),$L78)</f>
        <v/>
      </c>
      <c r="M79" s="38">
        <f>IF(AND($G79=1,$C79="内务违规"),IF($M78="",$B79&amp;"（"&amp;$F79&amp;"）",$M78&amp;"；"&amp;$B79&amp;"（"&amp;$F79&amp;"）"),$M78)</f>
        <v/>
      </c>
      <c r="N79" s="38">
        <f>IF(AND($H79=1,$C79="内务违规"),IF($N78="",$B79&amp;"（"&amp;$F79&amp;"）",$N78&amp;"；"&amp;$B79&amp;"（"&amp;$F79&amp;"）"),$N78)</f>
        <v/>
      </c>
      <c r="O79" s="38">
        <f>IF(AND($I79=1,$C79="内务违规"),IF($O78="",$B79&amp;"（"&amp;$F79&amp;"）",$O78&amp;"；"&amp;$B79&amp;"（"&amp;$F79&amp;"）"),$O78)</f>
        <v/>
      </c>
    </row>
    <row r="80" ht="26" customHeight="1">
      <c r="A80" s="33" t="inlineStr">
        <is>
          <t>经营法</t>
        </is>
      </c>
      <c r="B80" s="34" t="inlineStr">
        <is>
          <t>拒绝缴纳税款</t>
        </is>
      </c>
      <c r="C80" s="40" t="inlineStr">
        <is>
          <t>违法</t>
        </is>
      </c>
      <c r="D80" s="33" t="n">
        <v>0</v>
      </c>
      <c r="E80" s="36" t="n">
        <v>0</v>
      </c>
      <c r="F80" s="37" t="inlineStr">
        <is>
          <t>盈利场所拒绝/推脱缴税（取消营业许可，没收保证金及营业公款）</t>
        </is>
      </c>
      <c r="G80" s="38">
        <f>IF(SUMIFS('关键词库'!$C$2:$C$1679,'关键词库'!$B$2:$B$1679,$B80)&gt;0,1,0)</f>
        <v/>
      </c>
      <c r="H80" s="38">
        <f>IF(SUMIFS('关键词库'!$D$2:$D$1679,'关键词库'!$B$2:$B$1679,$B80)&gt;0,1,0)</f>
        <v/>
      </c>
      <c r="I80" s="38">
        <f>IF(SUMIFS('关键词库'!$E$2:$E$1679,'关键词库'!$B$2:$B$1679,$B80)&gt;0,1,0)</f>
        <v/>
      </c>
      <c r="J80" s="38">
        <f>IF(AND($G80=1,$C80&lt;&gt;"内务违规"),IF($J79="",$B80,$J79&amp;"、"&amp;$B80),$J79)</f>
        <v/>
      </c>
      <c r="K80" s="38">
        <f>IF(AND($H80=1,$C80&lt;&gt;"内务违规"),IF($K79="",$B80,$K79&amp;"、"&amp;$B80),$K79)</f>
        <v/>
      </c>
      <c r="L80" s="38">
        <f>IF(AND($I80=1,$C80&lt;&gt;"内务违规"),IF($L79="",$B80,$L79&amp;"、"&amp;$B80),$L79)</f>
        <v/>
      </c>
      <c r="M80" s="38">
        <f>IF(AND($G80=1,$C80="内务违规"),IF($M79="",$B80&amp;"（"&amp;$F80&amp;"）",$M79&amp;"；"&amp;$B80&amp;"（"&amp;$F80&amp;"）"),$M79)</f>
        <v/>
      </c>
      <c r="N80" s="38">
        <f>IF(AND($H80=1,$C80="内务违规"),IF($N79="",$B80&amp;"（"&amp;$F80&amp;"）",$N79&amp;"；"&amp;$B80&amp;"（"&amp;$F80&amp;"）"),$N79)</f>
        <v/>
      </c>
      <c r="O80" s="38">
        <f>IF(AND($I80=1,$C80="内务违规"),IF($O79="",$B80&amp;"（"&amp;$F80&amp;"）",$O79&amp;"；"&amp;$B80&amp;"（"&amp;$F80&amp;"）"),$O79)</f>
        <v/>
      </c>
    </row>
    <row r="81" ht="26" customHeight="1">
      <c r="A81" s="33" t="inlineStr">
        <is>
          <t>经营法</t>
        </is>
      </c>
      <c r="B81" s="34" t="inlineStr">
        <is>
          <t>虚假财务报表</t>
        </is>
      </c>
      <c r="C81" s="40" t="inlineStr">
        <is>
          <t>违法</t>
        </is>
      </c>
      <c r="D81" s="33" t="n">
        <v>0</v>
      </c>
      <c r="E81" s="36" t="n">
        <v>30000</v>
      </c>
      <c r="F81" s="37" t="inlineStr">
        <is>
          <t>向政府隐瞒/提供虚假经营情况、人员、收入（另罚没保证金、吊销营业执照及经营公款）</t>
        </is>
      </c>
      <c r="G81" s="38">
        <f>IF(SUMIFS('关键词库'!$C$2:$C$1679,'关键词库'!$B$2:$B$1679,$B81)&gt;0,1,0)</f>
        <v/>
      </c>
      <c r="H81" s="38">
        <f>IF(SUMIFS('关键词库'!$D$2:$D$1679,'关键词库'!$B$2:$B$1679,$B81)&gt;0,1,0)</f>
        <v/>
      </c>
      <c r="I81" s="38">
        <f>IF(SUMIFS('关键词库'!$E$2:$E$1679,'关键词库'!$B$2:$B$1679,$B81)&gt;0,1,0)</f>
        <v/>
      </c>
      <c r="J81" s="38">
        <f>IF(AND($G81=1,$C81&lt;&gt;"内务违规"),IF($J80="",$B81,$J80&amp;"、"&amp;$B81),$J80)</f>
        <v/>
      </c>
      <c r="K81" s="38">
        <f>IF(AND($H81=1,$C81&lt;&gt;"内务违规"),IF($K80="",$B81,$K80&amp;"、"&amp;$B81),$K80)</f>
        <v/>
      </c>
      <c r="L81" s="38">
        <f>IF(AND($I81=1,$C81&lt;&gt;"内务违规"),IF($L80="",$B81,$L80&amp;"、"&amp;$B81),$L80)</f>
        <v/>
      </c>
      <c r="M81" s="38">
        <f>IF(AND($G81=1,$C81="内务违规"),IF($M80="",$B81&amp;"（"&amp;$F81&amp;"）",$M80&amp;"；"&amp;$B81&amp;"（"&amp;$F81&amp;"）"),$M80)</f>
        <v/>
      </c>
      <c r="N81" s="38">
        <f>IF(AND($H81=1,$C81="内务违规"),IF($N80="",$B81&amp;"（"&amp;$F81&amp;"）",$N80&amp;"；"&amp;$B81&amp;"（"&amp;$F81&amp;"）"),$N80)</f>
        <v/>
      </c>
      <c r="O81" s="38">
        <f>IF(AND($I81=1,$C81="内务违规"),IF($O80="",$B81&amp;"（"&amp;$F81&amp;"）",$O80&amp;"；"&amp;$B81&amp;"（"&amp;$F81&amp;"）"),$O80)</f>
        <v/>
      </c>
    </row>
    <row r="82" ht="26" customHeight="1">
      <c r="A82" s="33" t="inlineStr">
        <is>
          <t>规·医护</t>
        </is>
      </c>
      <c r="B82" s="34" t="inlineStr">
        <is>
          <t>私自搜查患者</t>
        </is>
      </c>
      <c r="C82" s="41" t="inlineStr">
        <is>
          <t>内务违规</t>
        </is>
      </c>
      <c r="D82" s="33" t="n">
        <v>0</v>
      </c>
      <c r="E82" s="36" t="n">
        <v>0</v>
      </c>
      <c r="F82" s="37" t="inlineStr">
        <is>
          <t>内务处分：第一次警告，第二次直接开除</t>
        </is>
      </c>
      <c r="G82" s="38">
        <f>IF(SUMIFS('关键词库'!$C$2:$C$1679,'关键词库'!$B$2:$B$1679,$B82)&gt;0,1,0)</f>
        <v/>
      </c>
      <c r="H82" s="38">
        <f>IF(SUMIFS('关键词库'!$D$2:$D$1679,'关键词库'!$B$2:$B$1679,$B82)&gt;0,1,0)</f>
        <v/>
      </c>
      <c r="I82" s="38">
        <f>IF(SUMIFS('关键词库'!$E$2:$E$1679,'关键词库'!$B$2:$B$1679,$B82)&gt;0,1,0)</f>
        <v/>
      </c>
      <c r="J82" s="38">
        <f>IF(AND($G82=1,$C82&lt;&gt;"内务违规"),IF($J81="",$B82,$J81&amp;"、"&amp;$B82),$J81)</f>
        <v/>
      </c>
      <c r="K82" s="38">
        <f>IF(AND($H82=1,$C82&lt;&gt;"内务违规"),IF($K81="",$B82,$K81&amp;"、"&amp;$B82),$K81)</f>
        <v/>
      </c>
      <c r="L82" s="38">
        <f>IF(AND($I82=1,$C82&lt;&gt;"内务违规"),IF($L81="",$B82,$L81&amp;"、"&amp;$B82),$L81)</f>
        <v/>
      </c>
      <c r="M82" s="38">
        <f>IF(AND($G82=1,$C82="内务违规"),IF($M81="",$B82&amp;"（"&amp;$F82&amp;"）",$M81&amp;"；"&amp;$B82&amp;"（"&amp;$F82&amp;"）"),$M81)</f>
        <v/>
      </c>
      <c r="N82" s="38">
        <f>IF(AND($H82=1,$C82="内务违规"),IF($N81="",$B82&amp;"（"&amp;$F82&amp;"）",$N81&amp;"；"&amp;$B82&amp;"（"&amp;$F82&amp;"）"),$N81)</f>
        <v/>
      </c>
      <c r="O82" s="38">
        <f>IF(AND($I82=1,$C82="内务违规"),IF($O81="",$B82&amp;"（"&amp;$F82&amp;"）",$O81&amp;"；"&amp;$B82&amp;"（"&amp;$F82&amp;"）"),$O81)</f>
        <v/>
      </c>
    </row>
    <row r="83" ht="26" customHeight="1">
      <c r="A83" s="33" t="inlineStr">
        <is>
          <t>规·医护</t>
        </is>
      </c>
      <c r="B83" s="34" t="inlineStr">
        <is>
          <t>医护乱收费/收私钱</t>
        </is>
      </c>
      <c r="C83" s="41" t="inlineStr">
        <is>
          <t>内务违规</t>
        </is>
      </c>
      <c r="D83" s="33" t="n">
        <v>0</v>
      </c>
      <c r="E83" s="36" t="n">
        <v>0</v>
      </c>
      <c r="F83" s="37" t="inlineStr">
        <is>
          <t>内务处分：核实降级，多次开除</t>
        </is>
      </c>
      <c r="G83" s="38">
        <f>IF(SUMIFS('关键词库'!$C$2:$C$1679,'关键词库'!$B$2:$B$1679,$B83)&gt;0,1,0)</f>
        <v/>
      </c>
      <c r="H83" s="38">
        <f>IF(SUMIFS('关键词库'!$D$2:$D$1679,'关键词库'!$B$2:$B$1679,$B83)&gt;0,1,0)</f>
        <v/>
      </c>
      <c r="I83" s="38">
        <f>IF(SUMIFS('关键词库'!$E$2:$E$1679,'关键词库'!$B$2:$B$1679,$B83)&gt;0,1,0)</f>
        <v/>
      </c>
      <c r="J83" s="38">
        <f>IF(AND($G83=1,$C83&lt;&gt;"内务违规"),IF($J82="",$B83,$J82&amp;"、"&amp;$B83),$J82)</f>
        <v/>
      </c>
      <c r="K83" s="38">
        <f>IF(AND($H83=1,$C83&lt;&gt;"内务违规"),IF($K82="",$B83,$K82&amp;"、"&amp;$B83),$K82)</f>
        <v/>
      </c>
      <c r="L83" s="38">
        <f>IF(AND($I83=1,$C83&lt;&gt;"内务违规"),IF($L82="",$B83,$L82&amp;"、"&amp;$B83),$L82)</f>
        <v/>
      </c>
      <c r="M83" s="38">
        <f>IF(AND($G83=1,$C83="内务违规"),IF($M82="",$B83&amp;"（"&amp;$F83&amp;"）",$M82&amp;"；"&amp;$B83&amp;"（"&amp;$F83&amp;"）"),$M82)</f>
        <v/>
      </c>
      <c r="N83" s="38">
        <f>IF(AND($H83=1,$C83="内务违规"),IF($N82="",$B83&amp;"（"&amp;$F83&amp;"）",$N82&amp;"；"&amp;$B83&amp;"（"&amp;$F83&amp;"）"),$N82)</f>
        <v/>
      </c>
      <c r="O83" s="38">
        <f>IF(AND($I83=1,$C83="内务违规"),IF($O82="",$B83&amp;"（"&amp;$F83&amp;"）",$O82&amp;"；"&amp;$B83&amp;"（"&amp;$F83&amp;"）"),$O82)</f>
        <v/>
      </c>
    </row>
    <row r="84" ht="26" customHeight="1">
      <c r="A84" s="33" t="inlineStr">
        <is>
          <t>规·医护</t>
        </is>
      </c>
      <c r="B84" s="34" t="inlineStr">
        <is>
          <t>拒绝救治/拒绝住院</t>
        </is>
      </c>
      <c r="C84" s="41" t="inlineStr">
        <is>
          <t>内务违规</t>
        </is>
      </c>
      <c r="D84" s="33" t="n">
        <v>0</v>
      </c>
      <c r="E84" s="36" t="n">
        <v>0</v>
      </c>
      <c r="F84" s="37" t="inlineStr">
        <is>
          <t>内务违规：不得以任何理由拒绝住院/救治</t>
        </is>
      </c>
      <c r="G84" s="38">
        <f>IF(SUMIFS('关键词库'!$C$2:$C$1679,'关键词库'!$B$2:$B$1679,$B84)&gt;0,1,0)</f>
        <v/>
      </c>
      <c r="H84" s="38">
        <f>IF(SUMIFS('关键词库'!$D$2:$D$1679,'关键词库'!$B$2:$B$1679,$B84)&gt;0,1,0)</f>
        <v/>
      </c>
      <c r="I84" s="38">
        <f>IF(SUMIFS('关键词库'!$E$2:$E$1679,'关键词库'!$B$2:$B$1679,$B84)&gt;0,1,0)</f>
        <v/>
      </c>
      <c r="J84" s="38">
        <f>IF(AND($G84=1,$C84&lt;&gt;"内务违规"),IF($J83="",$B84,$J83&amp;"、"&amp;$B84),$J83)</f>
        <v/>
      </c>
      <c r="K84" s="38">
        <f>IF(AND($H84=1,$C84&lt;&gt;"内务违规"),IF($K83="",$B84,$K83&amp;"、"&amp;$B84),$K83)</f>
        <v/>
      </c>
      <c r="L84" s="38">
        <f>IF(AND($I84=1,$C84&lt;&gt;"内务违规"),IF($L83="",$B84,$L83&amp;"、"&amp;$B84),$L83)</f>
        <v/>
      </c>
      <c r="M84" s="38">
        <f>IF(AND($G84=1,$C84="内务违规"),IF($M83="",$B84&amp;"（"&amp;$F84&amp;"）",$M83&amp;"；"&amp;$B84&amp;"（"&amp;$F84&amp;"）"),$M83)</f>
        <v/>
      </c>
      <c r="N84" s="38">
        <f>IF(AND($H84=1,$C84="内务违规"),IF($N83="",$B84&amp;"（"&amp;$F84&amp;"）",$N83&amp;"；"&amp;$B84&amp;"（"&amp;$F84&amp;"）"),$N83)</f>
        <v/>
      </c>
      <c r="O84" s="38">
        <f>IF(AND($I84=1,$C84="内务违规"),IF($O83="",$B84&amp;"（"&amp;$F84&amp;"）",$O83&amp;"；"&amp;$B84&amp;"（"&amp;$F84&amp;"）"),$O83)</f>
        <v/>
      </c>
    </row>
    <row r="85" ht="26" customHeight="1">
      <c r="A85" s="33" t="inlineStr">
        <is>
          <t>规·医护</t>
        </is>
      </c>
      <c r="B85" s="34" t="inlineStr">
        <is>
          <t>医护上班违规</t>
        </is>
      </c>
      <c r="C85" s="41" t="inlineStr">
        <is>
          <t>内务违规</t>
        </is>
      </c>
      <c r="D85" s="33" t="n">
        <v>0</v>
      </c>
      <c r="E85" s="36" t="n">
        <v>0</v>
      </c>
      <c r="F85" s="37" t="inlineStr">
        <is>
          <t>内务违规：须穿工服/开救护车/不介入纠纷/开警灯警笛等</t>
        </is>
      </c>
      <c r="G85" s="38">
        <f>IF(SUMIFS('关键词库'!$C$2:$C$1679,'关键词库'!$B$2:$B$1679,$B85)&gt;0,1,0)</f>
        <v/>
      </c>
      <c r="H85" s="38">
        <f>IF(SUMIFS('关键词库'!$D$2:$D$1679,'关键词库'!$B$2:$B$1679,$B85)&gt;0,1,0)</f>
        <v/>
      </c>
      <c r="I85" s="38">
        <f>IF(SUMIFS('关键词库'!$E$2:$E$1679,'关键词库'!$B$2:$B$1679,$B85)&gt;0,1,0)</f>
        <v/>
      </c>
      <c r="J85" s="38">
        <f>IF(AND($G85=1,$C85&lt;&gt;"内务违规"),IF($J84="",$B85,$J84&amp;"、"&amp;$B85),$J84)</f>
        <v/>
      </c>
      <c r="K85" s="38">
        <f>IF(AND($H85=1,$C85&lt;&gt;"内务违规"),IF($K84="",$B85,$K84&amp;"、"&amp;$B85),$K84)</f>
        <v/>
      </c>
      <c r="L85" s="38">
        <f>IF(AND($I85=1,$C85&lt;&gt;"内务违规"),IF($L84="",$B85,$L84&amp;"、"&amp;$B85),$L84)</f>
        <v/>
      </c>
      <c r="M85" s="38">
        <f>IF(AND($G85=1,$C85="内务违规"),IF($M84="",$B85&amp;"（"&amp;$F85&amp;"）",$M84&amp;"；"&amp;$B85&amp;"（"&amp;$F85&amp;"）"),$M84)</f>
        <v/>
      </c>
      <c r="N85" s="38">
        <f>IF(AND($H85=1,$C85="内务违规"),IF($N84="",$B85&amp;"（"&amp;$F85&amp;"）",$N84&amp;"；"&amp;$B85&amp;"（"&amp;$F85&amp;"）"),$N84)</f>
        <v/>
      </c>
      <c r="O85" s="38">
        <f>IF(AND($I85=1,$C85="内务违规"),IF($O84="",$B85&amp;"（"&amp;$F85&amp;"）",$O84&amp;"；"&amp;$B85&amp;"（"&amp;$F85&amp;"）"),$O84)</f>
        <v/>
      </c>
    </row>
    <row r="86" ht="26" customHeight="1">
      <c r="A86" s="33" t="inlineStr">
        <is>
          <t>规·警务</t>
        </is>
      </c>
      <c r="B86" s="34" t="inlineStr">
        <is>
          <t>警械流出</t>
        </is>
      </c>
      <c r="C86" s="41" t="inlineStr">
        <is>
          <t>内务违规</t>
        </is>
      </c>
      <c r="D86" s="33" t="n">
        <v>0</v>
      </c>
      <c r="E86" s="36" t="n">
        <v>0</v>
      </c>
      <c r="F86" s="37" t="inlineStr">
        <is>
          <t>违反联邦法：FBI 调查，甚至永久驱逐出境</t>
        </is>
      </c>
      <c r="G86" s="38">
        <f>IF(SUMIFS('关键词库'!$C$2:$C$1679,'关键词库'!$B$2:$B$1679,$B86)&gt;0,1,0)</f>
        <v/>
      </c>
      <c r="H86" s="38">
        <f>IF(SUMIFS('关键词库'!$D$2:$D$1679,'关键词库'!$B$2:$B$1679,$B86)&gt;0,1,0)</f>
        <v/>
      </c>
      <c r="I86" s="38">
        <f>IF(SUMIFS('关键词库'!$E$2:$E$1679,'关键词库'!$B$2:$B$1679,$B86)&gt;0,1,0)</f>
        <v/>
      </c>
      <c r="J86" s="38">
        <f>IF(AND($G86=1,$C86&lt;&gt;"内务违规"),IF($J85="",$B86,$J85&amp;"、"&amp;$B86),$J85)</f>
        <v/>
      </c>
      <c r="K86" s="38">
        <f>IF(AND($H86=1,$C86&lt;&gt;"内务违规"),IF($K85="",$B86,$K85&amp;"、"&amp;$B86),$K85)</f>
        <v/>
      </c>
      <c r="L86" s="38">
        <f>IF(AND($I86=1,$C86&lt;&gt;"内务违规"),IF($L85="",$B86,$L85&amp;"、"&amp;$B86),$L85)</f>
        <v/>
      </c>
      <c r="M86" s="38">
        <f>IF(AND($G86=1,$C86="内务违规"),IF($M85="",$B86&amp;"（"&amp;$F86&amp;"）",$M85&amp;"；"&amp;$B86&amp;"（"&amp;$F86&amp;"）"),$M85)</f>
        <v/>
      </c>
      <c r="N86" s="38">
        <f>IF(AND($H86=1,$C86="内务违规"),IF($N85="",$B86&amp;"（"&amp;$F86&amp;"）",$N85&amp;"；"&amp;$B86&amp;"（"&amp;$F86&amp;"）"),$N85)</f>
        <v/>
      </c>
      <c r="O86" s="38">
        <f>IF(AND($I86=1,$C86="内务违规"),IF($O85="",$B86&amp;"（"&amp;$F86&amp;"）",$O85&amp;"；"&amp;$B86&amp;"（"&amp;$F86&amp;"）"),$O85)</f>
        <v/>
      </c>
    </row>
    <row r="87" ht="26" customHeight="1">
      <c r="A87" s="33" t="inlineStr">
        <is>
          <t>规·警务</t>
        </is>
      </c>
      <c r="B87" s="34" t="inlineStr">
        <is>
          <t>滥用/越级武力</t>
        </is>
      </c>
      <c r="C87" s="41" t="inlineStr">
        <is>
          <t>内务违规</t>
        </is>
      </c>
      <c r="D87" s="33" t="n">
        <v>0</v>
      </c>
      <c r="E87" s="36" t="n">
        <v>0</v>
      </c>
      <c r="F87" s="37" t="inlineStr">
        <is>
          <t>内务调查：错误/越级使用武力将受内务组调查</t>
        </is>
      </c>
      <c r="G87" s="38">
        <f>IF(SUMIFS('关键词库'!$C$2:$C$1679,'关键词库'!$B$2:$B$1679,$B87)&gt;0,1,0)</f>
        <v/>
      </c>
      <c r="H87" s="38">
        <f>IF(SUMIFS('关键词库'!$D$2:$D$1679,'关键词库'!$B$2:$B$1679,$B87)&gt;0,1,0)</f>
        <v/>
      </c>
      <c r="I87" s="38">
        <f>IF(SUMIFS('关键词库'!$E$2:$E$1679,'关键词库'!$B$2:$B$1679,$B87)&gt;0,1,0)</f>
        <v/>
      </c>
      <c r="J87" s="38">
        <f>IF(AND($G87=1,$C87&lt;&gt;"内务违规"),IF($J86="",$B87,$J86&amp;"、"&amp;$B87),$J86)</f>
        <v/>
      </c>
      <c r="K87" s="38">
        <f>IF(AND($H87=1,$C87&lt;&gt;"内务违规"),IF($K86="",$B87,$K86&amp;"、"&amp;$B87),$K86)</f>
        <v/>
      </c>
      <c r="L87" s="38">
        <f>IF(AND($I87=1,$C87&lt;&gt;"内务违规"),IF($L86="",$B87,$L86&amp;"、"&amp;$B87),$L86)</f>
        <v/>
      </c>
      <c r="M87" s="38">
        <f>IF(AND($G87=1,$C87="内务违规"),IF($M86="",$B87&amp;"（"&amp;$F87&amp;"）",$M86&amp;"；"&amp;$B87&amp;"（"&amp;$F87&amp;"）"),$M86)</f>
        <v/>
      </c>
      <c r="N87" s="38">
        <f>IF(AND($H87=1,$C87="内务违规"),IF($N86="",$B87&amp;"（"&amp;$F87&amp;"）",$N86&amp;"；"&amp;$B87&amp;"（"&amp;$F87&amp;"）"),$N86)</f>
        <v/>
      </c>
      <c r="O87" s="38">
        <f>IF(AND($I87=1,$C87="内务违规"),IF($O86="",$B87&amp;"（"&amp;$F87&amp;"）",$O86&amp;"；"&amp;$B87&amp;"（"&amp;$F87&amp;"）"),$O86)</f>
        <v/>
      </c>
    </row>
    <row r="88" ht="26" customHeight="1">
      <c r="A88" s="33" t="inlineStr">
        <is>
          <t>规·警务</t>
        </is>
      </c>
      <c r="B88" s="34" t="inlineStr">
        <is>
          <t>未宣读米兰达</t>
        </is>
      </c>
      <c r="C88" s="41" t="inlineStr">
        <is>
          <t>内务违规</t>
        </is>
      </c>
      <c r="D88" s="33" t="n">
        <v>0</v>
      </c>
      <c r="E88" s="36" t="n">
        <v>0</v>
      </c>
      <c r="F88" s="37" t="inlineStr">
        <is>
          <t>程序违规：未完整宣读/未记录，嫌犯可要求无罪释放</t>
        </is>
      </c>
      <c r="G88" s="38">
        <f>IF(SUMIFS('关键词库'!$C$2:$C$1679,'关键词库'!$B$2:$B$1679,$B88)&gt;0,1,0)</f>
        <v/>
      </c>
      <c r="H88" s="38">
        <f>IF(SUMIFS('关键词库'!$D$2:$D$1679,'关键词库'!$B$2:$B$1679,$B88)&gt;0,1,0)</f>
        <v/>
      </c>
      <c r="I88" s="38">
        <f>IF(SUMIFS('关键词库'!$E$2:$E$1679,'关键词库'!$B$2:$B$1679,$B88)&gt;0,1,0)</f>
        <v/>
      </c>
      <c r="J88" s="38">
        <f>IF(AND($G88=1,$C88&lt;&gt;"内务违规"),IF($J87="",$B88,$J87&amp;"、"&amp;$B88),$J87)</f>
        <v/>
      </c>
      <c r="K88" s="38">
        <f>IF(AND($H88=1,$C88&lt;&gt;"内务违规"),IF($K87="",$B88,$K87&amp;"、"&amp;$B88),$K87)</f>
        <v/>
      </c>
      <c r="L88" s="38">
        <f>IF(AND($I88=1,$C88&lt;&gt;"内务违规"),IF($L87="",$B88,$L87&amp;"、"&amp;$B88),$L87)</f>
        <v/>
      </c>
      <c r="M88" s="38">
        <f>IF(AND($G88=1,$C88="内务违规"),IF($M87="",$B88&amp;"（"&amp;$F88&amp;"）",$M87&amp;"；"&amp;$B88&amp;"（"&amp;$F88&amp;"）"),$M87)</f>
        <v/>
      </c>
      <c r="N88" s="38">
        <f>IF(AND($H88=1,$C88="内务违规"),IF($N87="",$B88&amp;"（"&amp;$F88&amp;"）",$N87&amp;"；"&amp;$B88&amp;"（"&amp;$F88&amp;"）"),$N87)</f>
        <v/>
      </c>
      <c r="O88" s="38">
        <f>IF(AND($I88=1,$C88="内务违规"),IF($O87="",$B88&amp;"（"&amp;$F88&amp;"）",$O87&amp;"；"&amp;$B88&amp;"（"&amp;$F88&amp;"）"),$O87)</f>
        <v/>
      </c>
    </row>
    <row r="89" ht="26" customHeight="1">
      <c r="A89" s="33" t="inlineStr">
        <is>
          <t>规·警务</t>
        </is>
      </c>
      <c r="B89" s="34" t="inlineStr">
        <is>
          <t>警员违规驾驶/警车肇事</t>
        </is>
      </c>
      <c r="C89" s="41" t="inlineStr">
        <is>
          <t>内务违规</t>
        </is>
      </c>
      <c r="D89" s="33" t="n">
        <v>0</v>
      </c>
      <c r="E89" s="36" t="n">
        <v>0</v>
      </c>
      <c r="F89" s="37" t="inlineStr">
        <is>
          <t>内务处分：严禁酒驾/违规用警车；警车撞伤撞死须上报主管+部外调查、按交通法定责（刑事另按《刑法典》：撞伤=故意袭击罪、撞死=三级谋杀罪）</t>
        </is>
      </c>
      <c r="G89" s="38">
        <f>IF(SUMIFS('关键词库'!$C$2:$C$1679,'关键词库'!$B$2:$B$1679,$B89)&gt;0,1,0)</f>
        <v/>
      </c>
      <c r="H89" s="38">
        <f>IF(SUMIFS('关键词库'!$D$2:$D$1679,'关键词库'!$B$2:$B$1679,$B89)&gt;0,1,0)</f>
        <v/>
      </c>
      <c r="I89" s="38">
        <f>IF(SUMIFS('关键词库'!$E$2:$E$1679,'关键词库'!$B$2:$B$1679,$B89)&gt;0,1,0)</f>
        <v/>
      </c>
      <c r="J89" s="38">
        <f>IF(AND($G89=1,$C89&lt;&gt;"内务违规"),IF($J88="",$B89,$J88&amp;"、"&amp;$B89),$J88)</f>
        <v/>
      </c>
      <c r="K89" s="38">
        <f>IF(AND($H89=1,$C89&lt;&gt;"内务违规"),IF($K88="",$B89,$K88&amp;"、"&amp;$B89),$K88)</f>
        <v/>
      </c>
      <c r="L89" s="38">
        <f>IF(AND($I89=1,$C89&lt;&gt;"内务违规"),IF($L88="",$B89,$L88&amp;"、"&amp;$B89),$L88)</f>
        <v/>
      </c>
      <c r="M89" s="38">
        <f>IF(AND($G89=1,$C89="内务违规"),IF($M88="",$B89&amp;"（"&amp;$F89&amp;"）",$M88&amp;"；"&amp;$B89&amp;"（"&amp;$F89&amp;"）"),$M88)</f>
        <v/>
      </c>
      <c r="N89" s="38">
        <f>IF(AND($H89=1,$C89="内务违规"),IF($N88="",$B89&amp;"（"&amp;$F89&amp;"）",$N88&amp;"；"&amp;$B89&amp;"（"&amp;$F89&amp;"）"),$N88)</f>
        <v/>
      </c>
      <c r="O89" s="38">
        <f>IF(AND($I89=1,$C89="内务违规"),IF($O88="",$B89&amp;"（"&amp;$F89&amp;"）",$O88&amp;"；"&amp;$B89&amp;"（"&amp;$F89&amp;"）"),$O88)</f>
        <v/>
      </c>
    </row>
    <row r="90" ht="26" customHeight="1">
      <c r="A90" s="33" t="inlineStr">
        <is>
          <t>规·警务</t>
        </is>
      </c>
      <c r="B90" s="34" t="inlineStr">
        <is>
          <t>越权/虚报职务</t>
        </is>
      </c>
      <c r="C90" s="41" t="inlineStr">
        <is>
          <t>内务违规</t>
        </is>
      </c>
      <c r="D90" s="33" t="n">
        <v>0</v>
      </c>
      <c r="E90" s="36" t="n">
        <v>0</v>
      </c>
      <c r="F90" s="37" t="inlineStr">
        <is>
          <t>内务调查：越权执法/虚报职务</t>
        </is>
      </c>
      <c r="G90" s="38">
        <f>IF(SUMIFS('关键词库'!$C$2:$C$1679,'关键词库'!$B$2:$B$1679,$B90)&gt;0,1,0)</f>
        <v/>
      </c>
      <c r="H90" s="38">
        <f>IF(SUMIFS('关键词库'!$D$2:$D$1679,'关键词库'!$B$2:$B$1679,$B90)&gt;0,1,0)</f>
        <v/>
      </c>
      <c r="I90" s="38">
        <f>IF(SUMIFS('关键词库'!$E$2:$E$1679,'关键词库'!$B$2:$B$1679,$B90)&gt;0,1,0)</f>
        <v/>
      </c>
      <c r="J90" s="38">
        <f>IF(AND($G90=1,$C90&lt;&gt;"内务违规"),IF($J89="",$B90,$J89&amp;"、"&amp;$B90),$J89)</f>
        <v/>
      </c>
      <c r="K90" s="38">
        <f>IF(AND($H90=1,$C90&lt;&gt;"内务违规"),IF($K89="",$B90,$K89&amp;"、"&amp;$B90),$K89)</f>
        <v/>
      </c>
      <c r="L90" s="38">
        <f>IF(AND($I90=1,$C90&lt;&gt;"内务违规"),IF($L89="",$B90,$L89&amp;"、"&amp;$B90),$L89)</f>
        <v/>
      </c>
      <c r="M90" s="38">
        <f>IF(AND($G90=1,$C90="内务违规"),IF($M89="",$B90&amp;"（"&amp;$F90&amp;"）",$M89&amp;"；"&amp;$B90&amp;"（"&amp;$F90&amp;"）"),$M89)</f>
        <v/>
      </c>
      <c r="N90" s="38">
        <f>IF(AND($H90=1,$C90="内务违规"),IF($N89="",$B90&amp;"（"&amp;$F90&amp;"）",$N89&amp;"；"&amp;$B90&amp;"（"&amp;$F90&amp;"）"),$N89)</f>
        <v/>
      </c>
      <c r="O90" s="38">
        <f>IF(AND($I90=1,$C90="内务违规"),IF($O89="",$B90&amp;"（"&amp;$F90&amp;"）",$O89&amp;"；"&amp;$B90&amp;"（"&amp;$F90&amp;"）"),$O89)</f>
        <v/>
      </c>
    </row>
    <row r="91" ht="26" customHeight="1">
      <c r="A91" s="33" t="inlineStr">
        <is>
          <t>规·医护</t>
        </is>
      </c>
      <c r="B91" s="34" t="inlineStr">
        <is>
          <t>医护违法乱纪/伤害公民</t>
        </is>
      </c>
      <c r="C91" s="41" t="inlineStr">
        <is>
          <t>内务违规</t>
        </is>
      </c>
      <c r="D91" s="33" t="n">
        <v>0</v>
      </c>
      <c r="E91" s="36" t="n">
        <v>0</v>
      </c>
      <c r="F91" s="37" t="inlineStr">
        <is>
          <t>内务处分：视情节承担，严重者直接开除；违规警告3次自动劝退（刑事按《刑法典》另算）</t>
        </is>
      </c>
      <c r="G91" s="38">
        <f>IF(SUMIFS('关键词库'!$C$2:$C$1679,'关键词库'!$B$2:$B$1679,$B91)&gt;0,1,0)</f>
        <v/>
      </c>
      <c r="H91" s="38">
        <f>IF(SUMIFS('关键词库'!$D$2:$D$1679,'关键词库'!$B$2:$B$1679,$B91)&gt;0,1,0)</f>
        <v/>
      </c>
      <c r="I91" s="38">
        <f>IF(SUMIFS('关键词库'!$E$2:$E$1679,'关键词库'!$B$2:$B$1679,$B91)&gt;0,1,0)</f>
        <v/>
      </c>
      <c r="J91" s="38">
        <f>IF(AND($G91=1,$C91&lt;&gt;"内务违规"),IF($J90="",$B91,$J90&amp;"、"&amp;$B91),$J90)</f>
        <v/>
      </c>
      <c r="K91" s="38">
        <f>IF(AND($H91=1,$C91&lt;&gt;"内务违规"),IF($K90="",$B91,$K90&amp;"、"&amp;$B91),$K90)</f>
        <v/>
      </c>
      <c r="L91" s="38">
        <f>IF(AND($I91=1,$C91&lt;&gt;"内务违规"),IF($L90="",$B91,$L90&amp;"、"&amp;$B91),$L90)</f>
        <v/>
      </c>
      <c r="M91" s="38">
        <f>IF(AND($G91=1,$C91="内务违规"),IF($M90="",$B91&amp;"（"&amp;$F91&amp;"）",$M90&amp;"；"&amp;$B91&amp;"（"&amp;$F91&amp;"）"),$M90)</f>
        <v/>
      </c>
      <c r="N91" s="38">
        <f>IF(AND($H91=1,$C91="内务违规"),IF($N90="",$B91&amp;"（"&amp;$F91&amp;"）",$N90&amp;"；"&amp;$B91&amp;"（"&amp;$F91&amp;"）"),$N90)</f>
        <v/>
      </c>
      <c r="O91" s="38">
        <f>IF(AND($I91=1,$C91="内务违规"),IF($O90="",$B91&amp;"（"&amp;$F91&amp;"）",$O90&amp;"；"&amp;$B91&amp;"（"&amp;$F91&amp;"）"),$O90)</f>
        <v/>
      </c>
    </row>
    <row r="92" ht="26" customHeight="1">
      <c r="A92" s="33" t="inlineStr">
        <is>
          <t>规·警务</t>
        </is>
      </c>
      <c r="B92" s="34" t="inlineStr">
        <is>
          <t>非法搜查/错误扣留(警)</t>
        </is>
      </c>
      <c r="C92" s="41" t="inlineStr">
        <is>
          <t>内务违规</t>
        </is>
      </c>
      <c r="D92" s="33" t="n">
        <v>0</v>
      </c>
      <c r="E92" s="36" t="n">
        <v>0</v>
      </c>
      <c r="F92" s="37" t="inlineStr">
        <is>
          <t>程序违规：证据不被法庭采纳、警员受非法搜查指控；错误扣留赔偿$500/分钟</t>
        </is>
      </c>
      <c r="G92" s="38">
        <f>IF(SUMIFS('关键词库'!$C$2:$C$1679,'关键词库'!$B$2:$B$1679,$B92)&gt;0,1,0)</f>
        <v/>
      </c>
      <c r="H92" s="38">
        <f>IF(SUMIFS('关键词库'!$D$2:$D$1679,'关键词库'!$B$2:$B$1679,$B92)&gt;0,1,0)</f>
        <v/>
      </c>
      <c r="I92" s="38">
        <f>IF(SUMIFS('关键词库'!$E$2:$E$1679,'关键词库'!$B$2:$B$1679,$B92)&gt;0,1,0)</f>
        <v/>
      </c>
      <c r="J92" s="38">
        <f>IF(AND($G92=1,$C92&lt;&gt;"内务违规"),IF($J91="",$B92,$J91&amp;"、"&amp;$B92),$J91)</f>
        <v/>
      </c>
      <c r="K92" s="38">
        <f>IF(AND($H92=1,$C92&lt;&gt;"内务违规"),IF($K91="",$B92,$K91&amp;"、"&amp;$B92),$K91)</f>
        <v/>
      </c>
      <c r="L92" s="38">
        <f>IF(AND($I92=1,$C92&lt;&gt;"内务违规"),IF($L91="",$B92,$L91&amp;"、"&amp;$B92),$L91)</f>
        <v/>
      </c>
      <c r="M92" s="38">
        <f>IF(AND($G92=1,$C92="内务违规"),IF($M91="",$B92&amp;"（"&amp;$F92&amp;"）",$M91&amp;"；"&amp;$B92&amp;"（"&amp;$F92&amp;"）"),$M91)</f>
        <v/>
      </c>
      <c r="N92" s="38">
        <f>IF(AND($H92=1,$C92="内务违规"),IF($N91="",$B92&amp;"（"&amp;$F92&amp;"）",$N91&amp;"；"&amp;$B92&amp;"（"&amp;$F92&amp;"）"),$N91)</f>
        <v/>
      </c>
      <c r="O92" s="38">
        <f>IF(AND($I92=1,$C92="内务违规"),IF($O91="",$B92&amp;"（"&amp;$F92&amp;"）",$O91&amp;"；"&amp;$B92&amp;"（"&amp;$F92&amp;"）"),$O91)</f>
        <v/>
      </c>
    </row>
  </sheetData>
  <conditionalFormatting sqref="A2:F92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2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撞死</t>
        </is>
      </c>
      <c r="B149" s="38" t="inlineStr">
        <is>
          <t>三级谋杀罪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撞死人</t>
        </is>
      </c>
      <c r="B150" s="38" t="inlineStr">
        <is>
          <t>三级谋杀罪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撞死市民</t>
        </is>
      </c>
      <c r="B151" s="38" t="inlineStr">
        <is>
          <t>三级谋杀罪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撞死了</t>
        </is>
      </c>
      <c r="B152" s="38" t="inlineStr">
        <is>
          <t>三级谋杀罪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开车撞死人</t>
        </is>
      </c>
      <c r="B153" s="38" t="inlineStr">
        <is>
          <t>三级谋杀罪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驾车撞死</t>
        </is>
      </c>
      <c r="B154" s="38" t="inlineStr">
        <is>
          <t>三级谋杀罪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警车撞死</t>
        </is>
      </c>
      <c r="B155" s="38" t="inlineStr">
        <is>
          <t>三级谋杀罪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开警车撞死</t>
        </is>
      </c>
      <c r="B156" s="38" t="inlineStr">
        <is>
          <t>三级谋杀罪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巡逻撞死</t>
        </is>
      </c>
      <c r="B157" s="38" t="inlineStr">
        <is>
          <t>三级谋杀罪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追捕撞死</t>
        </is>
      </c>
      <c r="B158" s="38" t="inlineStr">
        <is>
          <t>三级谋杀罪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把人撞死</t>
        </is>
      </c>
      <c r="B159" s="38" t="inlineStr">
        <is>
          <t>三级谋杀罪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非法拘禁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拘禁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扣押他人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限制人身自由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强行关押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私自关押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关起来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囚禁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绑在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把人关起来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锁起来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扣下他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不让走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软禁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捆起来</t>
        </is>
      </c>
      <c r="B174" s="38" t="inlineStr">
        <is>
          <t>非法拘禁罪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绑住不放</t>
        </is>
      </c>
      <c r="B175" s="38" t="inlineStr">
        <is>
          <t>非法拘禁罪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扣人不放</t>
        </is>
      </c>
      <c r="B176" s="38" t="inlineStr">
        <is>
          <t>非法拘禁罪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私自关人</t>
        </is>
      </c>
      <c r="B177" s="38" t="inlineStr">
        <is>
          <t>非法拘禁罪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限制自由</t>
        </is>
      </c>
      <c r="B178" s="38" t="inlineStr">
        <is>
          <t>非法拘禁罪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强行扣留</t>
        </is>
      </c>
      <c r="B179" s="38" t="inlineStr">
        <is>
          <t>非法拘禁罪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囚禁他人</t>
        </is>
      </c>
      <c r="B180" s="38" t="inlineStr">
        <is>
          <t>非法拘禁罪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绑人关押</t>
        </is>
      </c>
      <c r="B181" s="38" t="inlineStr">
        <is>
          <t>非法拘禁罪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私设牢房</t>
        </is>
      </c>
      <c r="B182" s="38" t="inlineStr">
        <is>
          <t>非法拘禁罪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关小黑屋</t>
        </is>
      </c>
      <c r="B183" s="38" t="inlineStr">
        <is>
          <t>非法拘禁罪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私自拘禁</t>
        </is>
      </c>
      <c r="B184" s="38" t="inlineStr">
        <is>
          <t>非法拘禁罪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故意袭击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袭击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殴打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打人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动手打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拳打脚踢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暴力伤人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揍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打伤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打了一顿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围殴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动手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打架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打了一架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干架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揍他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扇耳光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踹人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爆锤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胖揍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群殴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打闷棍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出手伤人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打到住院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把人打伤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动手打伤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暴打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殴打他人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打成重伤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围攻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群架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动粗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大打出手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把人揍了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一顿暴打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打人致伤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持续殴打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拳脚相加</t>
        </is>
      </c>
      <c r="B222" s="38" t="inlineStr">
        <is>
          <t>故意袭击罪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打到骨折</t>
        </is>
      </c>
      <c r="B223" s="38" t="inlineStr">
        <is>
          <t>故意袭击罪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开车撞人</t>
        </is>
      </c>
      <c r="B224" s="38" t="inlineStr">
        <is>
          <t>故意袭击罪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开车撞</t>
        </is>
      </c>
      <c r="B225" s="38" t="inlineStr">
        <is>
          <t>故意袭击罪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撞伤人</t>
        </is>
      </c>
      <c r="B226" s="38" t="inlineStr">
        <is>
          <t>故意袭击罪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撞伤</t>
        </is>
      </c>
      <c r="B227" s="38" t="inlineStr">
        <is>
          <t>故意袭击罪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撞倒人</t>
        </is>
      </c>
      <c r="B228" s="38" t="inlineStr">
        <is>
          <t>故意袭击罪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撞倒</t>
        </is>
      </c>
      <c r="B229" s="38" t="inlineStr">
        <is>
          <t>故意袭击罪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碾压</t>
        </is>
      </c>
      <c r="B230" s="38" t="inlineStr">
        <is>
          <t>故意袭击罪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驾车撞人</t>
        </is>
      </c>
      <c r="B231" s="38" t="inlineStr">
        <is>
          <t>故意袭击罪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故意撞人</t>
        </is>
      </c>
      <c r="B232" s="38" t="inlineStr">
        <is>
          <t>故意袭击罪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撞了人</t>
        </is>
      </c>
      <c r="B233" s="38" t="inlineStr">
        <is>
          <t>故意袭击罪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撞人</t>
        </is>
      </c>
      <c r="B234" s="38" t="inlineStr">
        <is>
          <t>故意袭击罪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撞飞</t>
        </is>
      </c>
      <c r="B235" s="38" t="inlineStr">
        <is>
          <t>故意袭击罪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把人撞</t>
        </is>
      </c>
      <c r="B236" s="38" t="inlineStr">
        <is>
          <t>故意袭击罪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警车撞人</t>
        </is>
      </c>
      <c r="B237" s="38" t="inlineStr">
        <is>
          <t>故意袭击罪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警车撞伤</t>
        </is>
      </c>
      <c r="B238" s="38" t="inlineStr">
        <is>
          <t>故意袭击罪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开警车撞人</t>
        </is>
      </c>
      <c r="B239" s="38" t="inlineStr">
        <is>
          <t>故意袭击罪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开警车撞</t>
        </is>
      </c>
      <c r="B240" s="38" t="inlineStr">
        <is>
          <t>故意袭击罪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巡逻撞人</t>
        </is>
      </c>
      <c r="B241" s="38" t="inlineStr">
        <is>
          <t>故意袭击罪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追捕撞人</t>
        </is>
      </c>
      <c r="B242" s="38" t="inlineStr">
        <is>
          <t>故意袭击罪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驾警车撞</t>
        </is>
      </c>
      <c r="B243" s="38" t="inlineStr">
        <is>
          <t>故意袭击罪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绑架</t>
        </is>
      </c>
      <c r="B244" s="38" t="inlineStr">
        <is>
          <t>绑架罪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劫持</t>
        </is>
      </c>
      <c r="B245" s="38" t="inlineStr">
        <is>
          <t>绑架罪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挟持</t>
        </is>
      </c>
      <c r="B246" s="38" t="inlineStr">
        <is>
          <t>绑架罪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绑票</t>
        </is>
      </c>
      <c r="B247" s="38" t="inlineStr">
        <is>
          <t>绑架罪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控制人质</t>
        </is>
      </c>
      <c r="B248" s="38" t="inlineStr">
        <is>
          <t>绑架罪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掳走</t>
        </is>
      </c>
      <c r="B249" s="38" t="inlineStr">
        <is>
          <t>绑架罪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抓走人质</t>
        </is>
      </c>
      <c r="B250" s="38" t="inlineStr">
        <is>
          <t>绑架罪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抓人质</t>
        </is>
      </c>
      <c r="B251" s="38" t="inlineStr">
        <is>
          <t>绑架罪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把人绑走</t>
        </is>
      </c>
      <c r="B252" s="38" t="inlineStr">
        <is>
          <t>绑架罪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掳人</t>
        </is>
      </c>
      <c r="B253" s="38" t="inlineStr">
        <is>
          <t>绑架罪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抓人勒索</t>
        </is>
      </c>
      <c r="B254" s="38" t="inlineStr">
        <is>
          <t>绑架罪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劫为人质</t>
        </is>
      </c>
      <c r="B255" s="38" t="inlineStr">
        <is>
          <t>绑架罪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扣作人质</t>
        </is>
      </c>
      <c r="B256" s="38" t="inlineStr">
        <is>
          <t>绑架罪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绑了人</t>
        </is>
      </c>
      <c r="B257" s="38" t="inlineStr">
        <is>
          <t>绑架罪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把人掳走</t>
        </is>
      </c>
      <c r="B258" s="38" t="inlineStr">
        <is>
          <t>绑架罪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绑架勒索</t>
        </is>
      </c>
      <c r="B259" s="38" t="inlineStr">
        <is>
          <t>绑架罪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绑架人质</t>
        </is>
      </c>
      <c r="B260" s="38" t="inlineStr">
        <is>
          <t>绑架罪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强行掳走</t>
        </is>
      </c>
      <c r="B261" s="38" t="inlineStr">
        <is>
          <t>绑架罪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劫持人质</t>
        </is>
      </c>
      <c r="B262" s="38" t="inlineStr">
        <is>
          <t>绑架罪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把人质绑了</t>
        </is>
      </c>
      <c r="B263" s="38" t="inlineStr">
        <is>
          <t>绑架罪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绑架撕票</t>
        </is>
      </c>
      <c r="B264" s="38" t="inlineStr">
        <is>
          <t>绑架罪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绑架他人</t>
        </is>
      </c>
      <c r="B265" s="38" t="inlineStr">
        <is>
          <t>绑架罪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亵渎尸体</t>
        </is>
      </c>
      <c r="B266" s="38" t="inlineStr">
        <is>
          <t>亵渎尸体罪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毁尸</t>
        </is>
      </c>
      <c r="B267" s="38" t="inlineStr">
        <is>
          <t>亵渎尸体罪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处置尸体</t>
        </is>
      </c>
      <c r="B268" s="38" t="inlineStr">
        <is>
          <t>亵渎尸体罪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销毁尸体</t>
        </is>
      </c>
      <c r="B269" s="38" t="inlineStr">
        <is>
          <t>亵渎尸体罪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藏尸</t>
        </is>
      </c>
      <c r="B270" s="38" t="inlineStr">
        <is>
          <t>亵渎尸体罪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焚尸</t>
        </is>
      </c>
      <c r="B271" s="38" t="inlineStr">
        <is>
          <t>亵渎尸体罪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碎尸</t>
        </is>
      </c>
      <c r="B272" s="38" t="inlineStr">
        <is>
          <t>亵渎尸体罪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玩弄尸体</t>
        </is>
      </c>
      <c r="B273" s="38" t="inlineStr">
        <is>
          <t>亵渎尸体罪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毁坏尸体</t>
        </is>
      </c>
      <c r="B274" s="38" t="inlineStr">
        <is>
          <t>亵渎尸体罪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肢解</t>
        </is>
      </c>
      <c r="B275" s="38" t="inlineStr">
        <is>
          <t>亵渎尸体罪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弃尸</t>
        </is>
      </c>
      <c r="B276" s="38" t="inlineStr">
        <is>
          <t>亵渎尸体罪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抛尸</t>
        </is>
      </c>
      <c r="B277" s="38" t="inlineStr">
        <is>
          <t>亵渎尸体罪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分尸</t>
        </is>
      </c>
      <c r="B278" s="38" t="inlineStr">
        <is>
          <t>亵渎尸体罪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损毁尸体</t>
        </is>
      </c>
      <c r="B279" s="38" t="inlineStr">
        <is>
          <t>亵渎尸体罪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焚毁尸体</t>
        </is>
      </c>
      <c r="B280" s="38" t="inlineStr">
        <is>
          <t>亵渎尸体罪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藏匿尸体</t>
        </is>
      </c>
      <c r="B281" s="38" t="inlineStr">
        <is>
          <t>亵渎尸体罪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处理尸体</t>
        </is>
      </c>
      <c r="B282" s="38" t="inlineStr">
        <is>
          <t>亵渎尸体罪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毁尸灭迹</t>
        </is>
      </c>
      <c r="B283" s="38" t="inlineStr">
        <is>
          <t>亵渎尸体罪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诈骗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欺诈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骗钱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行骗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诈骗钱财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骗取</t>
        </is>
      </c>
      <c r="B289" s="38" t="inlineStr">
        <is>
          <t>诈骗罪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坑钱</t>
        </is>
      </c>
      <c r="B290" s="38" t="inlineStr">
        <is>
          <t>诈骗罪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设局骗</t>
        </is>
      </c>
      <c r="B291" s="38" t="inlineStr">
        <is>
          <t>诈骗罪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骗了</t>
        </is>
      </c>
      <c r="B292" s="38" t="inlineStr">
        <is>
          <t>诈骗罪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骗人钱</t>
        </is>
      </c>
      <c r="B293" s="38" t="inlineStr">
        <is>
          <t>诈骗罪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杀猪盘</t>
        </is>
      </c>
      <c r="B294" s="38" t="inlineStr">
        <is>
          <t>诈骗罪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虚假交易</t>
        </is>
      </c>
      <c r="B295" s="38" t="inlineStr">
        <is>
          <t>诈骗罪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假买卖</t>
        </is>
      </c>
      <c r="B296" s="38" t="inlineStr">
        <is>
          <t>诈骗罪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坑蒙拐骗</t>
        </is>
      </c>
      <c r="B297" s="38" t="inlineStr">
        <is>
          <t>诈骗罪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设套骗</t>
        </is>
      </c>
      <c r="B298" s="38" t="inlineStr">
        <is>
          <t>诈骗罪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忽悠钱</t>
        </is>
      </c>
      <c r="B299" s="38" t="inlineStr">
        <is>
          <t>诈骗罪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诈骗团伙</t>
        </is>
      </c>
      <c r="B300" s="38" t="inlineStr">
        <is>
          <t>诈骗罪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电信诈骗</t>
        </is>
      </c>
      <c r="B301" s="38" t="inlineStr">
        <is>
          <t>诈骗罪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诈骗他人</t>
        </is>
      </c>
      <c r="B302" s="38" t="inlineStr">
        <is>
          <t>诈骗罪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骗取钱财</t>
        </is>
      </c>
      <c r="B303" s="38" t="inlineStr">
        <is>
          <t>诈骗罪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诱骗钱财</t>
        </is>
      </c>
      <c r="B304" s="38" t="inlineStr">
        <is>
          <t>诈骗罪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合同诈骗</t>
        </is>
      </c>
      <c r="B305" s="38" t="inlineStr">
        <is>
          <t>诈骗罪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网络诈骗</t>
        </is>
      </c>
      <c r="B306" s="38" t="inlineStr">
        <is>
          <t>诈骗罪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假冒诈骗</t>
        </is>
      </c>
      <c r="B307" s="38" t="inlineStr">
        <is>
          <t>诈骗罪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诈骗财物</t>
        </is>
      </c>
      <c r="B308" s="38" t="inlineStr">
        <is>
          <t>诈骗罪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骗财</t>
        </is>
      </c>
      <c r="B309" s="38" t="inlineStr">
        <is>
          <t>诈骗罪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诱骗财物</t>
        </is>
      </c>
      <c r="B310" s="38" t="inlineStr">
        <is>
          <t>诈骗罪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非法入侵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拒绝离开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私闯</t>
        </is>
      </c>
      <c r="B313" s="38" t="inlineStr">
        <is>
          <t>非法入侵罪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擅自闯入</t>
        </is>
      </c>
      <c r="B314" s="38" t="inlineStr">
        <is>
          <t>非法入侵罪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赖着不走</t>
        </is>
      </c>
      <c r="B315" s="38" t="inlineStr">
        <is>
          <t>非法入侵罪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不肯走</t>
        </is>
      </c>
      <c r="B316" s="38" t="inlineStr">
        <is>
          <t>非法入侵罪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闯进别人</t>
        </is>
      </c>
      <c r="B317" s="38" t="inlineStr">
        <is>
          <t>非法入侵罪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闯入民宅</t>
        </is>
      </c>
      <c r="B318" s="38" t="inlineStr">
        <is>
          <t>非法入侵罪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硬闯</t>
        </is>
      </c>
      <c r="B319" s="38" t="inlineStr">
        <is>
          <t>非法入侵罪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闯民宅</t>
        </is>
      </c>
      <c r="B320" s="38" t="inlineStr">
        <is>
          <t>非法入侵罪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赖在别人家</t>
        </is>
      </c>
      <c r="B321" s="38" t="inlineStr">
        <is>
          <t>非法入侵罪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不请自来</t>
        </is>
      </c>
      <c r="B322" s="38" t="inlineStr">
        <is>
          <t>非法入侵罪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翻墙进</t>
        </is>
      </c>
      <c r="B323" s="38" t="inlineStr">
        <is>
          <t>非法入侵罪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翻进院子</t>
        </is>
      </c>
      <c r="B324" s="38" t="inlineStr">
        <is>
          <t>非法入侵罪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私闯民宅</t>
        </is>
      </c>
      <c r="B325" s="38" t="inlineStr">
        <is>
          <t>非法入侵罪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强行进入</t>
        </is>
      </c>
      <c r="B326" s="38" t="inlineStr">
        <is>
          <t>非法入侵罪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擅自进入</t>
        </is>
      </c>
      <c r="B327" s="38" t="inlineStr">
        <is>
          <t>非法入侵罪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非法进入</t>
        </is>
      </c>
      <c r="B328" s="38" t="inlineStr">
        <is>
          <t>非法入侵罪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闯入他人</t>
        </is>
      </c>
      <c r="B329" s="38" t="inlineStr">
        <is>
          <t>非法入侵罪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强闯民宅</t>
        </is>
      </c>
      <c r="B330" s="38" t="inlineStr">
        <is>
          <t>非法入侵罪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擅闯民宅</t>
        </is>
      </c>
      <c r="B331" s="38" t="inlineStr">
        <is>
          <t>非法入侵罪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赖着不离开</t>
        </is>
      </c>
      <c r="B332" s="38" t="inlineStr">
        <is>
          <t>非法入侵罪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死活不走</t>
        </is>
      </c>
      <c r="B333" s="38" t="inlineStr">
        <is>
          <t>非法入侵罪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强行闯入</t>
        </is>
      </c>
      <c r="B334" s="38" t="inlineStr">
        <is>
          <t>非法入侵罪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非法入侵禁区</t>
        </is>
      </c>
      <c r="B335" s="38" t="inlineStr">
        <is>
          <t>非法入侵禁区罪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闯入禁区</t>
        </is>
      </c>
      <c r="B336" s="38" t="inlineStr">
        <is>
          <t>非法入侵禁区罪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擅闯警局</t>
        </is>
      </c>
      <c r="B337" s="38" t="inlineStr">
        <is>
          <t>非法入侵禁区罪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擅闯机场</t>
        </is>
      </c>
      <c r="B338" s="38" t="inlineStr">
        <is>
          <t>非法入侵禁区罪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擅闯军事基地</t>
        </is>
      </c>
      <c r="B339" s="38" t="inlineStr">
        <is>
          <t>非法入侵禁区罪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限制区域</t>
        </is>
      </c>
      <c r="B340" s="38" t="inlineStr">
        <is>
          <t>非法入侵禁区罪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闯入监狱</t>
        </is>
      </c>
      <c r="B341" s="38" t="inlineStr">
        <is>
          <t>非法入侵禁区罪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翻进警局</t>
        </is>
      </c>
      <c r="B342" s="38" t="inlineStr">
        <is>
          <t>非法入侵禁区罪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闯警局</t>
        </is>
      </c>
      <c r="B343" s="38" t="inlineStr">
        <is>
          <t>非法入侵禁区罪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闯军事区</t>
        </is>
      </c>
      <c r="B344" s="38" t="inlineStr">
        <is>
          <t>非法入侵禁区罪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溜进警局</t>
        </is>
      </c>
      <c r="B345" s="38" t="inlineStr">
        <is>
          <t>非法入侵禁区罪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潜入基地</t>
        </is>
      </c>
      <c r="B346" s="38" t="inlineStr">
        <is>
          <t>非法入侵禁区罪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翻进机场</t>
        </is>
      </c>
      <c r="B347" s="38" t="inlineStr">
        <is>
          <t>非法入侵禁区罪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闯禁地</t>
        </is>
      </c>
      <c r="B348" s="38" t="inlineStr">
        <is>
          <t>非法入侵禁区罪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私闯警局</t>
        </is>
      </c>
      <c r="B349" s="38" t="inlineStr">
        <is>
          <t>非法入侵禁区罪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擅入禁区</t>
        </is>
      </c>
      <c r="B350" s="38" t="inlineStr">
        <is>
          <t>非法入侵禁区罪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非法进入警局</t>
        </is>
      </c>
      <c r="B351" s="38" t="inlineStr">
        <is>
          <t>非法入侵禁区罪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潜入禁区</t>
        </is>
      </c>
      <c r="B352" s="38" t="inlineStr">
        <is>
          <t>非法入侵禁区罪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翻越进入</t>
        </is>
      </c>
      <c r="B353" s="38" t="inlineStr">
        <is>
          <t>非法入侵禁区罪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闯军营</t>
        </is>
      </c>
      <c r="B354" s="38" t="inlineStr">
        <is>
          <t>非法入侵禁区罪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强闯禁区</t>
        </is>
      </c>
      <c r="B355" s="38" t="inlineStr">
        <is>
          <t>非法入侵禁区罪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入室盗窃</t>
        </is>
      </c>
      <c r="B356" s="38" t="inlineStr">
        <is>
          <t>入室盗窃罪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入室</t>
        </is>
      </c>
      <c r="B357" s="38" t="inlineStr">
        <is>
          <t>入室盗窃罪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撬门盗窃</t>
        </is>
      </c>
      <c r="B358" s="38" t="inlineStr">
        <is>
          <t>入室盗窃罪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闯入盗窃</t>
        </is>
      </c>
      <c r="B359" s="38" t="inlineStr">
        <is>
          <t>入室盗窃罪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破门盗窃</t>
        </is>
      </c>
      <c r="B360" s="38" t="inlineStr">
        <is>
          <t>入室盗窃罪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翻窗偷</t>
        </is>
      </c>
      <c r="B361" s="38" t="inlineStr">
        <is>
          <t>入室盗窃罪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撬锁进</t>
        </is>
      </c>
      <c r="B362" s="38" t="inlineStr">
        <is>
          <t>入室盗窃罪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入室行窃</t>
        </is>
      </c>
      <c r="B363" s="38" t="inlineStr">
        <is>
          <t>入室盗窃罪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翻窗入室</t>
        </is>
      </c>
      <c r="B364" s="38" t="inlineStr">
        <is>
          <t>入室盗窃罪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撬门偷</t>
        </is>
      </c>
      <c r="B365" s="38" t="inlineStr">
        <is>
          <t>入室盗窃罪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入屋行窃</t>
        </is>
      </c>
      <c r="B366" s="38" t="inlineStr">
        <is>
          <t>入室盗窃罪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夜盗</t>
        </is>
      </c>
      <c r="B367" s="38" t="inlineStr">
        <is>
          <t>入室盗窃罪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爬窗偷</t>
        </is>
      </c>
      <c r="B368" s="38" t="inlineStr">
        <is>
          <t>入室盗窃罪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溜门撬锁</t>
        </is>
      </c>
      <c r="B369" s="38" t="inlineStr">
        <is>
          <t>入室盗窃罪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破窗偷</t>
        </is>
      </c>
      <c r="B370" s="38" t="inlineStr">
        <is>
          <t>入室盗窃罪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潜入盗窃</t>
        </is>
      </c>
      <c r="B371" s="38" t="inlineStr">
        <is>
          <t>入室盗窃罪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撬锁入室</t>
        </is>
      </c>
      <c r="B372" s="38" t="inlineStr">
        <is>
          <t>入室盗窃罪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翻墙入室</t>
        </is>
      </c>
      <c r="B373" s="38" t="inlineStr">
        <is>
          <t>入室盗窃罪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破门而入偷</t>
        </is>
      </c>
      <c r="B374" s="38" t="inlineStr">
        <is>
          <t>入室盗窃罪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入户盗窃</t>
        </is>
      </c>
      <c r="B375" s="38" t="inlineStr">
        <is>
          <t>入室盗窃罪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翻入屋内偷</t>
        </is>
      </c>
      <c r="B376" s="38" t="inlineStr">
        <is>
          <t>入室盗窃罪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抢劫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持械抢劫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持枪抢劫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抢夺财物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武力抢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威胁抢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打劫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抢东西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抢钱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洗劫</t>
        </is>
      </c>
      <c r="B386" s="38" t="inlineStr">
        <is>
          <t>抢劫罪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抢了</t>
        </is>
      </c>
      <c r="B387" s="38" t="inlineStr">
        <is>
          <t>抢劫罪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抢了他</t>
        </is>
      </c>
      <c r="B388" s="38" t="inlineStr">
        <is>
          <t>抢劫罪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持枪打劫</t>
        </is>
      </c>
      <c r="B389" s="38" t="inlineStr">
        <is>
          <t>抢劫罪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拦路抢</t>
        </is>
      </c>
      <c r="B390" s="38" t="inlineStr">
        <is>
          <t>抢劫罪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抢店</t>
        </is>
      </c>
      <c r="B391" s="38" t="inlineStr">
        <is>
          <t>抢劫罪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抢包</t>
        </is>
      </c>
      <c r="B392" s="38" t="inlineStr">
        <is>
          <t>抢劫罪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明抢</t>
        </is>
      </c>
      <c r="B393" s="38" t="inlineStr">
        <is>
          <t>抢劫罪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逼着交钱包</t>
        </is>
      </c>
      <c r="B394" s="38" t="inlineStr">
        <is>
          <t>抢劫罪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持刀抢</t>
        </is>
      </c>
      <c r="B395" s="38" t="inlineStr">
        <is>
          <t>抢劫罪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拦车抢</t>
        </is>
      </c>
      <c r="B396" s="38" t="inlineStr">
        <is>
          <t>抢劫罪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抢了一把</t>
        </is>
      </c>
      <c r="B397" s="38" t="inlineStr">
        <is>
          <t>抢劫罪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抢劫财物</t>
        </is>
      </c>
      <c r="B398" s="38" t="inlineStr">
        <is>
          <t>抢劫罪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持枪抢</t>
        </is>
      </c>
      <c r="B399" s="38" t="inlineStr">
        <is>
          <t>抢劫罪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武装抢劫</t>
        </is>
      </c>
      <c r="B400" s="38" t="inlineStr">
        <is>
          <t>抢劫罪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抢钱包</t>
        </is>
      </c>
      <c r="B401" s="38" t="inlineStr">
        <is>
          <t>抢劫罪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抢手机</t>
        </is>
      </c>
      <c r="B402" s="38" t="inlineStr">
        <is>
          <t>抢劫罪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当街抢劫</t>
        </is>
      </c>
      <c r="B403" s="38" t="inlineStr">
        <is>
          <t>抢劫罪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拦截抢劫</t>
        </is>
      </c>
      <c r="B404" s="38" t="inlineStr">
        <is>
          <t>抢劫罪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抢夺</t>
        </is>
      </c>
      <c r="B405" s="38" t="inlineStr">
        <is>
          <t>抢劫罪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强抢</t>
        </is>
      </c>
      <c r="B406" s="38" t="inlineStr">
        <is>
          <t>抢劫罪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抢劫他人</t>
        </is>
      </c>
      <c r="B407" s="38" t="inlineStr">
        <is>
          <t>抢劫罪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盗窃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偷窃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偷东西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顺走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擅自使用他人财物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偷走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小偷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扒窃</t>
        </is>
      </c>
      <c r="B415" s="38" t="inlineStr">
        <is>
          <t>盗窃罪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顺手牵羊</t>
        </is>
      </c>
      <c r="B416" s="38" t="inlineStr">
        <is>
          <t>盗窃罪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偷拿</t>
        </is>
      </c>
      <c r="B417" s="38" t="inlineStr">
        <is>
          <t>盗窃罪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偷了</t>
        </is>
      </c>
      <c r="B418" s="38" t="inlineStr">
        <is>
          <t>盗窃罪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顺东西</t>
        </is>
      </c>
      <c r="B419" s="38" t="inlineStr">
        <is>
          <t>盗窃罪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摸走</t>
        </is>
      </c>
      <c r="B420" s="38" t="inlineStr">
        <is>
          <t>盗窃罪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偷摸</t>
        </is>
      </c>
      <c r="B421" s="38" t="inlineStr">
        <is>
          <t>盗窃罪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偷拿东西</t>
        </is>
      </c>
      <c r="B422" s="38" t="inlineStr">
        <is>
          <t>盗窃罪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小偷小摸</t>
        </is>
      </c>
      <c r="B423" s="38" t="inlineStr">
        <is>
          <t>盗窃罪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顺手拿走</t>
        </is>
      </c>
      <c r="B424" s="38" t="inlineStr">
        <is>
          <t>盗窃罪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薅走</t>
        </is>
      </c>
      <c r="B425" s="38" t="inlineStr">
        <is>
          <t>盗窃罪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拿走不还</t>
        </is>
      </c>
      <c r="B426" s="38" t="inlineStr">
        <is>
          <t>盗窃罪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偷偷拿走</t>
        </is>
      </c>
      <c r="B427" s="38" t="inlineStr">
        <is>
          <t>盗窃罪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扒手</t>
        </is>
      </c>
      <c r="B428" s="38" t="inlineStr">
        <is>
          <t>盗窃罪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偷窃财物</t>
        </is>
      </c>
      <c r="B429" s="38" t="inlineStr">
        <is>
          <t>盗窃罪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行窃</t>
        </is>
      </c>
      <c r="B430" s="38" t="inlineStr">
        <is>
          <t>盗窃罪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盗取</t>
        </is>
      </c>
      <c r="B431" s="38" t="inlineStr">
        <is>
          <t>盗窃罪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趁机偷</t>
        </is>
      </c>
      <c r="B432" s="38" t="inlineStr">
        <is>
          <t>盗窃罪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偷拿财物</t>
        </is>
      </c>
      <c r="B433" s="38" t="inlineStr">
        <is>
          <t>盗窃罪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窃取</t>
        </is>
      </c>
      <c r="B434" s="38" t="inlineStr">
        <is>
          <t>盗窃罪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偷盗财物</t>
        </is>
      </c>
      <c r="B435" s="38" t="inlineStr">
        <is>
          <t>盗窃罪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盗窃他人</t>
        </is>
      </c>
      <c r="B436" s="38" t="inlineStr">
        <is>
          <t>盗窃罪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盗窃车辆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偷车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偷公务车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开走他人车</t>
        </is>
      </c>
      <c r="B440" s="38" t="inlineStr">
        <is>
          <t>盗窃车辆罪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擅自开走</t>
        </is>
      </c>
      <c r="B441" s="38" t="inlineStr">
        <is>
          <t>盗窃车辆罪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顺走车</t>
        </is>
      </c>
      <c r="B442" s="38" t="inlineStr">
        <is>
          <t>盗窃车辆罪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撬车</t>
        </is>
      </c>
      <c r="B443" s="38" t="inlineStr">
        <is>
          <t>盗窃车辆罪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把车开走</t>
        </is>
      </c>
      <c r="B444" s="38" t="inlineStr">
        <is>
          <t>盗窃车辆罪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偷了车</t>
        </is>
      </c>
      <c r="B445" s="38" t="inlineStr">
        <is>
          <t>盗窃车辆罪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把车开跑</t>
        </is>
      </c>
      <c r="B446" s="38" t="inlineStr">
        <is>
          <t>盗窃车辆罪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顺车</t>
        </is>
      </c>
      <c r="B447" s="38" t="inlineStr">
        <is>
          <t>盗窃车辆罪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撬车偷开</t>
        </is>
      </c>
      <c r="B448" s="38" t="inlineStr">
        <is>
          <t>盗窃车辆罪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顺走摩托</t>
        </is>
      </c>
      <c r="B449" s="38" t="inlineStr">
        <is>
          <t>盗窃车辆罪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偷电动车</t>
        </is>
      </c>
      <c r="B450" s="38" t="inlineStr">
        <is>
          <t>盗窃车辆罪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开别人车跑</t>
        </is>
      </c>
      <c r="B451" s="38" t="inlineStr">
        <is>
          <t>盗窃车辆罪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顺辆车</t>
        </is>
      </c>
      <c r="B452" s="38" t="inlineStr">
        <is>
          <t>盗窃车辆罪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偷骑摩托</t>
        </is>
      </c>
      <c r="B453" s="38" t="inlineStr">
        <is>
          <t>盗窃车辆罪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盗车</t>
        </is>
      </c>
      <c r="B454" s="38" t="inlineStr">
        <is>
          <t>盗窃车辆罪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偷盗车辆</t>
        </is>
      </c>
      <c r="B455" s="38" t="inlineStr">
        <is>
          <t>盗窃车辆罪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开走车辆</t>
        </is>
      </c>
      <c r="B456" s="38" t="inlineStr">
        <is>
          <t>盗窃车辆罪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擅自开车</t>
        </is>
      </c>
      <c r="B457" s="38" t="inlineStr">
        <is>
          <t>盗窃车辆罪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偷开他人车</t>
        </is>
      </c>
      <c r="B458" s="38" t="inlineStr">
        <is>
          <t>盗窃车辆罪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顺走车辆</t>
        </is>
      </c>
      <c r="B459" s="38" t="inlineStr">
        <is>
          <t>盗窃车辆罪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窃取车辆</t>
        </is>
      </c>
      <c r="B460" s="38" t="inlineStr">
        <is>
          <t>盗窃车辆罪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偷走车辆</t>
        </is>
      </c>
      <c r="B461" s="38" t="inlineStr">
        <is>
          <t>盗窃车辆罪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收受赃物</t>
        </is>
      </c>
      <c r="B462" s="38" t="inlineStr">
        <is>
          <t>收受赃物罪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销赃</t>
        </is>
      </c>
      <c r="B463" s="38" t="inlineStr">
        <is>
          <t>收受赃物罪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买赃物</t>
        </is>
      </c>
      <c r="B464" s="38" t="inlineStr">
        <is>
          <t>收受赃物罪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藏赃</t>
        </is>
      </c>
      <c r="B465" s="38" t="inlineStr">
        <is>
          <t>收受赃物罪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收赃</t>
        </is>
      </c>
      <c r="B466" s="38" t="inlineStr">
        <is>
          <t>收受赃物罪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收黑货</t>
        </is>
      </c>
      <c r="B467" s="38" t="inlineStr">
        <is>
          <t>收受赃物罪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买黑车</t>
        </is>
      </c>
      <c r="B468" s="38" t="inlineStr">
        <is>
          <t>收受赃物罪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买赃</t>
        </is>
      </c>
      <c r="B469" s="38" t="inlineStr">
        <is>
          <t>收受赃物罪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接赃</t>
        </is>
      </c>
      <c r="B470" s="38" t="inlineStr">
        <is>
          <t>收受赃物罪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窝藏赃物</t>
        </is>
      </c>
      <c r="B471" s="38" t="inlineStr">
        <is>
          <t>收受赃物罪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收脏车</t>
        </is>
      </c>
      <c r="B472" s="38" t="inlineStr">
        <is>
          <t>收受赃物罪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买来路不明</t>
        </is>
      </c>
      <c r="B473" s="38" t="inlineStr">
        <is>
          <t>收受赃物罪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收黑车</t>
        </is>
      </c>
      <c r="B474" s="38" t="inlineStr">
        <is>
          <t>收受赃物罪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藏赃物</t>
        </is>
      </c>
      <c r="B475" s="38" t="inlineStr">
        <is>
          <t>收受赃物罪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收购赃物</t>
        </is>
      </c>
      <c r="B476" s="38" t="inlineStr">
        <is>
          <t>收受赃物罪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藏匿赃物</t>
        </is>
      </c>
      <c r="B477" s="38" t="inlineStr">
        <is>
          <t>收受赃物罪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转移赃物</t>
        </is>
      </c>
      <c r="B478" s="38" t="inlineStr">
        <is>
          <t>收受赃物罪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购买赃物</t>
        </is>
      </c>
      <c r="B479" s="38" t="inlineStr">
        <is>
          <t>收受赃物罪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转手赃物</t>
        </is>
      </c>
      <c r="B480" s="38" t="inlineStr">
        <is>
          <t>收受赃物罪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窝藏赃款</t>
        </is>
      </c>
      <c r="B481" s="38" t="inlineStr">
        <is>
          <t>收受赃物罪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敲诈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勒索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敲诈勒索</t>
        </is>
      </c>
      <c r="B484" s="38" t="inlineStr">
        <is>
          <t>敲诈勒索罪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威胁索财</t>
        </is>
      </c>
      <c r="B485" s="38" t="inlineStr">
        <is>
          <t>敲诈勒索罪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强迫交钱</t>
        </is>
      </c>
      <c r="B486" s="38" t="inlineStr">
        <is>
          <t>敲诈勒索罪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收保护费</t>
        </is>
      </c>
      <c r="B487" s="38" t="inlineStr">
        <is>
          <t>敲诈勒索罪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逼着给钱</t>
        </is>
      </c>
      <c r="B488" s="38" t="inlineStr">
        <is>
          <t>敲诈勒索罪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逼钱</t>
        </is>
      </c>
      <c r="B489" s="38" t="inlineStr">
        <is>
          <t>敲诈勒索罪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要钱不给就</t>
        </is>
      </c>
      <c r="B490" s="38" t="inlineStr">
        <is>
          <t>敲诈勒索罪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讹钱</t>
        </is>
      </c>
      <c r="B491" s="38" t="inlineStr">
        <is>
          <t>敲诈勒索罪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讹人</t>
        </is>
      </c>
      <c r="B492" s="38" t="inlineStr">
        <is>
          <t>敲诈勒索罪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逼着掏钱</t>
        </is>
      </c>
      <c r="B493" s="38" t="inlineStr">
        <is>
          <t>敲诈勒索罪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拿把柄要钱</t>
        </is>
      </c>
      <c r="B494" s="38" t="inlineStr">
        <is>
          <t>敲诈勒索罪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威胁要钱</t>
        </is>
      </c>
      <c r="B495" s="38" t="inlineStr">
        <is>
          <t>敲诈勒索罪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勒索钱财</t>
        </is>
      </c>
      <c r="B496" s="38" t="inlineStr">
        <is>
          <t>敲诈勒索罪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敲一笔</t>
        </is>
      </c>
      <c r="B497" s="38" t="inlineStr">
        <is>
          <t>敲诈勒索罪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勒索财物</t>
        </is>
      </c>
      <c r="B498" s="38" t="inlineStr">
        <is>
          <t>敲诈勒索罪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恐吓勒索</t>
        </is>
      </c>
      <c r="B499" s="38" t="inlineStr">
        <is>
          <t>敲诈勒索罪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敲诈钱财</t>
        </is>
      </c>
      <c r="B500" s="38" t="inlineStr">
        <is>
          <t>敲诈勒索罪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强行索要</t>
        </is>
      </c>
      <c r="B501" s="38" t="inlineStr">
        <is>
          <t>敲诈勒索罪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逼迫给钱</t>
        </is>
      </c>
      <c r="B502" s="38" t="inlineStr">
        <is>
          <t>敲诈勒索罪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威逼交钱</t>
        </is>
      </c>
      <c r="B503" s="38" t="inlineStr">
        <is>
          <t>敲诈勒索罪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索要保护费</t>
        </is>
      </c>
      <c r="B504" s="38" t="inlineStr">
        <is>
          <t>敲诈勒索罪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勒索他人</t>
        </is>
      </c>
      <c r="B505" s="38" t="inlineStr">
        <is>
          <t>敲诈勒索罪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蓄意破坏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破坏财物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毁损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砸车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打砸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损毁车辆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故意损坏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砸东西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砸玻璃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破坏设施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划车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撞坏</t>
        </is>
      </c>
      <c r="B517" s="38" t="inlineStr">
        <is>
          <t>蓄意破坏罪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砸店</t>
        </is>
      </c>
      <c r="B518" s="38" t="inlineStr">
        <is>
          <t>蓄意破坏罪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打砸抢</t>
        </is>
      </c>
      <c r="B519" s="38" t="inlineStr">
        <is>
          <t>蓄意破坏罪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砸场子</t>
        </is>
      </c>
      <c r="B520" s="38" t="inlineStr">
        <is>
          <t>蓄意破坏罪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砸车窗</t>
        </is>
      </c>
      <c r="B521" s="38" t="inlineStr">
        <is>
          <t>蓄意破坏罪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泼漆</t>
        </is>
      </c>
      <c r="B522" s="38" t="inlineStr">
        <is>
          <t>蓄意破坏罪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破坏公物</t>
        </is>
      </c>
      <c r="B523" s="38" t="inlineStr">
        <is>
          <t>蓄意破坏罪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故意撞坏</t>
        </is>
      </c>
      <c r="B524" s="38" t="inlineStr">
        <is>
          <t>蓄意破坏罪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踹坏</t>
        </is>
      </c>
      <c r="B525" s="38" t="inlineStr">
        <is>
          <t>蓄意破坏罪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拆了</t>
        </is>
      </c>
      <c r="B526" s="38" t="inlineStr">
        <is>
          <t>蓄意破坏罪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毁了他的</t>
        </is>
      </c>
      <c r="B527" s="38" t="inlineStr">
        <is>
          <t>蓄意破坏罪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砸烂</t>
        </is>
      </c>
      <c r="B528" s="38" t="inlineStr">
        <is>
          <t>蓄意破坏罪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砸坏</t>
        </is>
      </c>
      <c r="B529" s="38" t="inlineStr">
        <is>
          <t>蓄意破坏罪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故意破坏</t>
        </is>
      </c>
      <c r="B530" s="38" t="inlineStr">
        <is>
          <t>蓄意破坏罪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恶意破坏</t>
        </is>
      </c>
      <c r="B531" s="38" t="inlineStr">
        <is>
          <t>蓄意破坏罪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损坏财物</t>
        </is>
      </c>
      <c r="B532" s="38" t="inlineStr">
        <is>
          <t>蓄意破坏罪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破坏车辆</t>
        </is>
      </c>
      <c r="B533" s="38" t="inlineStr">
        <is>
          <t>蓄意破坏罪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砸毁</t>
        </is>
      </c>
      <c r="B534" s="38" t="inlineStr">
        <is>
          <t>蓄意破坏罪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毁坏公物</t>
        </is>
      </c>
      <c r="B535" s="38" t="inlineStr">
        <is>
          <t>蓄意破坏罪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打砸店铺</t>
        </is>
      </c>
      <c r="B536" s="38" t="inlineStr">
        <is>
          <t>蓄意破坏罪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破坏设备</t>
        </is>
      </c>
      <c r="B537" s="38" t="inlineStr">
        <is>
          <t>蓄意破坏罪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毁坏财物</t>
        </is>
      </c>
      <c r="B538" s="38" t="inlineStr">
        <is>
          <t>蓄意破坏罪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挪用公款</t>
        </is>
      </c>
      <c r="B539" s="38" t="inlineStr">
        <is>
          <t>挪用公款公物罪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挪用公物</t>
        </is>
      </c>
      <c r="B540" s="38" t="inlineStr">
        <is>
          <t>挪用公款公物罪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侵占公款</t>
        </is>
      </c>
      <c r="B541" s="38" t="inlineStr">
        <is>
          <t>挪用公款公物罪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职务侵占</t>
        </is>
      </c>
      <c r="B542" s="38" t="inlineStr">
        <is>
          <t>挪用公款公物罪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挪用公家</t>
        </is>
      </c>
      <c r="B543" s="38" t="inlineStr">
        <is>
          <t>挪用公款公物罪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私吞公款</t>
        </is>
      </c>
      <c r="B544" s="38" t="inlineStr">
        <is>
          <t>挪用公款公物罪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贪公款</t>
        </is>
      </c>
      <c r="B545" s="38" t="inlineStr">
        <is>
          <t>挪用公款公物罪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占用公物</t>
        </is>
      </c>
      <c r="B546" s="38" t="inlineStr">
        <is>
          <t>挪用公款公物罪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挪用资金</t>
        </is>
      </c>
      <c r="B547" s="38" t="inlineStr">
        <is>
          <t>挪用公款公物罪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侵吞公款</t>
        </is>
      </c>
      <c r="B548" s="38" t="inlineStr">
        <is>
          <t>挪用公款公物罪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挪用公家钱</t>
        </is>
      </c>
      <c r="B549" s="38" t="inlineStr">
        <is>
          <t>挪用公款公物罪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擅自动用公款</t>
        </is>
      </c>
      <c r="B550" s="38" t="inlineStr">
        <is>
          <t>挪用公款公物罪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占用公家财物</t>
        </is>
      </c>
      <c r="B551" s="38" t="inlineStr">
        <is>
          <t>挪用公款公物罪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私用公款</t>
        </is>
      </c>
      <c r="B552" s="38" t="inlineStr">
        <is>
          <t>挪用公款公物罪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持有失窃物品</t>
        </is>
      </c>
      <c r="B553" s="38" t="inlineStr">
        <is>
          <t>持有失窃物品罪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持有失窃</t>
        </is>
      </c>
      <c r="B554" s="38" t="inlineStr">
        <is>
          <t>持有失窃物品罪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捡到不还</t>
        </is>
      </c>
      <c r="B555" s="38" t="inlineStr">
        <is>
          <t>持有失窃物品罪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非法占有遗失物</t>
        </is>
      </c>
      <c r="B556" s="38" t="inlineStr">
        <is>
          <t>持有失窃物品罪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藏着别人丢的</t>
        </is>
      </c>
      <c r="B557" s="38" t="inlineStr">
        <is>
          <t>持有失窃物品罪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拿着赃物</t>
        </is>
      </c>
      <c r="B558" s="38" t="inlineStr">
        <is>
          <t>持有失窃物品罪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藏着偷来的</t>
        </is>
      </c>
      <c r="B559" s="38" t="inlineStr">
        <is>
          <t>持有失窃物品罪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占着别人丢的</t>
        </is>
      </c>
      <c r="B560" s="38" t="inlineStr">
        <is>
          <t>持有失窃物品罪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捡了不还</t>
        </is>
      </c>
      <c r="B561" s="38" t="inlineStr">
        <is>
          <t>持有失窃物品罪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私藏失物</t>
        </is>
      </c>
      <c r="B562" s="38" t="inlineStr">
        <is>
          <t>持有失窃物品罪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持有赃物</t>
        </is>
      </c>
      <c r="B563" s="38" t="inlineStr">
        <is>
          <t>持有失窃物品罪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藏有失窃</t>
        </is>
      </c>
      <c r="B564" s="38" t="inlineStr">
        <is>
          <t>持有失窃物品罪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占有他人失物</t>
        </is>
      </c>
      <c r="B565" s="38" t="inlineStr">
        <is>
          <t>持有失窃物品罪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私藏赃物</t>
        </is>
      </c>
      <c r="B566" s="38" t="inlineStr">
        <is>
          <t>持有失窃物品罪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公共场合淫秽</t>
        </is>
      </c>
      <c r="B567" s="38" t="inlineStr">
        <is>
          <t>在公共场合从事淫秽行为罪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公然猥亵</t>
        </is>
      </c>
      <c r="B568" s="38" t="inlineStr">
        <is>
          <t>在公共场合从事淫秽行为罪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淫秽行为</t>
        </is>
      </c>
      <c r="B569" s="38" t="inlineStr">
        <is>
          <t>在公共场合从事淫秽行为罪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招嫖</t>
        </is>
      </c>
      <c r="B570" s="38" t="inlineStr">
        <is>
          <t>在公共场合从事淫秽行为罪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公开招募性交易</t>
        </is>
      </c>
      <c r="B571" s="38" t="inlineStr">
        <is>
          <t>在公共场合从事淫秽行为罪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当街猥亵</t>
        </is>
      </c>
      <c r="B572" s="38" t="inlineStr">
        <is>
          <t>在公共场合从事淫秽行为罪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猥亵</t>
        </is>
      </c>
      <c r="B573" s="38" t="inlineStr">
        <is>
          <t>在公共场合从事淫秽行为罪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当街裸露</t>
        </is>
      </c>
      <c r="B574" s="38" t="inlineStr">
        <is>
          <t>在公共场合从事淫秽行为罪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公然露</t>
        </is>
      </c>
      <c r="B575" s="38" t="inlineStr">
        <is>
          <t>在公共场合从事淫秽行为罪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街头猥亵</t>
        </is>
      </c>
      <c r="B576" s="38" t="inlineStr">
        <is>
          <t>在公共场合从事淫秽行为罪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公共场所裸露</t>
        </is>
      </c>
      <c r="B577" s="38" t="inlineStr">
        <is>
          <t>在公共场合从事淫秽行为罪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露阴</t>
        </is>
      </c>
      <c r="B578" s="38" t="inlineStr">
        <is>
          <t>在公共场合从事淫秽行为罪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当众脱</t>
        </is>
      </c>
      <c r="B579" s="38" t="inlineStr">
        <is>
          <t>在公共场合从事淫秽行为罪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当众猥亵</t>
        </is>
      </c>
      <c r="B580" s="38" t="inlineStr">
        <is>
          <t>在公共场合从事淫秽行为罪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公开淫秽</t>
        </is>
      </c>
      <c r="B581" s="38" t="inlineStr">
        <is>
          <t>在公共场合从事淫秽行为罪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公共场所性行为</t>
        </is>
      </c>
      <c r="B582" s="38" t="inlineStr">
        <is>
          <t>在公共场合从事淫秽行为罪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当众露体</t>
        </is>
      </c>
      <c r="B583" s="38" t="inlineStr">
        <is>
          <t>在公共场合从事淫秽行为罪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组织卖淫</t>
        </is>
      </c>
      <c r="B584" s="38" t="inlineStr">
        <is>
          <t>组织卖淫罪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拉皮条</t>
        </is>
      </c>
      <c r="B585" s="38" t="inlineStr">
        <is>
          <t>组织卖淫罪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强迫卖淫</t>
        </is>
      </c>
      <c r="B586" s="38" t="inlineStr">
        <is>
          <t>组织卖淫罪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介绍卖淫</t>
        </is>
      </c>
      <c r="B587" s="38" t="inlineStr">
        <is>
          <t>组织卖淫罪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开妓院</t>
        </is>
      </c>
      <c r="B588" s="38" t="inlineStr">
        <is>
          <t>组织卖淫罪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开窑子</t>
        </is>
      </c>
      <c r="B589" s="38" t="inlineStr">
        <is>
          <t>组织卖淫罪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组织卖身</t>
        </is>
      </c>
      <c r="B590" s="38" t="inlineStr">
        <is>
          <t>组织卖淫罪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拉客</t>
        </is>
      </c>
      <c r="B591" s="38" t="inlineStr">
        <is>
          <t>组织卖淫罪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介绍小姐</t>
        </is>
      </c>
      <c r="B592" s="38" t="inlineStr">
        <is>
          <t>组织卖淫罪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开妓院拉客</t>
        </is>
      </c>
      <c r="B593" s="38" t="inlineStr">
        <is>
          <t>组织卖淫罪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组织卖淫活动</t>
        </is>
      </c>
      <c r="B594" s="38" t="inlineStr">
        <is>
          <t>组织卖淫罪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强迫他人卖淫</t>
        </is>
      </c>
      <c r="B595" s="38" t="inlineStr">
        <is>
          <t>组织卖淫罪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容留卖淫</t>
        </is>
      </c>
      <c r="B596" s="38" t="inlineStr">
        <is>
          <t>组织卖淫罪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卖淫</t>
        </is>
      </c>
      <c r="B597" s="38" t="inlineStr">
        <is>
          <t>卖淫罪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性交易</t>
        </is>
      </c>
      <c r="B598" s="38" t="inlineStr">
        <is>
          <t>卖淫罪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提供性服务</t>
        </is>
      </c>
      <c r="B599" s="38" t="inlineStr">
        <is>
          <t>卖淫罪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接客</t>
        </is>
      </c>
      <c r="B600" s="38" t="inlineStr">
        <is>
          <t>卖淫罪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站街</t>
        </is>
      </c>
      <c r="B601" s="38" t="inlineStr">
        <is>
          <t>卖淫罪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卖身</t>
        </is>
      </c>
      <c r="B602" s="38" t="inlineStr">
        <is>
          <t>卖淫罪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陪睡收钱</t>
        </is>
      </c>
      <c r="B603" s="38" t="inlineStr">
        <is>
          <t>卖淫罪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出台</t>
        </is>
      </c>
      <c r="B604" s="38" t="inlineStr">
        <is>
          <t>卖淫罪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从事卖淫</t>
        </is>
      </c>
      <c r="B605" s="38" t="inlineStr">
        <is>
          <t>卖淫罪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卖淫活动</t>
        </is>
      </c>
      <c r="B606" s="38" t="inlineStr">
        <is>
          <t>卖淫罪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提供有偿性服务</t>
        </is>
      </c>
      <c r="B607" s="38" t="inlineStr">
        <is>
          <t>卖淫罪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强奸</t>
        </is>
      </c>
      <c r="B608" s="38" t="inlineStr">
        <is>
          <t>强奸罪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性侵</t>
        </is>
      </c>
      <c r="B609" s="38" t="inlineStr">
        <is>
          <t>强奸罪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强迫性行为</t>
        </is>
      </c>
      <c r="B610" s="38" t="inlineStr">
        <is>
          <t>强奸罪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强迫发生关系</t>
        </is>
      </c>
      <c r="B611" s="38" t="inlineStr">
        <is>
          <t>强奸罪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迷奸</t>
        </is>
      </c>
      <c r="B612" s="38" t="inlineStr">
        <is>
          <t>强奸罪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强暴</t>
        </is>
      </c>
      <c r="B613" s="38" t="inlineStr">
        <is>
          <t>强奸罪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强上</t>
        </is>
      </c>
      <c r="B614" s="38" t="inlineStr">
        <is>
          <t>强奸罪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下药性侵</t>
        </is>
      </c>
      <c r="B615" s="38" t="inlineStr">
        <is>
          <t>强奸罪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违背意愿性侵</t>
        </is>
      </c>
      <c r="B616" s="38" t="inlineStr">
        <is>
          <t>强奸罪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迷晕性侵</t>
        </is>
      </c>
      <c r="B617" s="38" t="inlineStr">
        <is>
          <t>强奸罪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强行性侵</t>
        </is>
      </c>
      <c r="B618" s="38" t="inlineStr">
        <is>
          <t>强奸罪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迷奸他人</t>
        </is>
      </c>
      <c r="B619" s="38" t="inlineStr">
        <is>
          <t>强奸罪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性侵害</t>
        </is>
      </c>
      <c r="B620" s="38" t="inlineStr">
        <is>
          <t>强奸罪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强行发生关系</t>
        </is>
      </c>
      <c r="B621" s="38" t="inlineStr">
        <is>
          <t>强奸罪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强迫他人发生</t>
        </is>
      </c>
      <c r="B622" s="38" t="inlineStr">
        <is>
          <t>强奸罪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传播淫秽</t>
        </is>
      </c>
      <c r="B623" s="38" t="inlineStr">
        <is>
          <t>传播淫秽色情罪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传播色情</t>
        </is>
      </c>
      <c r="B624" s="38" t="inlineStr">
        <is>
          <t>传播淫秽色情罪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淫秽内容</t>
        </is>
      </c>
      <c r="B625" s="38" t="inlineStr">
        <is>
          <t>传播淫秽色情罪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色情视频</t>
        </is>
      </c>
      <c r="B626" s="38" t="inlineStr">
        <is>
          <t>传播淫秽色情罪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贩卖色情</t>
        </is>
      </c>
      <c r="B627" s="38" t="inlineStr">
        <is>
          <t>传播淫秽色情罪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发黄图</t>
        </is>
      </c>
      <c r="B628" s="38" t="inlineStr">
        <is>
          <t>传播淫秽色情罪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传黄片</t>
        </is>
      </c>
      <c r="B629" s="38" t="inlineStr">
        <is>
          <t>传播淫秽色情罪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发黄片</t>
        </is>
      </c>
      <c r="B630" s="38" t="inlineStr">
        <is>
          <t>传播淫秽色情罪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卖片</t>
        </is>
      </c>
      <c r="B631" s="38" t="inlineStr">
        <is>
          <t>传播淫秽色情罪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传不雅</t>
        </is>
      </c>
      <c r="B632" s="38" t="inlineStr">
        <is>
          <t>传播淫秽色情罪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发不雅视频</t>
        </is>
      </c>
      <c r="B633" s="38" t="inlineStr">
        <is>
          <t>传播淫秽色情罪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传播黄图</t>
        </is>
      </c>
      <c r="B634" s="38" t="inlineStr">
        <is>
          <t>传播淫秽色情罪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散布淫秽</t>
        </is>
      </c>
      <c r="B635" s="38" t="inlineStr">
        <is>
          <t>传播淫秽色情罪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制作色情</t>
        </is>
      </c>
      <c r="B636" s="38" t="inlineStr">
        <is>
          <t>传播淫秽色情罪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贩卖淫秽</t>
        </is>
      </c>
      <c r="B637" s="38" t="inlineStr">
        <is>
          <t>传播淫秽色情罪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传播淫秽物品</t>
        </is>
      </c>
      <c r="B638" s="38" t="inlineStr">
        <is>
          <t>传播淫秽色情罪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公开色情</t>
        </is>
      </c>
      <c r="B639" s="38" t="inlineStr">
        <is>
          <t>传播淫秽色情罪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歧视</t>
        </is>
      </c>
      <c r="B640" s="38" t="inlineStr">
        <is>
          <t>歧视罪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种族歧视</t>
        </is>
      </c>
      <c r="B641" s="38" t="inlineStr">
        <is>
          <t>歧视罪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辱骂</t>
        </is>
      </c>
      <c r="B642" s="38" t="inlineStr">
        <is>
          <t>歧视罪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侮辱</t>
        </is>
      </c>
      <c r="B643" s="38" t="inlineStr">
        <is>
          <t>歧视罪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贬低</t>
        </is>
      </c>
      <c r="B644" s="38" t="inlineStr">
        <is>
          <t>歧视罪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地图炮</t>
        </is>
      </c>
      <c r="B645" s="38" t="inlineStr">
        <is>
          <t>歧视罪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辱骂种族</t>
        </is>
      </c>
      <c r="B646" s="38" t="inlineStr">
        <is>
          <t>歧视罪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骂残疾</t>
        </is>
      </c>
      <c r="B647" s="38" t="inlineStr">
        <is>
          <t>歧视罪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性别歧视</t>
        </is>
      </c>
      <c r="B648" s="38" t="inlineStr">
        <is>
          <t>歧视罪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种族辱骂</t>
        </is>
      </c>
      <c r="B649" s="38" t="inlineStr">
        <is>
          <t>歧视罪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歧视他人</t>
        </is>
      </c>
      <c r="B650" s="38" t="inlineStr">
        <is>
          <t>歧视罪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恶意歧视</t>
        </is>
      </c>
      <c r="B651" s="38" t="inlineStr">
        <is>
          <t>歧视罪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辱骂歧视</t>
        </is>
      </c>
      <c r="B652" s="38" t="inlineStr">
        <is>
          <t>歧视罪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种族侮辱</t>
        </is>
      </c>
      <c r="B653" s="38" t="inlineStr">
        <is>
          <t>歧视罪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仇恨言论</t>
        </is>
      </c>
      <c r="B654" s="38" t="inlineStr">
        <is>
          <t>歧视罪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诽谤</t>
        </is>
      </c>
      <c r="B655" s="38" t="inlineStr">
        <is>
          <t>诽谤罪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造谣</t>
        </is>
      </c>
      <c r="B656" s="38" t="inlineStr">
        <is>
          <t>诽谤罪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污蔑</t>
        </is>
      </c>
      <c r="B657" s="38" t="inlineStr">
        <is>
          <t>诽谤罪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捏造</t>
        </is>
      </c>
      <c r="B658" s="38" t="inlineStr">
        <is>
          <t>诽谤罪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损害名誉</t>
        </is>
      </c>
      <c r="B659" s="38" t="inlineStr">
        <is>
          <t>诽谤罪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传播虚假信息</t>
        </is>
      </c>
      <c r="B660" s="38" t="inlineStr">
        <is>
          <t>诽谤罪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抹黑</t>
        </is>
      </c>
      <c r="B661" s="38" t="inlineStr">
        <is>
          <t>诽谤罪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造黄谣</t>
        </is>
      </c>
      <c r="B662" s="38" t="inlineStr">
        <is>
          <t>诽谤罪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带节奏抹黑</t>
        </is>
      </c>
      <c r="B663" s="38" t="inlineStr">
        <is>
          <t>诽谤罪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泼脏水</t>
        </is>
      </c>
      <c r="B664" s="38" t="inlineStr">
        <is>
          <t>诽谤罪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血口喷人</t>
        </is>
      </c>
      <c r="B665" s="38" t="inlineStr">
        <is>
          <t>诽谤罪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造假新闻</t>
        </is>
      </c>
      <c r="B666" s="38" t="inlineStr">
        <is>
          <t>诽谤罪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捏造事实</t>
        </is>
      </c>
      <c r="B667" s="38" t="inlineStr">
        <is>
          <t>诽谤罪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造谣抹黑</t>
        </is>
      </c>
      <c r="B668" s="38" t="inlineStr">
        <is>
          <t>诽谤罪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恶意诽谤</t>
        </is>
      </c>
      <c r="B669" s="38" t="inlineStr">
        <is>
          <t>诽谤罪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造谣诽谤</t>
        </is>
      </c>
      <c r="B670" s="38" t="inlineStr">
        <is>
          <t>诽谤罪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散布谣言</t>
        </is>
      </c>
      <c r="B671" s="38" t="inlineStr">
        <is>
          <t>诽谤罪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污蔑他人</t>
        </is>
      </c>
      <c r="B672" s="38" t="inlineStr">
        <is>
          <t>诽谤罪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诋毁他人</t>
        </is>
      </c>
      <c r="B673" s="38" t="inlineStr">
        <is>
          <t>诽谤罪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捏造散布</t>
        </is>
      </c>
      <c r="B674" s="38" t="inlineStr">
        <is>
          <t>诽谤罪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行贿</t>
        </is>
      </c>
      <c r="B675" s="38" t="inlineStr">
        <is>
          <t>行贿罪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贿赂</t>
        </is>
      </c>
      <c r="B676" s="38" t="inlineStr">
        <is>
          <t>行贿罪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送钱给</t>
        </is>
      </c>
      <c r="B677" s="38" t="inlineStr">
        <is>
          <t>行贿罪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塞钱</t>
        </is>
      </c>
      <c r="B678" s="38" t="inlineStr">
        <is>
          <t>行贿罪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贿赂政府</t>
        </is>
      </c>
      <c r="B679" s="38" t="inlineStr">
        <is>
          <t>行贿罪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给警察塞钱</t>
        </is>
      </c>
      <c r="B680" s="38" t="inlineStr">
        <is>
          <t>行贿罪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买通</t>
        </is>
      </c>
      <c r="B681" s="38" t="inlineStr">
        <is>
          <t>行贿罪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塞红包</t>
        </is>
      </c>
      <c r="B682" s="38" t="inlineStr">
        <is>
          <t>行贿罪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给好处费</t>
        </is>
      </c>
      <c r="B683" s="38" t="inlineStr">
        <is>
          <t>行贿罪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塞钱给官</t>
        </is>
      </c>
      <c r="B684" s="38" t="inlineStr">
        <is>
          <t>行贿罪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买通官员</t>
        </is>
      </c>
      <c r="B685" s="38" t="inlineStr">
        <is>
          <t>行贿罪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送礼贿赂</t>
        </is>
      </c>
      <c r="B686" s="38" t="inlineStr">
        <is>
          <t>行贿罪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递红包</t>
        </is>
      </c>
      <c r="B687" s="38" t="inlineStr">
        <is>
          <t>行贿罪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给警察好处</t>
        </is>
      </c>
      <c r="B688" s="38" t="inlineStr">
        <is>
          <t>行贿罪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贿赂官员</t>
        </is>
      </c>
      <c r="B689" s="38" t="inlineStr">
        <is>
          <t>行贿罪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送钱贿赂</t>
        </is>
      </c>
      <c r="B690" s="38" t="inlineStr">
        <is>
          <t>行贿罪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给钱买通</t>
        </is>
      </c>
      <c r="B691" s="38" t="inlineStr">
        <is>
          <t>行贿罪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行贿官员</t>
        </is>
      </c>
      <c r="B692" s="38" t="inlineStr">
        <is>
          <t>行贿罪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向官员行贿</t>
        </is>
      </c>
      <c r="B693" s="38" t="inlineStr">
        <is>
          <t>行贿罪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妨碍司法</t>
        </is>
      </c>
      <c r="B694" s="38" t="inlineStr">
        <is>
          <t>妨碍司法罪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阻碍司法</t>
        </is>
      </c>
      <c r="B695" s="38" t="inlineStr">
        <is>
          <t>妨碍司法罪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阻碍法律文书</t>
        </is>
      </c>
      <c r="B696" s="38" t="inlineStr">
        <is>
          <t>妨碍司法罪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阻挠办案</t>
        </is>
      </c>
      <c r="B697" s="38" t="inlineStr">
        <is>
          <t>妨碍司法罪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妨碍办案</t>
        </is>
      </c>
      <c r="B698" s="38" t="inlineStr">
        <is>
          <t>妨碍司法罪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撕毁文书</t>
        </is>
      </c>
      <c r="B699" s="38" t="inlineStr">
        <is>
          <t>妨碍司法罪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干扰司法</t>
        </is>
      </c>
      <c r="B700" s="38" t="inlineStr">
        <is>
          <t>妨碍司法罪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阻碍法律执行</t>
        </is>
      </c>
      <c r="B701" s="38" t="inlineStr">
        <is>
          <t>妨碍司法罪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妨碍司法公正</t>
        </is>
      </c>
      <c r="B702" s="38" t="inlineStr">
        <is>
          <t>妨碍司法罪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干扰办案</t>
        </is>
      </c>
      <c r="B703" s="38" t="inlineStr">
        <is>
          <t>妨碍司法罪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阻挠司法</t>
        </is>
      </c>
      <c r="B704" s="38" t="inlineStr">
        <is>
          <t>妨碍司法罪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妨害司法</t>
        </is>
      </c>
      <c r="B705" s="38" t="inlineStr">
        <is>
          <t>妨碍司法罪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拒绝命令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不服从命令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拒绝检查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不配合检查</t>
        </is>
      </c>
      <c r="B709" s="38" t="inlineStr">
        <is>
          <t>拒绝听从执法人员命令与检查罪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拒绝指示</t>
        </is>
      </c>
      <c r="B710" s="38" t="inlineStr">
        <is>
          <t>拒绝听从执法人员命令与检查罪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不听指挥</t>
        </is>
      </c>
      <c r="B711" s="38" t="inlineStr">
        <is>
          <t>拒绝听从执法人员命令与检查罪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不配合</t>
        </is>
      </c>
      <c r="B712" s="38" t="inlineStr">
        <is>
          <t>拒绝听从执法人员命令与检查罪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无视警察命令</t>
        </is>
      </c>
      <c r="B713" s="38" t="inlineStr">
        <is>
          <t>拒绝听从执法人员命令与检查罪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不靠边</t>
        </is>
      </c>
      <c r="B714" s="38" t="inlineStr">
        <is>
          <t>拒绝听从执法人员命令与检查罪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不靠边停</t>
        </is>
      </c>
      <c r="B715" s="38" t="inlineStr">
        <is>
          <t>拒绝听从执法人员命令与检查罪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不下车</t>
        </is>
      </c>
      <c r="B716" s="38" t="inlineStr">
        <is>
          <t>拒绝听从执法人员命令与检查罪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不配合警察</t>
        </is>
      </c>
      <c r="B717" s="38" t="inlineStr">
        <is>
          <t>拒绝听从执法人员命令与检查罪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不听警察的</t>
        </is>
      </c>
      <c r="B718" s="38" t="inlineStr">
        <is>
          <t>拒绝听从执法人员命令与检查罪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拒检</t>
        </is>
      </c>
      <c r="B719" s="38" t="inlineStr">
        <is>
          <t>拒绝听从执法人员命令与检查罪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不开窗</t>
        </is>
      </c>
      <c r="B720" s="38" t="inlineStr">
        <is>
          <t>拒绝听从执法人员命令与检查罪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拒绝配合</t>
        </is>
      </c>
      <c r="B721" s="38" t="inlineStr">
        <is>
          <t>拒绝听从执法人员命令与检查罪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不服从警察</t>
        </is>
      </c>
      <c r="B722" s="38" t="inlineStr">
        <is>
          <t>拒绝听从执法人员命令与检查罪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不听从命令</t>
        </is>
      </c>
      <c r="B723" s="38" t="inlineStr">
        <is>
          <t>拒绝听从执法人员命令与检查罪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无视指示</t>
        </is>
      </c>
      <c r="B724" s="38" t="inlineStr">
        <is>
          <t>拒绝听从执法人员命令与检查罪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拒不配合</t>
        </is>
      </c>
      <c r="B725" s="38" t="inlineStr">
        <is>
          <t>拒绝听从执法人员命令与检查罪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抗拒检查</t>
        </is>
      </c>
      <c r="B726" s="38" t="inlineStr">
        <is>
          <t>拒绝听从执法人员命令与检查罪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不服从指挥</t>
        </is>
      </c>
      <c r="B727" s="38" t="inlineStr">
        <is>
          <t>拒绝听从执法人员命令与检查罪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拒绝执法检查</t>
        </is>
      </c>
      <c r="B728" s="38" t="inlineStr">
        <is>
          <t>拒绝听从执法人员命令与检查罪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不停车检查</t>
        </is>
      </c>
      <c r="B729" s="38" t="inlineStr">
        <is>
          <t>拒绝听从执法人员命令与检查罪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拒绝盘查</t>
        </is>
      </c>
      <c r="B730" s="38" t="inlineStr">
        <is>
          <t>拒绝听从执法人员命令与检查罪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拒绝提供身份</t>
        </is>
      </c>
      <c r="B731" s="38" t="inlineStr">
        <is>
          <t>拒绝提供身份罪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拒报身份</t>
        </is>
      </c>
      <c r="B732" s="38" t="inlineStr">
        <is>
          <t>拒绝提供身份罪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不提供身份</t>
        </is>
      </c>
      <c r="B733" s="38" t="inlineStr">
        <is>
          <t>拒绝提供身份罪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拒绝出示证件</t>
        </is>
      </c>
      <c r="B734" s="38" t="inlineStr">
        <is>
          <t>拒绝提供身份罪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不报姓名</t>
        </is>
      </c>
      <c r="B735" s="38" t="inlineStr">
        <is>
          <t>拒绝提供身份罪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不给看证件</t>
        </is>
      </c>
      <c r="B736" s="38" t="inlineStr">
        <is>
          <t>拒绝提供身份罪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拒绝报名字</t>
        </is>
      </c>
      <c r="B737" s="38" t="inlineStr">
        <is>
          <t>拒绝提供身份罪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不报名字</t>
        </is>
      </c>
      <c r="B738" s="38" t="inlineStr">
        <is>
          <t>拒绝提供身份罪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不给身份证</t>
        </is>
      </c>
      <c r="B739" s="38" t="inlineStr">
        <is>
          <t>拒绝提供身份罪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拒报姓名</t>
        </is>
      </c>
      <c r="B740" s="38" t="inlineStr">
        <is>
          <t>拒绝提供身份罪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不说自己是谁</t>
        </is>
      </c>
      <c r="B741" s="38" t="inlineStr">
        <is>
          <t>拒绝提供身份罪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装不认识</t>
        </is>
      </c>
      <c r="B742" s="38" t="inlineStr">
        <is>
          <t>拒绝提供身份罪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不肯说名字</t>
        </is>
      </c>
      <c r="B743" s="38" t="inlineStr">
        <is>
          <t>拒绝提供身份罪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拒不报身份</t>
        </is>
      </c>
      <c r="B744" s="38" t="inlineStr">
        <is>
          <t>拒绝提供身份罪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拒绝提供证件</t>
        </is>
      </c>
      <c r="B745" s="38" t="inlineStr">
        <is>
          <t>拒绝提供身份罪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隐瞒身份</t>
        </is>
      </c>
      <c r="B746" s="38" t="inlineStr">
        <is>
          <t>拒绝提供身份罪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不报真实姓名</t>
        </is>
      </c>
      <c r="B747" s="38" t="inlineStr">
        <is>
          <t>拒绝提供身份罪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拒不出示证件</t>
        </is>
      </c>
      <c r="B748" s="38" t="inlineStr">
        <is>
          <t>拒绝提供身份罪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破坏证据</t>
        </is>
      </c>
      <c r="B749" s="38" t="inlineStr">
        <is>
          <t>破坏证据罪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销毁证据</t>
        </is>
      </c>
      <c r="B750" s="38" t="inlineStr">
        <is>
          <t>破坏证据罪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毁灭证据</t>
        </is>
      </c>
      <c r="B751" s="38" t="inlineStr">
        <is>
          <t>破坏证据罪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篡改证据</t>
        </is>
      </c>
      <c r="B752" s="38" t="inlineStr">
        <is>
          <t>破坏证据罪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伪造证据</t>
        </is>
      </c>
      <c r="B753" s="38" t="inlineStr">
        <is>
          <t>破坏证据罪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藏匿证据</t>
        </is>
      </c>
      <c r="B754" s="38" t="inlineStr">
        <is>
          <t>破坏证据罪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丢掉证据</t>
        </is>
      </c>
      <c r="B755" s="38" t="inlineStr">
        <is>
          <t>破坏证据罪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扔掉毒品</t>
        </is>
      </c>
      <c r="B756" s="38" t="inlineStr">
        <is>
          <t>破坏证据罪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毁证据</t>
        </is>
      </c>
      <c r="B757" s="38" t="inlineStr">
        <is>
          <t>破坏证据罪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扔证物</t>
        </is>
      </c>
      <c r="B758" s="38" t="inlineStr">
        <is>
          <t>破坏证据罪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冲掉毒品</t>
        </is>
      </c>
      <c r="B759" s="38" t="inlineStr">
        <is>
          <t>破坏证据罪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删监控</t>
        </is>
      </c>
      <c r="B760" s="38" t="inlineStr">
        <is>
          <t>破坏证据罪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擦指纹</t>
        </is>
      </c>
      <c r="B761" s="38" t="inlineStr">
        <is>
          <t>破坏证据罪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毁监控</t>
        </is>
      </c>
      <c r="B762" s="38" t="inlineStr">
        <is>
          <t>破坏证据罪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藏证物</t>
        </is>
      </c>
      <c r="B763" s="38" t="inlineStr">
        <is>
          <t>破坏证据罪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销毁证物</t>
        </is>
      </c>
      <c r="B764" s="38" t="inlineStr">
        <is>
          <t>破坏证据罪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转移证据</t>
        </is>
      </c>
      <c r="B765" s="38" t="inlineStr">
        <is>
          <t>破坏证据罪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隐匿证据</t>
        </is>
      </c>
      <c r="B766" s="38" t="inlineStr">
        <is>
          <t>破坏证据罪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清除证据</t>
        </is>
      </c>
      <c r="B767" s="38" t="inlineStr">
        <is>
          <t>破坏证据罪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破坏现场</t>
        </is>
      </c>
      <c r="B768" s="38" t="inlineStr">
        <is>
          <t>破坏证据罪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湮灭证据</t>
        </is>
      </c>
      <c r="B769" s="38" t="inlineStr">
        <is>
          <t>破坏证据罪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冒充政府</t>
        </is>
      </c>
      <c r="B770" s="38" t="inlineStr">
        <is>
          <t>冒充政府雇员罪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冒充警察</t>
        </is>
      </c>
      <c r="B771" s="38" t="inlineStr">
        <is>
          <t>冒充政府雇员罪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假冒警察</t>
        </is>
      </c>
      <c r="B772" s="38" t="inlineStr">
        <is>
          <t>冒充政府雇员罪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冒充公职</t>
        </is>
      </c>
      <c r="B773" s="38" t="inlineStr">
        <is>
          <t>冒充政府雇员罪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假扮警察</t>
        </is>
      </c>
      <c r="B774" s="38" t="inlineStr">
        <is>
          <t>冒充政府雇员罪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假冒执法</t>
        </is>
      </c>
      <c r="B775" s="38" t="inlineStr">
        <is>
          <t>冒充政府雇员罪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冒充公务员</t>
        </is>
      </c>
      <c r="B776" s="38" t="inlineStr">
        <is>
          <t>冒充政府雇员罪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假警察</t>
        </is>
      </c>
      <c r="B777" s="38" t="inlineStr">
        <is>
          <t>冒充政府雇员罪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假装警察</t>
        </is>
      </c>
      <c r="B778" s="38" t="inlineStr">
        <is>
          <t>冒充政府雇员罪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扮警察</t>
        </is>
      </c>
      <c r="B779" s="38" t="inlineStr">
        <is>
          <t>冒充政府雇员罪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假冒探员</t>
        </is>
      </c>
      <c r="B780" s="38" t="inlineStr">
        <is>
          <t>冒充政府雇员罪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冒充政府人员</t>
        </is>
      </c>
      <c r="B781" s="38" t="inlineStr">
        <is>
          <t>冒充政府雇员罪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假冒官员</t>
        </is>
      </c>
      <c r="B782" s="38" t="inlineStr">
        <is>
          <t>冒充政府雇员罪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冒充执法人员</t>
        </is>
      </c>
      <c r="B783" s="38" t="inlineStr">
        <is>
          <t>冒充政府雇员罪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假冒公职人员</t>
        </is>
      </c>
      <c r="B784" s="38" t="inlineStr">
        <is>
          <t>冒充政府雇员罪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冒充官员</t>
        </is>
      </c>
      <c r="B785" s="38" t="inlineStr">
        <is>
          <t>冒充政府雇员罪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伪装警察</t>
        </is>
      </c>
      <c r="B786" s="38" t="inlineStr">
        <is>
          <t>冒充政府雇员罪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假冒警官</t>
        </is>
      </c>
      <c r="B787" s="38" t="inlineStr">
        <is>
          <t>冒充政府雇员罪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冒充警员</t>
        </is>
      </c>
      <c r="B788" s="38" t="inlineStr">
        <is>
          <t>冒充政府雇员罪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虚假逮捕</t>
        </is>
      </c>
      <c r="B789" s="38" t="inlineStr">
        <is>
          <t>虚假逮捕罪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非法逮捕</t>
        </is>
      </c>
      <c r="B790" s="38" t="inlineStr">
        <is>
          <t>虚假逮捕罪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非法扣押</t>
        </is>
      </c>
      <c r="B791" s="38" t="inlineStr">
        <is>
          <t>虚假逮捕罪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无依据逮捕</t>
        </is>
      </c>
      <c r="B792" s="38" t="inlineStr">
        <is>
          <t>虚假逮捕罪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乱抓人</t>
        </is>
      </c>
      <c r="B793" s="38" t="inlineStr">
        <is>
          <t>虚假逮捕罪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无故逮捕</t>
        </is>
      </c>
      <c r="B794" s="38" t="inlineStr">
        <is>
          <t>虚假逮捕罪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违规抓人</t>
        </is>
      </c>
      <c r="B795" s="38" t="inlineStr">
        <is>
          <t>虚假逮捕罪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栽赃抓人</t>
        </is>
      </c>
      <c r="B796" s="38" t="inlineStr">
        <is>
          <t>虚假逮捕罪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无证据逮捕</t>
        </is>
      </c>
      <c r="B797" s="38" t="inlineStr">
        <is>
          <t>虚假逮捕罪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非法拘捕</t>
        </is>
      </c>
      <c r="B798" s="38" t="inlineStr">
        <is>
          <t>虚假逮捕罪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违法逮捕</t>
        </is>
      </c>
      <c r="B799" s="38" t="inlineStr">
        <is>
          <t>虚假逮捕罪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无理逮捕</t>
        </is>
      </c>
      <c r="B800" s="38" t="inlineStr">
        <is>
          <t>虚假逮捕罪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滥用逮捕</t>
        </is>
      </c>
      <c r="B801" s="38" t="inlineStr">
        <is>
          <t>虚假逮捕罪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伪证</t>
        </is>
      </c>
      <c r="B802" s="38" t="inlineStr">
        <is>
          <t>伪证罪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作伪证</t>
        </is>
      </c>
      <c r="B803" s="38" t="inlineStr">
        <is>
          <t>伪证罪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虚假证言</t>
        </is>
      </c>
      <c r="B804" s="38" t="inlineStr">
        <is>
          <t>伪证罪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假证供</t>
        </is>
      </c>
      <c r="B805" s="38" t="inlineStr">
        <is>
          <t>伪证罪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提供假证</t>
        </is>
      </c>
      <c r="B806" s="38" t="inlineStr">
        <is>
          <t>伪证罪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撒谎作证</t>
        </is>
      </c>
      <c r="B807" s="38" t="inlineStr">
        <is>
          <t>伪证罪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提供伪证</t>
        </is>
      </c>
      <c r="B808" s="38" t="inlineStr">
        <is>
          <t>伪证罪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假口供</t>
        </is>
      </c>
      <c r="B809" s="38" t="inlineStr">
        <is>
          <t>伪证罪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作假证</t>
        </is>
      </c>
      <c r="B810" s="38" t="inlineStr">
        <is>
          <t>伪证罪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虚假作证</t>
        </is>
      </c>
      <c r="B811" s="38" t="inlineStr">
        <is>
          <t>伪证罪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做伪证</t>
        </is>
      </c>
      <c r="B812" s="38" t="inlineStr">
        <is>
          <t>伪证罪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假证词</t>
        </is>
      </c>
      <c r="B813" s="38" t="inlineStr">
        <is>
          <t>伪证罪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伪造证言</t>
        </is>
      </c>
      <c r="B814" s="38" t="inlineStr">
        <is>
          <t>伪证罪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冒充律师</t>
        </is>
      </c>
      <c r="B815" s="38" t="inlineStr">
        <is>
          <t>冒充律师罪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假冒律师</t>
        </is>
      </c>
      <c r="B816" s="38" t="inlineStr">
        <is>
          <t>冒充律师罪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假扮律师</t>
        </is>
      </c>
      <c r="B817" s="38" t="inlineStr">
        <is>
          <t>冒充律师罪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假装律师</t>
        </is>
      </c>
      <c r="B818" s="38" t="inlineStr">
        <is>
          <t>冒充律师罪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冒牌律师</t>
        </is>
      </c>
      <c r="B819" s="38" t="inlineStr">
        <is>
          <t>冒充律师罪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冒充律师身份</t>
        </is>
      </c>
      <c r="B820" s="38" t="inlineStr">
        <is>
          <t>冒充律师罪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无证当律师</t>
        </is>
      </c>
      <c r="B821" s="38" t="inlineStr">
        <is>
          <t>冒充律师罪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妨碍公务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阻碍执法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妨碍执法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阻挠执法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妨碍政府雇员</t>
        </is>
      </c>
      <c r="B826" s="38" t="inlineStr">
        <is>
          <t>妨碍政府雇员执行公务罪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阻碍救援</t>
        </is>
      </c>
      <c r="B827" s="38" t="inlineStr">
        <is>
          <t>妨碍政府雇员执行公务罪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阻碍消防</t>
        </is>
      </c>
      <c r="B828" s="38" t="inlineStr">
        <is>
          <t>妨碍政府雇员执行公务罪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挡着警察</t>
        </is>
      </c>
      <c r="B829" s="38" t="inlineStr">
        <is>
          <t>妨碍政府雇员执行公务罪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干扰执法</t>
        </is>
      </c>
      <c r="B830" s="38" t="inlineStr">
        <is>
          <t>妨碍政府雇员执行公务罪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阻拦警察</t>
        </is>
      </c>
      <c r="B831" s="38" t="inlineStr">
        <is>
          <t>妨碍政府雇员执行公务罪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阻碍医护</t>
        </is>
      </c>
      <c r="B832" s="38" t="inlineStr">
        <is>
          <t>妨碍政府雇员执行公务罪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挡住警察</t>
        </is>
      </c>
      <c r="B833" s="38" t="inlineStr">
        <is>
          <t>妨碍政府雇员执行公务罪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妨碍警察</t>
        </is>
      </c>
      <c r="B834" s="38" t="inlineStr">
        <is>
          <t>妨碍政府雇员执行公务罪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拦着不让抓</t>
        </is>
      </c>
      <c r="B835" s="38" t="inlineStr">
        <is>
          <t>妨碍政府雇员执行公务罪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阻挠抓人</t>
        </is>
      </c>
      <c r="B836" s="38" t="inlineStr">
        <is>
          <t>妨碍政府雇员执行公务罪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阻挡医护</t>
        </is>
      </c>
      <c r="B837" s="38" t="inlineStr">
        <is>
          <t>妨碍政府雇员执行公务罪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阻碍消防员</t>
        </is>
      </c>
      <c r="B838" s="38" t="inlineStr">
        <is>
          <t>妨碍政府雇员执行公务罪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阻挠办案</t>
        </is>
      </c>
      <c r="B839" s="38" t="inlineStr">
        <is>
          <t>妨碍政府雇员执行公务罪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拦警察</t>
        </is>
      </c>
      <c r="B840" s="38" t="inlineStr">
        <is>
          <t>妨碍政府雇员执行公务罪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妨碍执行公务</t>
        </is>
      </c>
      <c r="B841" s="38" t="inlineStr">
        <is>
          <t>妨碍政府雇员执行公务罪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阻碍公务</t>
        </is>
      </c>
      <c r="B842" s="38" t="inlineStr">
        <is>
          <t>妨碍政府雇员执行公务罪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抗拒执法</t>
        </is>
      </c>
      <c r="B843" s="38" t="inlineStr">
        <is>
          <t>妨碍政府雇员执行公务罪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妨害公务</t>
        </is>
      </c>
      <c r="B844" s="38" t="inlineStr">
        <is>
          <t>妨碍政府雇员执行公务罪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阻碍执法人员</t>
        </is>
      </c>
      <c r="B845" s="38" t="inlineStr">
        <is>
          <t>妨碍政府雇员执行公务罪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围堵警察</t>
        </is>
      </c>
      <c r="B846" s="38" t="inlineStr">
        <is>
          <t>妨碍政府雇员执行公务罪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阻碍公务执行</t>
        </is>
      </c>
      <c r="B847" s="38" t="inlineStr">
        <is>
          <t>妨碍政府雇员执行公务罪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阻挠医护</t>
        </is>
      </c>
      <c r="B848" s="38" t="inlineStr">
        <is>
          <t>妨碍政府雇员执行公务罪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妨碍医护</t>
        </is>
      </c>
      <c r="B849" s="38" t="inlineStr">
        <is>
          <t>妨碍政府雇员执行公务罪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搜查医护</t>
        </is>
      </c>
      <c r="B850" s="38" t="inlineStr">
        <is>
          <t>妨碍政府雇员执行公务罪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搜查医护车</t>
        </is>
      </c>
      <c r="B851" s="38" t="inlineStr">
        <is>
          <t>妨碍政府雇员执行公务罪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阻拦救护车</t>
        </is>
      </c>
      <c r="B852" s="38" t="inlineStr">
        <is>
          <t>妨碍政府雇员执行公务罪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阻挠急救</t>
        </is>
      </c>
      <c r="B853" s="38" t="inlineStr">
        <is>
          <t>妨碍政府雇员执行公务罪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拦救护车</t>
        </is>
      </c>
      <c r="B854" s="38" t="inlineStr">
        <is>
          <t>妨碍政府雇员执行公务罪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妨碍急救</t>
        </is>
      </c>
      <c r="B855" s="38" t="inlineStr">
        <is>
          <t>妨碍政府雇员执行公务罪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阻挠救援</t>
        </is>
      </c>
      <c r="B856" s="38" t="inlineStr">
        <is>
          <t>妨碍政府雇员执行公务罪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拒捕</t>
        </is>
      </c>
      <c r="B857" s="38" t="inlineStr">
        <is>
          <t>拒捕罪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拒绝逮捕</t>
        </is>
      </c>
      <c r="B858" s="38" t="inlineStr">
        <is>
          <t>拒捕罪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抗拒逮捕</t>
        </is>
      </c>
      <c r="B859" s="38" t="inlineStr">
        <is>
          <t>拒捕罪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拒绝被捕</t>
        </is>
      </c>
      <c r="B860" s="38" t="inlineStr">
        <is>
          <t>拒捕罪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反抗逮捕</t>
        </is>
      </c>
      <c r="B861" s="38" t="inlineStr">
        <is>
          <t>拒捕罪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不让铐</t>
        </is>
      </c>
      <c r="B862" s="38" t="inlineStr">
        <is>
          <t>拒捕罪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挣脱</t>
        </is>
      </c>
      <c r="B863" s="38" t="inlineStr">
        <is>
          <t>拒捕罪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反抗抓捕</t>
        </is>
      </c>
      <c r="B864" s="38" t="inlineStr">
        <is>
          <t>拒捕罪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逃避逮捕</t>
        </is>
      </c>
      <c r="B865" s="38" t="inlineStr">
        <is>
          <t>拒捕罪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逃避追捕</t>
        </is>
      </c>
      <c r="B866" s="38" t="inlineStr">
        <is>
          <t>拒捕罪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逃避抓捕</t>
        </is>
      </c>
      <c r="B867" s="38" t="inlineStr">
        <is>
          <t>拒捕罪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拒不就范</t>
        </is>
      </c>
      <c r="B868" s="38" t="inlineStr">
        <is>
          <t>拒捕罪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死活不让铐</t>
        </is>
      </c>
      <c r="B869" s="38" t="inlineStr">
        <is>
          <t>拒捕罪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挣开</t>
        </is>
      </c>
      <c r="B870" s="38" t="inlineStr">
        <is>
          <t>拒捕罪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甩开警察</t>
        </is>
      </c>
      <c r="B871" s="38" t="inlineStr">
        <is>
          <t>拒捕罪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跑给警察追</t>
        </is>
      </c>
      <c r="B872" s="38" t="inlineStr">
        <is>
          <t>拒捕罪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不让抓</t>
        </is>
      </c>
      <c r="B873" s="38" t="inlineStr">
        <is>
          <t>拒捕罪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反抗被抓</t>
        </is>
      </c>
      <c r="B874" s="38" t="inlineStr">
        <is>
          <t>拒捕罪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挣扎拒捕</t>
        </is>
      </c>
      <c r="B875" s="38" t="inlineStr">
        <is>
          <t>拒捕罪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跟警察对着干被抓</t>
        </is>
      </c>
      <c r="B876" s="38" t="inlineStr">
        <is>
          <t>拒捕罪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拒不被捕</t>
        </is>
      </c>
      <c r="B877" s="38" t="inlineStr">
        <is>
          <t>拒捕罪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硬抗警察抓</t>
        </is>
      </c>
      <c r="B878" s="38" t="inlineStr">
        <is>
          <t>拒捕罪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抗拒抓捕</t>
        </is>
      </c>
      <c r="B879" s="38" t="inlineStr">
        <is>
          <t>拒捕罪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拒不配合抓捕</t>
        </is>
      </c>
      <c r="B880" s="38" t="inlineStr">
        <is>
          <t>拒捕罪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反抗执法被抓</t>
        </is>
      </c>
      <c r="B881" s="38" t="inlineStr">
        <is>
          <t>拒捕罪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武力拒捕</t>
        </is>
      </c>
      <c r="B882" s="38" t="inlineStr">
        <is>
          <t>拒捕罪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暴力拒捕</t>
        </is>
      </c>
      <c r="B883" s="38" t="inlineStr">
        <is>
          <t>拒捕罪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抗拒逮捕被抓</t>
        </is>
      </c>
      <c r="B884" s="38" t="inlineStr">
        <is>
          <t>拒捕罪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逃避羁押</t>
        </is>
      </c>
      <c r="B885" s="38" t="inlineStr">
        <is>
          <t>逃避羁押罪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越狱</t>
        </is>
      </c>
      <c r="B886" s="38" t="inlineStr">
        <is>
          <t>逃避羁押罪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脱逃</t>
        </is>
      </c>
      <c r="B887" s="38" t="inlineStr">
        <is>
          <t>逃避羁押罪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逃离监管</t>
        </is>
      </c>
      <c r="B888" s="38" t="inlineStr">
        <is>
          <t>逃避羁押罪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逃脱羁押</t>
        </is>
      </c>
      <c r="B889" s="38" t="inlineStr">
        <is>
          <t>逃避羁押罪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从拘留中逃</t>
        </is>
      </c>
      <c r="B890" s="38" t="inlineStr">
        <is>
          <t>逃避羁押罪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从警车上逃</t>
        </is>
      </c>
      <c r="B891" s="38" t="inlineStr">
        <is>
          <t>逃避羁押罪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逃出监管</t>
        </is>
      </c>
      <c r="B892" s="38" t="inlineStr">
        <is>
          <t>逃避羁押罪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保释期间潜逃</t>
        </is>
      </c>
      <c r="B893" s="38" t="inlineStr">
        <is>
          <t>逃避羁押罪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押解途中逃</t>
        </is>
      </c>
      <c r="B894" s="38" t="inlineStr">
        <is>
          <t>逃避羁押罪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押送途中逃</t>
        </is>
      </c>
      <c r="B895" s="38" t="inlineStr">
        <is>
          <t>逃避羁押罪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被捕后逃</t>
        </is>
      </c>
      <c r="B896" s="38" t="inlineStr">
        <is>
          <t>逃避羁押罪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逮捕后逃</t>
        </is>
      </c>
      <c r="B897" s="38" t="inlineStr">
        <is>
          <t>逃避羁押罪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被抓后逃</t>
        </is>
      </c>
      <c r="B898" s="38" t="inlineStr">
        <is>
          <t>逃避羁押罪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抓住后逃</t>
        </is>
      </c>
      <c r="B899" s="38" t="inlineStr">
        <is>
          <t>逃避羁押罪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抓获后逃</t>
        </is>
      </c>
      <c r="B900" s="38" t="inlineStr">
        <is>
          <t>逃避羁押罪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铐上后逃</t>
        </is>
      </c>
      <c r="B901" s="38" t="inlineStr">
        <is>
          <t>逃避羁押罪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铐住后逃</t>
        </is>
      </c>
      <c r="B902" s="38" t="inlineStr">
        <is>
          <t>逃避羁押罪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收押后逃</t>
        </is>
      </c>
      <c r="B903" s="38" t="inlineStr">
        <is>
          <t>逃避羁押罪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拘留后逃</t>
        </is>
      </c>
      <c r="B904" s="38" t="inlineStr">
        <is>
          <t>逃避羁押罪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关进警局后逃</t>
        </is>
      </c>
      <c r="B905" s="38" t="inlineStr">
        <is>
          <t>逃避羁押罪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进局子后逃</t>
        </is>
      </c>
      <c r="B906" s="38" t="inlineStr">
        <is>
          <t>逃避羁押罪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戴上手铐后跑</t>
        </is>
      </c>
      <c r="B907" s="38" t="inlineStr">
        <is>
          <t>逃避羁押罪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押上车后逃</t>
        </is>
      </c>
      <c r="B908" s="38" t="inlineStr">
        <is>
          <t>逃避羁押罪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从拘留室跑</t>
        </is>
      </c>
      <c r="B909" s="38" t="inlineStr">
        <is>
          <t>逃避羁押罪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拘押后逃</t>
        </is>
      </c>
      <c r="B910" s="38" t="inlineStr">
        <is>
          <t>逃避羁押罪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在押逃脱</t>
        </is>
      </c>
      <c r="B911" s="38" t="inlineStr">
        <is>
          <t>逃避羁押罪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被押后逃</t>
        </is>
      </c>
      <c r="B912" s="38" t="inlineStr">
        <is>
          <t>逃避羁押罪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逮捕后脱逃</t>
        </is>
      </c>
      <c r="B913" s="38" t="inlineStr">
        <is>
          <t>逃避羁押罪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羁押期间逃</t>
        </is>
      </c>
      <c r="B914" s="38" t="inlineStr">
        <is>
          <t>逃避羁押罪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收监后逃</t>
        </is>
      </c>
      <c r="B915" s="38" t="inlineStr">
        <is>
          <t>逃避羁押罪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藐视法庭</t>
        </is>
      </c>
      <c r="B916" s="38" t="inlineStr">
        <is>
          <t>藐视法庭罪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扰乱法庭</t>
        </is>
      </c>
      <c r="B917" s="38" t="inlineStr">
        <is>
          <t>藐视法庭罪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无视法庭命令</t>
        </is>
      </c>
      <c r="B918" s="38" t="inlineStr">
        <is>
          <t>藐视法庭罪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不尊重法庭</t>
        </is>
      </c>
      <c r="B919" s="38" t="inlineStr">
        <is>
          <t>藐视法庭罪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在法庭上闹</t>
        </is>
      </c>
      <c r="B920" s="38" t="inlineStr">
        <is>
          <t>藐视法庭罪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法庭上撒泼</t>
        </is>
      </c>
      <c r="B921" s="38" t="inlineStr">
        <is>
          <t>藐视法庭罪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不听法官</t>
        </is>
      </c>
      <c r="B922" s="38" t="inlineStr">
        <is>
          <t>藐视法庭罪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顶撞法官</t>
        </is>
      </c>
      <c r="B923" s="38" t="inlineStr">
        <is>
          <t>藐视法庭罪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扰乱庭审</t>
        </is>
      </c>
      <c r="B924" s="38" t="inlineStr">
        <is>
          <t>藐视法庭罪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无视法官命令</t>
        </is>
      </c>
      <c r="B925" s="38" t="inlineStr">
        <is>
          <t>藐视法庭罪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蔑视法庭</t>
        </is>
      </c>
      <c r="B926" s="38" t="inlineStr">
        <is>
          <t>藐视法庭罪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扰乱法庭秩序</t>
        </is>
      </c>
      <c r="B927" s="38" t="inlineStr">
        <is>
          <t>藐视法庭罪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无视法庭</t>
        </is>
      </c>
      <c r="B928" s="38" t="inlineStr">
        <is>
          <t>藐视法庭罪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在庭上闹事</t>
        </is>
      </c>
      <c r="B929" s="38" t="inlineStr">
        <is>
          <t>藐视法庭罪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扰乱审判</t>
        </is>
      </c>
      <c r="B930" s="38" t="inlineStr">
        <is>
          <t>藐视法庭罪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恶意占用公共资源</t>
        </is>
      </c>
      <c r="B931" s="38" t="inlineStr">
        <is>
          <t>恶意占用公共资源罪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骚扰报警电话</t>
        </is>
      </c>
      <c r="B932" s="38" t="inlineStr">
        <is>
          <t>恶意占用公共资源罪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恶意报警</t>
        </is>
      </c>
      <c r="B933" s="38" t="inlineStr">
        <is>
          <t>恶意占用公共资源罪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虚假报警</t>
        </is>
      </c>
      <c r="B934" s="38" t="inlineStr">
        <is>
          <t>恶意占用公共资源罪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乱打报警</t>
        </is>
      </c>
      <c r="B935" s="38" t="inlineStr">
        <is>
          <t>恶意占用公共资源罪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谎报警情</t>
        </is>
      </c>
      <c r="B936" s="38" t="inlineStr">
        <is>
          <t>恶意占用公共资源罪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谎报</t>
        </is>
      </c>
      <c r="B937" s="38" t="inlineStr">
        <is>
          <t>恶意占用公共资源罪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乱拨报警</t>
        </is>
      </c>
      <c r="B938" s="38" t="inlineStr">
        <is>
          <t>恶意占用公共资源罪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瞎打报警</t>
        </is>
      </c>
      <c r="B939" s="38" t="inlineStr">
        <is>
          <t>恶意占用公共资源罪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恶意报假警</t>
        </is>
      </c>
      <c r="B940" s="38" t="inlineStr">
        <is>
          <t>恶意占用公共资源罪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骚扰报警热线</t>
        </is>
      </c>
      <c r="B941" s="38" t="inlineStr">
        <is>
          <t>恶意占用公共资源罪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乱打急救</t>
        </is>
      </c>
      <c r="B942" s="38" t="inlineStr">
        <is>
          <t>恶意占用公共资源罪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恶意拨打报警</t>
        </is>
      </c>
      <c r="B943" s="38" t="inlineStr">
        <is>
          <t>恶意占用公共资源罪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虚假报案</t>
        </is>
      </c>
      <c r="B944" s="38" t="inlineStr">
        <is>
          <t>恶意占用公共资源罪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滥用报警</t>
        </is>
      </c>
      <c r="B945" s="38" t="inlineStr">
        <is>
          <t>恶意占用公共资源罪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假报警</t>
        </is>
      </c>
      <c r="B946" s="38" t="inlineStr">
        <is>
          <t>恶意占用公共资源罪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进入封闭区域</t>
        </is>
      </c>
      <c r="B947" s="38" t="inlineStr">
        <is>
          <t>未经许可进入封闭紧急区域罪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闯入警戒线</t>
        </is>
      </c>
      <c r="B948" s="38" t="inlineStr">
        <is>
          <t>未经许可进入封闭紧急区域罪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擅闯封锁区</t>
        </is>
      </c>
      <c r="B949" s="38" t="inlineStr">
        <is>
          <t>未经许可进入封闭紧急区域罪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越过警戒线</t>
        </is>
      </c>
      <c r="B950" s="38" t="inlineStr">
        <is>
          <t>未经许可进入封闭紧急区域罪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闯入事故现场</t>
        </is>
      </c>
      <c r="B951" s="38" t="inlineStr">
        <is>
          <t>未经许可进入封闭紧急区域罪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跨过警戒带</t>
        </is>
      </c>
      <c r="B952" s="38" t="inlineStr">
        <is>
          <t>未经许可进入封闭紧急区域罪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闯进封锁线</t>
        </is>
      </c>
      <c r="B953" s="38" t="inlineStr">
        <is>
          <t>未经许可进入封闭紧急区域罪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越过黄线</t>
        </is>
      </c>
      <c r="B954" s="38" t="inlineStr">
        <is>
          <t>未经许可进入封闭紧急区域罪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闯事故现场</t>
        </is>
      </c>
      <c r="B955" s="38" t="inlineStr">
        <is>
          <t>未经许可进入封闭紧急区域罪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跨过警戒</t>
        </is>
      </c>
      <c r="B956" s="38" t="inlineStr">
        <is>
          <t>未经许可进入封闭紧急区域罪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穿越封锁线</t>
        </is>
      </c>
      <c r="B957" s="38" t="inlineStr">
        <is>
          <t>未经许可进入封闭紧急区域罪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擅入封锁区</t>
        </is>
      </c>
      <c r="B958" s="38" t="inlineStr">
        <is>
          <t>未经许可进入封闭紧急区域罪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闯入封锁现场</t>
        </is>
      </c>
      <c r="B959" s="38" t="inlineStr">
        <is>
          <t>未经许可进入封闭紧急区域罪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越过警戒线进入</t>
        </is>
      </c>
      <c r="B960" s="38" t="inlineStr">
        <is>
          <t>未经许可进入封闭紧急区域罪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强行进入封锁区</t>
        </is>
      </c>
      <c r="B961" s="38" t="inlineStr">
        <is>
          <t>未经许可进入封闭紧急区域罪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袭警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袭击警察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打警察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攻击警察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伤害警察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攻击警车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攻击警犬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殴打警察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动手打警察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撞警车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枪击警察</t>
        </is>
      </c>
      <c r="B972" s="38" t="inlineStr">
        <is>
          <t>袭警罪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打了警察</t>
        </is>
      </c>
      <c r="B973" s="38" t="inlineStr">
        <is>
          <t>袭警罪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朝警察开枪</t>
        </is>
      </c>
      <c r="B974" s="38" t="inlineStr">
        <is>
          <t>袭警罪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朝警察射击</t>
        </is>
      </c>
      <c r="B975" s="38" t="inlineStr">
        <is>
          <t>袭警罪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向警察开枪</t>
        </is>
      </c>
      <c r="B976" s="38" t="inlineStr">
        <is>
          <t>袭警罪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向警察射击</t>
        </is>
      </c>
      <c r="B977" s="38" t="inlineStr">
        <is>
          <t>袭警罪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射击警察</t>
        </is>
      </c>
      <c r="B978" s="38" t="inlineStr">
        <is>
          <t>袭警罪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打伤警察</t>
        </is>
      </c>
      <c r="B979" s="38" t="inlineStr">
        <is>
          <t>袭警罪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击伤警察</t>
        </is>
      </c>
      <c r="B980" s="38" t="inlineStr">
        <is>
          <t>袭警罪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警察重伤</t>
        </is>
      </c>
      <c r="B981" s="38" t="inlineStr">
        <is>
          <t>袭警罪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警察受伤</t>
        </is>
      </c>
      <c r="B982" s="38" t="inlineStr">
        <is>
          <t>袭警罪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枪伤警察</t>
        </is>
      </c>
      <c r="B983" s="38" t="inlineStr">
        <is>
          <t>袭警罪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打警员</t>
        </is>
      </c>
      <c r="B984" s="38" t="inlineStr">
        <is>
          <t>袭警罪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殴打警员</t>
        </is>
      </c>
      <c r="B985" s="38" t="inlineStr">
        <is>
          <t>袭警罪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撞警察</t>
        </is>
      </c>
      <c r="B986" s="38" t="inlineStr">
        <is>
          <t>袭警罪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开车撞警</t>
        </is>
      </c>
      <c r="B987" s="38" t="inlineStr">
        <is>
          <t>袭警罪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枪打警察</t>
        </is>
      </c>
      <c r="B988" s="38" t="inlineStr">
        <is>
          <t>袭警罪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捅警察</t>
        </is>
      </c>
      <c r="B989" s="38" t="inlineStr">
        <is>
          <t>袭警罪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警员受伤</t>
        </is>
      </c>
      <c r="B990" s="38" t="inlineStr">
        <is>
          <t>袭警罪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警员重伤</t>
        </is>
      </c>
      <c r="B991" s="38" t="inlineStr">
        <is>
          <t>袭警罪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袭击警员</t>
        </is>
      </c>
      <c r="B992" s="38" t="inlineStr">
        <is>
          <t>袭警罪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打伤警员</t>
        </is>
      </c>
      <c r="B993" s="38" t="inlineStr">
        <is>
          <t>袭警罪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对警察动手</t>
        </is>
      </c>
      <c r="B994" s="38" t="inlineStr">
        <is>
          <t>袭警罪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袭击警务人员</t>
        </is>
      </c>
      <c r="B995" s="38" t="inlineStr">
        <is>
          <t>袭警罪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伤害警员</t>
        </is>
      </c>
      <c r="B996" s="38" t="inlineStr">
        <is>
          <t>袭警罪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暴力袭警</t>
        </is>
      </c>
      <c r="B997" s="38" t="inlineStr">
        <is>
          <t>袭警罪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攻击警务</t>
        </is>
      </c>
      <c r="B998" s="38" t="inlineStr">
        <is>
          <t>袭警罪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持械袭警</t>
        </is>
      </c>
      <c r="B999" s="38" t="inlineStr">
        <is>
          <t>袭警罪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开枪打警</t>
        </is>
      </c>
      <c r="B1000" s="38" t="inlineStr">
        <is>
          <t>袭警罪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撞向警察</t>
        </is>
      </c>
      <c r="B1001" s="38" t="inlineStr">
        <is>
          <t>袭警罪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打伤警察重伤</t>
        </is>
      </c>
      <c r="B1002" s="38" t="inlineStr">
        <is>
          <t>袭警罪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扰乱治安</t>
        </is>
      </c>
      <c r="B1003" s="38" t="inlineStr">
        <is>
          <t>扰乱治安罪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挑衅</t>
        </is>
      </c>
      <c r="B1004" s="38" t="inlineStr">
        <is>
          <t>扰乱治安罪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寻衅</t>
        </is>
      </c>
      <c r="B1005" s="38" t="inlineStr">
        <is>
          <t>扰乱治安罪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扰民</t>
        </is>
      </c>
      <c r="B1006" s="38" t="inlineStr">
        <is>
          <t>扰乱治安罪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冒犯性语言</t>
        </is>
      </c>
      <c r="B1007" s="38" t="inlineStr">
        <is>
          <t>扰乱治安罪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引起恐慌</t>
        </is>
      </c>
      <c r="B1008" s="38" t="inlineStr">
        <is>
          <t>扰乱治安罪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公共场所吵闹</t>
        </is>
      </c>
      <c r="B1009" s="38" t="inlineStr">
        <is>
          <t>扰乱治安罪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闹事</t>
        </is>
      </c>
      <c r="B1010" s="38" t="inlineStr">
        <is>
          <t>扰乱治安罪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大吵大闹</t>
        </is>
      </c>
      <c r="B1011" s="38" t="inlineStr">
        <is>
          <t>扰乱治安罪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挑事</t>
        </is>
      </c>
      <c r="B1012" s="38" t="inlineStr">
        <is>
          <t>扰乱治安罪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起哄</t>
        </is>
      </c>
      <c r="B1013" s="38" t="inlineStr">
        <is>
          <t>扰乱治安罪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撒泼</t>
        </is>
      </c>
      <c r="B1014" s="38" t="inlineStr">
        <is>
          <t>扰乱治安罪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公共场所撒野</t>
        </is>
      </c>
      <c r="B1015" s="38" t="inlineStr">
        <is>
          <t>扰乱治安罪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挑事打架</t>
        </is>
      </c>
      <c r="B1016" s="38" t="inlineStr">
        <is>
          <t>扰乱治安罪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起哄滋事</t>
        </is>
      </c>
      <c r="B1017" s="38" t="inlineStr">
        <is>
          <t>扰乱治安罪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街上闹</t>
        </is>
      </c>
      <c r="B1018" s="38" t="inlineStr">
        <is>
          <t>扰乱治安罪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寻衅滋事</t>
        </is>
      </c>
      <c r="B1019" s="38" t="inlineStr">
        <is>
          <t>扰乱治安罪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无理取闹</t>
        </is>
      </c>
      <c r="B1020" s="38" t="inlineStr">
        <is>
          <t>扰乱治安罪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扰乱公共秩序</t>
        </is>
      </c>
      <c r="B1021" s="38" t="inlineStr">
        <is>
          <t>扰乱治安罪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聚众滋事</t>
        </is>
      </c>
      <c r="B1022" s="38" t="inlineStr">
        <is>
          <t>扰乱治安罪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公共场所闹事</t>
        </is>
      </c>
      <c r="B1023" s="38" t="inlineStr">
        <is>
          <t>扰乱治安罪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扰乱秩序</t>
        </is>
      </c>
      <c r="B1024" s="38" t="inlineStr">
        <is>
          <t>扰乱治安罪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街头滋事</t>
        </is>
      </c>
      <c r="B1025" s="38" t="inlineStr">
        <is>
          <t>扰乱治安罪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滋事扰民</t>
        </is>
      </c>
      <c r="B1026" s="38" t="inlineStr">
        <is>
          <t>扰乱治安罪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非法集会</t>
        </is>
      </c>
      <c r="B1027" s="38" t="inlineStr">
        <is>
          <t>非法集会罪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聚众</t>
        </is>
      </c>
      <c r="B1028" s="38" t="inlineStr">
        <is>
          <t>非法集会罪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聚集骚乱</t>
        </is>
      </c>
      <c r="B1029" s="38" t="inlineStr">
        <is>
          <t>非法集会罪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非法聚集</t>
        </is>
      </c>
      <c r="B1030" s="38" t="inlineStr">
        <is>
          <t>非法集会罪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聚众闹事</t>
        </is>
      </c>
      <c r="B1031" s="38" t="inlineStr">
        <is>
          <t>非法集会罪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聚集斗殴</t>
        </is>
      </c>
      <c r="B1032" s="38" t="inlineStr">
        <is>
          <t>非法集会罪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聚众斗殴</t>
        </is>
      </c>
      <c r="B1033" s="38" t="inlineStr">
        <is>
          <t>非法集会罪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纠集多人</t>
        </is>
      </c>
      <c r="B1034" s="38" t="inlineStr">
        <is>
          <t>非法集会罪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拉帮聚众</t>
        </is>
      </c>
      <c r="B1035" s="38" t="inlineStr">
        <is>
          <t>非法集会罪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聚集滋事</t>
        </is>
      </c>
      <c r="B1036" s="38" t="inlineStr">
        <is>
          <t>非法集会罪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成群闹事</t>
        </is>
      </c>
      <c r="B1037" s="38" t="inlineStr">
        <is>
          <t>非法集会罪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聚众扰乱</t>
        </is>
      </c>
      <c r="B1038" s="38" t="inlineStr">
        <is>
          <t>非法集会罪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组织非法集会</t>
        </is>
      </c>
      <c r="B1039" s="38" t="inlineStr">
        <is>
          <t>非法集会罪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聚众围堵</t>
        </is>
      </c>
      <c r="B1040" s="38" t="inlineStr">
        <is>
          <t>非法集会罪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非法集结</t>
        </is>
      </c>
      <c r="B1041" s="38" t="inlineStr">
        <is>
          <t>非法集会罪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煽动暴乱</t>
        </is>
      </c>
      <c r="B1042" s="38" t="inlineStr">
        <is>
          <t>煽动暴乱罪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煽动暴力</t>
        </is>
      </c>
      <c r="B1043" s="38" t="inlineStr">
        <is>
          <t>煽动暴乱罪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鼓动暴乱</t>
        </is>
      </c>
      <c r="B1044" s="38" t="inlineStr">
        <is>
          <t>煽动暴乱罪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鼓动暴力</t>
        </is>
      </c>
      <c r="B1045" s="38" t="inlineStr">
        <is>
          <t>煽动暴乱罪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带头闹事</t>
        </is>
      </c>
      <c r="B1046" s="38" t="inlineStr">
        <is>
          <t>煽动暴乱罪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煽动</t>
        </is>
      </c>
      <c r="B1047" s="38" t="inlineStr">
        <is>
          <t>煽动暴乱罪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带头煽动</t>
        </is>
      </c>
      <c r="B1048" s="38" t="inlineStr">
        <is>
          <t>煽动暴乱罪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鼓动闹事</t>
        </is>
      </c>
      <c r="B1049" s="38" t="inlineStr">
        <is>
          <t>煽动暴乱罪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煽风点火</t>
        </is>
      </c>
      <c r="B1050" s="38" t="inlineStr">
        <is>
          <t>煽动暴乱罪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挑动暴乱</t>
        </is>
      </c>
      <c r="B1051" s="38" t="inlineStr">
        <is>
          <t>煽动暴乱罪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怂恿暴力</t>
        </is>
      </c>
      <c r="B1052" s="38" t="inlineStr">
        <is>
          <t>煽动暴乱罪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煽动骚乱</t>
        </is>
      </c>
      <c r="B1053" s="38" t="inlineStr">
        <is>
          <t>煽动暴乱罪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鼓动暴动</t>
        </is>
      </c>
      <c r="B1054" s="38" t="inlineStr">
        <is>
          <t>煽动暴乱罪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教唆暴力</t>
        </is>
      </c>
      <c r="B1055" s="38" t="inlineStr">
        <is>
          <t>煽动暴乱罪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组织暴乱</t>
        </is>
      </c>
      <c r="B1056" s="38" t="inlineStr">
        <is>
          <t>煽动暴乱罪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煽动闹事</t>
        </is>
      </c>
      <c r="B1057" s="38" t="inlineStr">
        <is>
          <t>煽动暴乱罪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遮挡面部</t>
        </is>
      </c>
      <c r="B1058" s="38" t="inlineStr">
        <is>
          <t>遮挡面部罪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蒙面</t>
        </is>
      </c>
      <c r="B1059" s="38" t="inlineStr">
        <is>
          <t>遮挡面部罪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戴面具</t>
        </is>
      </c>
      <c r="B1060" s="38" t="inlineStr">
        <is>
          <t>遮挡面部罪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兜帽遮脸</t>
        </is>
      </c>
      <c r="B1061" s="38" t="inlineStr">
        <is>
          <t>遮挡面部罪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拒绝揭开面罩</t>
        </is>
      </c>
      <c r="B1062" s="38" t="inlineStr">
        <is>
          <t>遮挡面部罪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蒙着脸</t>
        </is>
      </c>
      <c r="B1063" s="38" t="inlineStr">
        <is>
          <t>遮挡面部罪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戴头套</t>
        </is>
      </c>
      <c r="B1064" s="38" t="inlineStr">
        <is>
          <t>遮挡面部罪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蒙脸</t>
        </is>
      </c>
      <c r="B1065" s="38" t="inlineStr">
        <is>
          <t>遮挡面部罪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戴口罩作案</t>
        </is>
      </c>
      <c r="B1066" s="38" t="inlineStr">
        <is>
          <t>遮挡面部罪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戴头套抢</t>
        </is>
      </c>
      <c r="B1067" s="38" t="inlineStr">
        <is>
          <t>遮挡面部罪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捂脸</t>
        </is>
      </c>
      <c r="B1068" s="38" t="inlineStr">
        <is>
          <t>遮挡面部罪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遮脸作案</t>
        </is>
      </c>
      <c r="B1069" s="38" t="inlineStr">
        <is>
          <t>遮挡面部罪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蒙面作案</t>
        </is>
      </c>
      <c r="B1070" s="38" t="inlineStr">
        <is>
          <t>遮挡面部罪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蒙面遮挡</t>
        </is>
      </c>
      <c r="B1071" s="38" t="inlineStr">
        <is>
          <t>遮挡面部罪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戴面罩</t>
        </is>
      </c>
      <c r="B1072" s="38" t="inlineStr">
        <is>
          <t>遮挡面部罪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头套遮面</t>
        </is>
      </c>
      <c r="B1073" s="38" t="inlineStr">
        <is>
          <t>遮挡面部罪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口罩遮脸作案</t>
        </is>
      </c>
      <c r="B1074" s="38" t="inlineStr">
        <is>
          <t>遮挡面部罪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蒙头作案</t>
        </is>
      </c>
      <c r="B1075" s="38" t="inlineStr">
        <is>
          <t>遮挡面部罪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遮挡面容</t>
        </is>
      </c>
      <c r="B1076" s="38" t="inlineStr">
        <is>
          <t>遮挡面部罪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非法持有热武器</t>
        </is>
      </c>
      <c r="B1077" s="38" t="inlineStr">
        <is>
          <t>非法持有热武器罪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无证持枪</t>
        </is>
      </c>
      <c r="B1078" s="38" t="inlineStr">
        <is>
          <t>非法持有热武器罪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非法持枪</t>
        </is>
      </c>
      <c r="B1079" s="38" t="inlineStr">
        <is>
          <t>非法持有热武器罪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持有非法武器</t>
        </is>
      </c>
      <c r="B1080" s="38" t="inlineStr">
        <is>
          <t>非法持有热武器罪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无序列号枪支</t>
        </is>
      </c>
      <c r="B1081" s="38" t="inlineStr">
        <is>
          <t>非法持有热武器罪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全自动枪支</t>
        </is>
      </c>
      <c r="B1082" s="38" t="inlineStr">
        <is>
          <t>非法持有热武器罪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私藏枪支</t>
        </is>
      </c>
      <c r="B1083" s="38" t="inlineStr">
        <is>
          <t>非法持有热武器罪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持有爆炸物</t>
        </is>
      </c>
      <c r="B1084" s="38" t="inlineStr">
        <is>
          <t>非法持有热武器罪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身上有枪</t>
        </is>
      </c>
      <c r="B1085" s="38" t="inlineStr">
        <is>
          <t>非法持有热武器罪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携带枪支</t>
        </is>
      </c>
      <c r="B1086" s="38" t="inlineStr">
        <is>
          <t>非法持有热武器罪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藏枪</t>
        </is>
      </c>
      <c r="B1087" s="38" t="inlineStr">
        <is>
          <t>非法持有热武器罪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身上带枪</t>
        </is>
      </c>
      <c r="B1088" s="38" t="inlineStr">
        <is>
          <t>非法持有热武器罪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私藏枪</t>
        </is>
      </c>
      <c r="B1089" s="38" t="inlineStr">
        <is>
          <t>非法持有热武器罪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无证带枪</t>
        </is>
      </c>
      <c r="B1090" s="38" t="inlineStr">
        <is>
          <t>非法持有热武器罪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揣着枪</t>
        </is>
      </c>
      <c r="B1091" s="38" t="inlineStr">
        <is>
          <t>非法持有热武器罪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黑枪</t>
        </is>
      </c>
      <c r="B1092" s="38" t="inlineStr">
        <is>
          <t>非法持有热武器罪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持有黑枪</t>
        </is>
      </c>
      <c r="B1093" s="38" t="inlineStr">
        <is>
          <t>非法持有热武器罪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藏着枪</t>
        </is>
      </c>
      <c r="B1094" s="38" t="inlineStr">
        <is>
          <t>非法持有热武器罪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非法藏枪</t>
        </is>
      </c>
      <c r="B1095" s="38" t="inlineStr">
        <is>
          <t>非法持有热武器罪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私自持枪</t>
        </is>
      </c>
      <c r="B1096" s="38" t="inlineStr">
        <is>
          <t>非法持有热武器罪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无证持有枪支</t>
        </is>
      </c>
      <c r="B1097" s="38" t="inlineStr">
        <is>
          <t>非法持有热武器罪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藏匿枪支</t>
        </is>
      </c>
      <c r="B1098" s="38" t="inlineStr">
        <is>
          <t>非法持有热武器罪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持有非法枪支</t>
        </is>
      </c>
      <c r="B1099" s="38" t="inlineStr">
        <is>
          <t>非法持有热武器罪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身藏枪械</t>
        </is>
      </c>
      <c r="B1100" s="38" t="inlineStr">
        <is>
          <t>非法持有热武器罪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非法持有枪支</t>
        </is>
      </c>
      <c r="B1101" s="38" t="inlineStr">
        <is>
          <t>非法持有热武器罪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非法展示热武器</t>
        </is>
      </c>
      <c r="B1102" s="38" t="inlineStr">
        <is>
          <t>非法展示热武器罪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公开持枪</t>
        </is>
      </c>
      <c r="B1103" s="38" t="inlineStr">
        <is>
          <t>非法展示热武器罪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挥舞武器</t>
        </is>
      </c>
      <c r="B1104" s="38" t="inlineStr">
        <is>
          <t>非法展示热武器罪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亮枪</t>
        </is>
      </c>
      <c r="B1105" s="38" t="inlineStr">
        <is>
          <t>非法展示热武器罪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展示武器</t>
        </is>
      </c>
      <c r="B1106" s="38" t="inlineStr">
        <is>
          <t>非法展示热武器罪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公开携带枪支</t>
        </is>
      </c>
      <c r="B1107" s="38" t="inlineStr">
        <is>
          <t>非法展示热武器罪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掏枪威胁</t>
        </is>
      </c>
      <c r="B1108" s="38" t="inlineStr">
        <is>
          <t>非法展示热武器罪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拔枪</t>
        </is>
      </c>
      <c r="B1109" s="38" t="inlineStr">
        <is>
          <t>非法展示热武器罪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亮出枪</t>
        </is>
      </c>
      <c r="B1110" s="38" t="inlineStr">
        <is>
          <t>非法展示热武器罪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举枪</t>
        </is>
      </c>
      <c r="B1111" s="38" t="inlineStr">
        <is>
          <t>非法展示热武器罪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当街亮枪</t>
        </is>
      </c>
      <c r="B1112" s="38" t="inlineStr">
        <is>
          <t>非法展示热武器罪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掏枪</t>
        </is>
      </c>
      <c r="B1113" s="38" t="inlineStr">
        <is>
          <t>非法展示热武器罪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举枪示威</t>
        </is>
      </c>
      <c r="B1114" s="38" t="inlineStr">
        <is>
          <t>非法展示热武器罪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拿枪比划</t>
        </is>
      </c>
      <c r="B1115" s="38" t="inlineStr">
        <is>
          <t>非法展示热武器罪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秀枪</t>
        </is>
      </c>
      <c r="B1116" s="38" t="inlineStr">
        <is>
          <t>非法展示热武器罪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公然亮枪</t>
        </is>
      </c>
      <c r="B1117" s="38" t="inlineStr">
        <is>
          <t>非法展示热武器罪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公开亮枪</t>
        </is>
      </c>
      <c r="B1118" s="38" t="inlineStr">
        <is>
          <t>非法展示热武器罪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持枪威吓</t>
        </is>
      </c>
      <c r="B1119" s="38" t="inlineStr">
        <is>
          <t>非法展示热武器罪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挥舞枪支</t>
        </is>
      </c>
      <c r="B1120" s="38" t="inlineStr">
        <is>
          <t>非法展示热武器罪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亮出武器</t>
        </is>
      </c>
      <c r="B1121" s="38" t="inlineStr">
        <is>
          <t>非法展示热武器罪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公然持枪</t>
        </is>
      </c>
      <c r="B1122" s="38" t="inlineStr">
        <is>
          <t>非法展示热武器罪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持枪示威</t>
        </is>
      </c>
      <c r="B1123" s="38" t="inlineStr">
        <is>
          <t>非法展示热武器罪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非法使用热武器</t>
        </is>
      </c>
      <c r="B1124" s="38" t="inlineStr">
        <is>
          <t>非法使用热武器罪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鲁莽开枪</t>
        </is>
      </c>
      <c r="B1125" s="38" t="inlineStr">
        <is>
          <t>非法使用热武器罪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乱开枪</t>
        </is>
      </c>
      <c r="B1126" s="38" t="inlineStr">
        <is>
          <t>非法使用热武器罪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违规射击</t>
        </is>
      </c>
      <c r="B1127" s="38" t="inlineStr">
        <is>
          <t>非法使用热武器罪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开枪</t>
        </is>
      </c>
      <c r="B1128" s="38" t="inlineStr">
        <is>
          <t>非法使用热武器罪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朝天开枪</t>
        </is>
      </c>
      <c r="B1129" s="38" t="inlineStr">
        <is>
          <t>非法使用热武器罪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随意射击</t>
        </is>
      </c>
      <c r="B1130" s="38" t="inlineStr">
        <is>
          <t>非法使用热武器罪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开了一枪</t>
        </is>
      </c>
      <c r="B1131" s="38" t="inlineStr">
        <is>
          <t>非法使用热武器罪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射击</t>
        </is>
      </c>
      <c r="B1132" s="38" t="inlineStr">
        <is>
          <t>非法使用热武器罪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扫射</t>
        </is>
      </c>
      <c r="B1133" s="38" t="inlineStr">
        <is>
          <t>非法使用热武器罪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鸣枪</t>
        </is>
      </c>
      <c r="B1134" s="38" t="inlineStr">
        <is>
          <t>非法使用热武器罪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对空鸣枪</t>
        </is>
      </c>
      <c r="B1135" s="38" t="inlineStr">
        <is>
          <t>非法使用热武器罪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开了枪</t>
        </is>
      </c>
      <c r="B1136" s="38" t="inlineStr">
        <is>
          <t>非法使用热武器罪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放枪</t>
        </is>
      </c>
      <c r="B1137" s="38" t="inlineStr">
        <is>
          <t>非法使用热武器罪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乱放枪</t>
        </is>
      </c>
      <c r="B1138" s="38" t="inlineStr">
        <is>
          <t>非法使用热武器罪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街头开枪</t>
        </is>
      </c>
      <c r="B1139" s="38" t="inlineStr">
        <is>
          <t>非法使用热武器罪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对天开枪</t>
        </is>
      </c>
      <c r="B1140" s="38" t="inlineStr">
        <is>
          <t>非法使用热武器罪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扣扳机</t>
        </is>
      </c>
      <c r="B1141" s="38" t="inlineStr">
        <is>
          <t>非法使用热武器罪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突突</t>
        </is>
      </c>
      <c r="B1142" s="38" t="inlineStr">
        <is>
          <t>非法使用热武器罪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胡乱开枪</t>
        </is>
      </c>
      <c r="B1143" s="38" t="inlineStr">
        <is>
          <t>非法使用热武器罪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鸣枪示威</t>
        </is>
      </c>
      <c r="B1144" s="38" t="inlineStr">
        <is>
          <t>非法使用热武器罪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持枪射击</t>
        </is>
      </c>
      <c r="B1145" s="38" t="inlineStr">
        <is>
          <t>非法使用热武器罪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开枪射击</t>
        </is>
      </c>
      <c r="B1146" s="38" t="inlineStr">
        <is>
          <t>非法使用热武器罪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非法开枪</t>
        </is>
      </c>
      <c r="B1147" s="38" t="inlineStr">
        <is>
          <t>非法使用热武器罪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违法开枪</t>
        </is>
      </c>
      <c r="B1148" s="38" t="inlineStr">
        <is>
          <t>非法使用热武器罪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公共场所开枪</t>
        </is>
      </c>
      <c r="B1149" s="38" t="inlineStr">
        <is>
          <t>非法使用热武器罪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鲁莽射击</t>
        </is>
      </c>
      <c r="B1150" s="38" t="inlineStr">
        <is>
          <t>非法使用热武器罪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持枪乱射</t>
        </is>
      </c>
      <c r="B1151" s="38" t="inlineStr">
        <is>
          <t>非法使用热武器罪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非法贩卖武器</t>
        </is>
      </c>
      <c r="B1152" s="38" t="inlineStr">
        <is>
          <t>非法贩卖武器罪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卖枪</t>
        </is>
      </c>
      <c r="B1153" s="38" t="inlineStr">
        <is>
          <t>非法贩卖武器罪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贩卖武器</t>
        </is>
      </c>
      <c r="B1154" s="38" t="inlineStr">
        <is>
          <t>非法贩卖武器罪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出售武器</t>
        </is>
      </c>
      <c r="B1155" s="38" t="inlineStr">
        <is>
          <t>非法贩卖武器罪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转让武器</t>
        </is>
      </c>
      <c r="B1156" s="38" t="inlineStr">
        <is>
          <t>非法贩卖武器罪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倒卖枪支</t>
        </is>
      </c>
      <c r="B1157" s="38" t="inlineStr">
        <is>
          <t>非法贩卖武器罪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军火买卖</t>
        </is>
      </c>
      <c r="B1158" s="38" t="inlineStr">
        <is>
          <t>非法贩卖武器罪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倒卖军火</t>
        </is>
      </c>
      <c r="B1159" s="38" t="inlineStr">
        <is>
          <t>非法贩卖武器罪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军火生意</t>
        </is>
      </c>
      <c r="B1160" s="38" t="inlineStr">
        <is>
          <t>非法贩卖武器罪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贩枪</t>
        </is>
      </c>
      <c r="B1161" s="38" t="inlineStr">
        <is>
          <t>非法贩卖武器罪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卖军火</t>
        </is>
      </c>
      <c r="B1162" s="38" t="inlineStr">
        <is>
          <t>非法贩卖武器罪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倒卖枪</t>
        </is>
      </c>
      <c r="B1163" s="38" t="inlineStr">
        <is>
          <t>非法贩卖武器罪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贩卖枪支</t>
        </is>
      </c>
      <c r="B1164" s="38" t="inlineStr">
        <is>
          <t>非法贩卖武器罪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出售枪械</t>
        </is>
      </c>
      <c r="B1165" s="38" t="inlineStr">
        <is>
          <t>非法贩卖武器罪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非法卖枪</t>
        </is>
      </c>
      <c r="B1166" s="38" t="inlineStr">
        <is>
          <t>非法贩卖武器罪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黑市卖枪</t>
        </is>
      </c>
      <c r="B1167" s="38" t="inlineStr">
        <is>
          <t>非法贩卖武器罪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倒卖枪械</t>
        </is>
      </c>
      <c r="B1168" s="38" t="inlineStr">
        <is>
          <t>非法贩卖武器罪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走私</t>
        </is>
      </c>
      <c r="B1169" s="38" t="inlineStr">
        <is>
          <t>走私罪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军火走私</t>
        </is>
      </c>
      <c r="B1170" s="38" t="inlineStr">
        <is>
          <t>走私罪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走私武器</t>
        </is>
      </c>
      <c r="B1171" s="38" t="inlineStr">
        <is>
          <t>走私罪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走私爆炸物</t>
        </is>
      </c>
      <c r="B1172" s="38" t="inlineStr">
        <is>
          <t>走私罪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走私军火</t>
        </is>
      </c>
      <c r="B1173" s="38" t="inlineStr">
        <is>
          <t>走私罪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偷运军火</t>
        </is>
      </c>
      <c r="B1174" s="38" t="inlineStr">
        <is>
          <t>走私罪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偷运武器</t>
        </is>
      </c>
      <c r="B1175" s="38" t="inlineStr">
        <is>
          <t>走私罪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夹带军火</t>
        </is>
      </c>
      <c r="B1176" s="38" t="inlineStr">
        <is>
          <t>走私罪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黑市运枪</t>
        </is>
      </c>
      <c r="B1177" s="38" t="inlineStr">
        <is>
          <t>走私罪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走私货</t>
        </is>
      </c>
      <c r="B1178" s="38" t="inlineStr">
        <is>
          <t>走私罪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走私枪械</t>
        </is>
      </c>
      <c r="B1179" s="38" t="inlineStr">
        <is>
          <t>走私罪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偷运枪支</t>
        </is>
      </c>
      <c r="B1180" s="38" t="inlineStr">
        <is>
          <t>走私罪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走私违禁</t>
        </is>
      </c>
      <c r="B1181" s="38" t="inlineStr">
        <is>
          <t>走私罪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军火偷运</t>
        </is>
      </c>
      <c r="B1182" s="38" t="inlineStr">
        <is>
          <t>走私罪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走私军械</t>
        </is>
      </c>
      <c r="B1183" s="38" t="inlineStr">
        <is>
          <t>走私罪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非法持有管制物品</t>
        </is>
      </c>
      <c r="B1184" s="38" t="inlineStr">
        <is>
          <t>非法持有管制物品罪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持有毒品</t>
        </is>
      </c>
      <c r="B1185" s="38" t="inlineStr">
        <is>
          <t>非法持有管制物品罪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持有大麻</t>
        </is>
      </c>
      <c r="B1186" s="38" t="inlineStr">
        <is>
          <t>非法持有管制物品罪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持有可卡因</t>
        </is>
      </c>
      <c r="B1187" s="38" t="inlineStr">
        <is>
          <t>非法持有管制物品罪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持有海洛因</t>
        </is>
      </c>
      <c r="B1188" s="38" t="inlineStr">
        <is>
          <t>非法持有管制物品罪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持有冰毒</t>
        </is>
      </c>
      <c r="B1189" s="38" t="inlineStr">
        <is>
          <t>非法持有管制物品罪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持有管制刀具</t>
        </is>
      </c>
      <c r="B1190" s="38" t="inlineStr">
        <is>
          <t>非法持有管制物品罪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管制器具</t>
        </is>
      </c>
      <c r="B1191" s="38" t="inlineStr">
        <is>
          <t>非法持有管制物品罪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指虎</t>
        </is>
      </c>
      <c r="B1192" s="38" t="inlineStr">
        <is>
          <t>非法持有管制物品罪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弹簧刀</t>
        </is>
      </c>
      <c r="B1193" s="38" t="inlineStr">
        <is>
          <t>非法持有管制物品罪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开锁器</t>
        </is>
      </c>
      <c r="B1194" s="38" t="inlineStr">
        <is>
          <t>非法持有管制物品罪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黑客电脑</t>
        </is>
      </c>
      <c r="B1195" s="38" t="inlineStr">
        <is>
          <t>非法持有管制物品罪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身上有毒品</t>
        </is>
      </c>
      <c r="B1196" s="38" t="inlineStr">
        <is>
          <t>非法持有管制物品罪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带着毒品</t>
        </is>
      </c>
      <c r="B1197" s="38" t="inlineStr">
        <is>
          <t>非法持有管制物品罪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藏毒</t>
        </is>
      </c>
      <c r="B1198" s="38" t="inlineStr">
        <is>
          <t>非法持有管制物品罪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身上有货</t>
        </is>
      </c>
      <c r="B1199" s="38" t="inlineStr">
        <is>
          <t>非法持有管制物品罪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带着毒</t>
        </is>
      </c>
      <c r="B1200" s="38" t="inlineStr">
        <is>
          <t>非法持有管制物品罪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揣着大麻</t>
        </is>
      </c>
      <c r="B1201" s="38" t="inlineStr">
        <is>
          <t>非法持有管制物品罪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藏着货</t>
        </is>
      </c>
      <c r="B1202" s="38" t="inlineStr">
        <is>
          <t>非法持有管制物品罪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持有违禁品</t>
        </is>
      </c>
      <c r="B1203" s="38" t="inlineStr">
        <is>
          <t>非法持有管制物品罪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带管制刀</t>
        </is>
      </c>
      <c r="B1204" s="38" t="inlineStr">
        <is>
          <t>非法持有管制物品罪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搜出毒品</t>
        </is>
      </c>
      <c r="B1205" s="38" t="inlineStr">
        <is>
          <t>非法持有管制物品罪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带着白粉</t>
        </is>
      </c>
      <c r="B1206" s="38" t="inlineStr">
        <is>
          <t>非法持有管制物品罪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身上搜出毒</t>
        </is>
      </c>
      <c r="B1207" s="38" t="inlineStr">
        <is>
          <t>非法持有管制物品罪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携带毒品</t>
        </is>
      </c>
      <c r="B1208" s="38" t="inlineStr">
        <is>
          <t>非法持有管制物品罪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身藏毒品</t>
        </is>
      </c>
      <c r="B1209" s="38" t="inlineStr">
        <is>
          <t>非法持有管制物品罪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持有违禁</t>
        </is>
      </c>
      <c r="B1210" s="38" t="inlineStr">
        <is>
          <t>非法持有管制物品罪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藏匿毒品</t>
        </is>
      </c>
      <c r="B1211" s="38" t="inlineStr">
        <is>
          <t>非法持有管制物品罪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带管制器具</t>
        </is>
      </c>
      <c r="B1212" s="38" t="inlineStr">
        <is>
          <t>非法持有管制物品罪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持有大麻花蕾</t>
        </is>
      </c>
      <c r="B1213" s="38" t="inlineStr">
        <is>
          <t>非法持有管制物品罪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大量管制物品</t>
        </is>
      </c>
      <c r="B1214" s="38" t="inlineStr">
        <is>
          <t>非法持有大量管制物品罪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大量毒品</t>
        </is>
      </c>
      <c r="B1215" s="38" t="inlineStr">
        <is>
          <t>非法持有大量管制物品罪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分装毒品</t>
        </is>
      </c>
      <c r="B1216" s="38" t="inlineStr">
        <is>
          <t>非法持有大量管制物品罪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成批毒品</t>
        </is>
      </c>
      <c r="B1217" s="38" t="inlineStr">
        <is>
          <t>非法持有大量管制物品罪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整箱毒品</t>
        </is>
      </c>
      <c r="B1218" s="38" t="inlineStr">
        <is>
          <t>非法持有大量管制物品罪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一堆毒品</t>
        </is>
      </c>
      <c r="B1219" s="38" t="inlineStr">
        <is>
          <t>非法持有大量管制物品罪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大批毒品</t>
        </is>
      </c>
      <c r="B1220" s="38" t="inlineStr">
        <is>
          <t>非法持有大量管制物品罪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一大批货</t>
        </is>
      </c>
      <c r="B1221" s="38" t="inlineStr">
        <is>
          <t>非法持有大量管制物品罪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大量囤货</t>
        </is>
      </c>
      <c r="B1222" s="38" t="inlineStr">
        <is>
          <t>非法持有大量管制物品罪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囤毒</t>
        </is>
      </c>
      <c r="B1223" s="38" t="inlineStr">
        <is>
          <t>非法持有大量管制物品罪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囤大麻</t>
        </is>
      </c>
      <c r="B1224" s="38" t="inlineStr">
        <is>
          <t>非法持有大量管制物品罪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大批货</t>
        </is>
      </c>
      <c r="B1225" s="38" t="inlineStr">
        <is>
          <t>非法持有大量管制物品罪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整包毒品</t>
        </is>
      </c>
      <c r="B1226" s="38" t="inlineStr">
        <is>
          <t>非法持有大量管制物品罪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成批囤毒</t>
        </is>
      </c>
      <c r="B1227" s="38" t="inlineStr">
        <is>
          <t>非法持有大量管制物品罪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大量持毒</t>
        </is>
      </c>
      <c r="B1228" s="38" t="inlineStr">
        <is>
          <t>非法持有大量管制物品罪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持有大批毒品</t>
        </is>
      </c>
      <c r="B1229" s="38" t="inlineStr">
        <is>
          <t>非法持有大量管制物品罪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囤积毒品</t>
        </is>
      </c>
      <c r="B1230" s="38" t="inlineStr">
        <is>
          <t>非法持有大量管制物品罪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大批管制物品</t>
        </is>
      </c>
      <c r="B1231" s="38" t="inlineStr">
        <is>
          <t>非法持有大量管制物品罪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经营管制物品</t>
        </is>
      </c>
      <c r="B1232" s="38" t="inlineStr">
        <is>
          <t>非法经营和分发管制物品罪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分发毒品</t>
        </is>
      </c>
      <c r="B1233" s="38" t="inlineStr">
        <is>
          <t>非法经营和分发管制物品罪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贩毒据点</t>
        </is>
      </c>
      <c r="B1234" s="38" t="inlineStr">
        <is>
          <t>非法经营和分发管制物品罪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毒品窝点</t>
        </is>
      </c>
      <c r="B1235" s="38" t="inlineStr">
        <is>
          <t>非法经营和分发管制物品罪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开设毒品区域</t>
        </is>
      </c>
      <c r="B1236" s="38" t="inlineStr">
        <is>
          <t>非法经营和分发管制物品罪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卖毒品的店</t>
        </is>
      </c>
      <c r="B1237" s="38" t="inlineStr">
        <is>
          <t>非法经营和分发管制物品罪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开毒窝</t>
        </is>
      </c>
      <c r="B1238" s="38" t="inlineStr">
        <is>
          <t>非法经营和分发管制物品罪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搞分销</t>
        </is>
      </c>
      <c r="B1239" s="38" t="inlineStr">
        <is>
          <t>非法经营和分发管制物品罪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毒品分销</t>
        </is>
      </c>
      <c r="B1240" s="38" t="inlineStr">
        <is>
          <t>非法经营和分发管制物品罪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经营毒品</t>
        </is>
      </c>
      <c r="B1241" s="38" t="inlineStr">
        <is>
          <t>非法经营和分发管制物品罪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开毒品店</t>
        </is>
      </c>
      <c r="B1242" s="38" t="inlineStr">
        <is>
          <t>非法经营和分发管制物品罪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经营毒品生意</t>
        </is>
      </c>
      <c r="B1243" s="38" t="inlineStr">
        <is>
          <t>非法经营和分发管制物品罪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分销毒品</t>
        </is>
      </c>
      <c r="B1244" s="38" t="inlineStr">
        <is>
          <t>非法经营和分发管制物品罪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开设毒品交易</t>
        </is>
      </c>
      <c r="B1245" s="38" t="inlineStr">
        <is>
          <t>非法经营和分发管制物品罪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储存毒品贩卖</t>
        </is>
      </c>
      <c r="B1246" s="38" t="inlineStr">
        <is>
          <t>非法经营和分发管制物品罪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制造管制物品</t>
        </is>
      </c>
      <c r="B1247" s="38" t="inlineStr">
        <is>
          <t>非法制造管制物品罪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制毒</t>
        </is>
      </c>
      <c r="B1248" s="38" t="inlineStr">
        <is>
          <t>非法制造管制物品罪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生产毒品</t>
        </is>
      </c>
      <c r="B1249" s="38" t="inlineStr">
        <is>
          <t>非法制造管制物品罪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种植大麻</t>
        </is>
      </c>
      <c r="B1250" s="38" t="inlineStr">
        <is>
          <t>非法制造管制物品罪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制造毒品</t>
        </is>
      </c>
      <c r="B1251" s="38" t="inlineStr">
        <is>
          <t>非法制造管制物品罪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种大麻</t>
        </is>
      </c>
      <c r="B1252" s="38" t="inlineStr">
        <is>
          <t>非法制造管制物品罪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煮毒</t>
        </is>
      </c>
      <c r="B1253" s="38" t="inlineStr">
        <is>
          <t>非法制造管制物品罪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炼毒</t>
        </is>
      </c>
      <c r="B1254" s="38" t="inlineStr">
        <is>
          <t>非法制造管制物品罪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熬制毒品</t>
        </is>
      </c>
      <c r="B1255" s="38" t="inlineStr">
        <is>
          <t>非法制造管制物品罪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自制毒品</t>
        </is>
      </c>
      <c r="B1256" s="38" t="inlineStr">
        <is>
          <t>非法制造管制物品罪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加工毒品</t>
        </is>
      </c>
      <c r="B1257" s="38" t="inlineStr">
        <is>
          <t>非法制造管制物品罪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种植毒品</t>
        </is>
      </c>
      <c r="B1258" s="38" t="inlineStr">
        <is>
          <t>非法制造管制物品罪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提炼毒品</t>
        </is>
      </c>
      <c r="B1259" s="38" t="inlineStr">
        <is>
          <t>非法制造管制物品罪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采集毒品</t>
        </is>
      </c>
      <c r="B1260" s="38" t="inlineStr">
        <is>
          <t>非法制造管制物品罪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采毒</t>
        </is>
      </c>
      <c r="B1261" s="38" t="inlineStr">
        <is>
          <t>非法制造管制物品罪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采集大麻</t>
        </is>
      </c>
      <c r="B1262" s="38" t="inlineStr">
        <is>
          <t>非法制造管制物品罪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采摘大麻</t>
        </is>
      </c>
      <c r="B1263" s="38" t="inlineStr">
        <is>
          <t>非法制造管制物品罪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收割大麻</t>
        </is>
      </c>
      <c r="B1264" s="38" t="inlineStr">
        <is>
          <t>非法制造管制物品罪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贩卖管制物品</t>
        </is>
      </c>
      <c r="B1265" s="38" t="inlineStr">
        <is>
          <t>非法贩卖管制物品罪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贩毒</t>
        </is>
      </c>
      <c r="B1266" s="38" t="inlineStr">
        <is>
          <t>非法贩卖管制物品罪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卖毒品</t>
        </is>
      </c>
      <c r="B1267" s="38" t="inlineStr">
        <is>
          <t>非法贩卖管制物品罪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运输毒品</t>
        </is>
      </c>
      <c r="B1268" s="38" t="inlineStr">
        <is>
          <t>非法贩卖管制物品罪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贩卖毒品</t>
        </is>
      </c>
      <c r="B1269" s="38" t="inlineStr">
        <is>
          <t>非法贩卖管制物品罪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运毒</t>
        </is>
      </c>
      <c r="B1270" s="38" t="inlineStr">
        <is>
          <t>非法贩卖管制物品罪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送毒品</t>
        </is>
      </c>
      <c r="B1271" s="38" t="inlineStr">
        <is>
          <t>非法贩卖管制物品罪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倒卖毒品</t>
        </is>
      </c>
      <c r="B1272" s="38" t="inlineStr">
        <is>
          <t>非法贩卖管制物品罪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卖白粉</t>
        </is>
      </c>
      <c r="B1273" s="38" t="inlineStr">
        <is>
          <t>非法贩卖管制物品罪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卖大麻</t>
        </is>
      </c>
      <c r="B1274" s="38" t="inlineStr">
        <is>
          <t>非法贩卖管制物品罪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倒卖毒</t>
        </is>
      </c>
      <c r="B1275" s="38" t="inlineStr">
        <is>
          <t>非法贩卖管制物品罪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卖毒</t>
        </is>
      </c>
      <c r="B1276" s="38" t="inlineStr">
        <is>
          <t>非法贩卖管制物品罪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贩货卖毒</t>
        </is>
      </c>
      <c r="B1277" s="38" t="inlineStr">
        <is>
          <t>非法贩卖管制物品罪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贩卖白粉</t>
        </is>
      </c>
      <c r="B1278" s="38" t="inlineStr">
        <is>
          <t>非法贩卖管制物品罪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出售毒品</t>
        </is>
      </c>
      <c r="B1279" s="38" t="inlineStr">
        <is>
          <t>非法贩卖管制物品罪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非法卖毒</t>
        </is>
      </c>
      <c r="B1280" s="38" t="inlineStr">
        <is>
          <t>非法贩卖管制物品罪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毒品交易</t>
        </is>
      </c>
      <c r="B1281" s="38" t="inlineStr">
        <is>
          <t>非法贩卖管制物品罪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卖出毒品</t>
        </is>
      </c>
      <c r="B1282" s="38" t="inlineStr">
        <is>
          <t>非法贩卖管制物品罪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有组织犯罪</t>
        </is>
      </c>
      <c r="B1283" s="38" t="inlineStr">
        <is>
          <t>有组织犯罪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团伙犯罪</t>
        </is>
      </c>
      <c r="B1284" s="38" t="inlineStr">
        <is>
          <t>有组织犯罪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黑帮犯罪</t>
        </is>
      </c>
      <c r="B1285" s="38" t="inlineStr">
        <is>
          <t>有组织犯罪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犯罪集团</t>
        </is>
      </c>
      <c r="B1286" s="38" t="inlineStr">
        <is>
          <t>有组织犯罪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帮派作案</t>
        </is>
      </c>
      <c r="B1287" s="38" t="inlineStr">
        <is>
          <t>有组织犯罪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团伙作案</t>
        </is>
      </c>
      <c r="B1288" s="38" t="inlineStr">
        <is>
          <t>有组织犯罪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黑帮干的</t>
        </is>
      </c>
      <c r="B1289" s="38" t="inlineStr">
        <is>
          <t>有组织犯罪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集团作案</t>
        </is>
      </c>
      <c r="B1290" s="38" t="inlineStr">
        <is>
          <t>有组织犯罪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有组织地</t>
        </is>
      </c>
      <c r="B1291" s="38" t="inlineStr">
        <is>
          <t>有组织犯罪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有组织犯罪集团</t>
        </is>
      </c>
      <c r="B1292" s="38" t="inlineStr">
        <is>
          <t>有组织犯罪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黑社会性质</t>
        </is>
      </c>
      <c r="B1293" s="38" t="inlineStr">
        <is>
          <t>有组织犯罪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帮派犯罪</t>
        </is>
      </c>
      <c r="B1294" s="38" t="inlineStr">
        <is>
          <t>有组织犯罪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团伙犯罪活动</t>
        </is>
      </c>
      <c r="B1295" s="38" t="inlineStr">
        <is>
          <t>有组织犯罪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犯罪团伙作案</t>
        </is>
      </c>
      <c r="B1296" s="38" t="inlineStr">
        <is>
          <t>有组织犯罪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洗钱</t>
        </is>
      </c>
      <c r="B1297" s="38" t="inlineStr">
        <is>
          <t>洗钱罪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转移赃款</t>
        </is>
      </c>
      <c r="B1298" s="38" t="inlineStr">
        <is>
          <t>洗钱罪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清洗黑钱</t>
        </is>
      </c>
      <c r="B1299" s="38" t="inlineStr">
        <is>
          <t>洗钱罪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标记钞票</t>
        </is>
      </c>
      <c r="B1300" s="38" t="inlineStr">
        <is>
          <t>洗钱罪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漂白黑钱</t>
        </is>
      </c>
      <c r="B1301" s="38" t="inlineStr">
        <is>
          <t>洗钱罪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洗黑钱</t>
        </is>
      </c>
      <c r="B1302" s="38" t="inlineStr">
        <is>
          <t>洗钱罪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洗白黑钱</t>
        </is>
      </c>
      <c r="B1303" s="38" t="inlineStr">
        <is>
          <t>洗钱罪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过账洗钱</t>
        </is>
      </c>
      <c r="B1304" s="38" t="inlineStr">
        <is>
          <t>洗钱罪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漂钱</t>
        </is>
      </c>
      <c r="B1305" s="38" t="inlineStr">
        <is>
          <t>洗钱罪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黑钱洗白</t>
        </is>
      </c>
      <c r="B1306" s="38" t="inlineStr">
        <is>
          <t>洗钱罪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资金洗白</t>
        </is>
      </c>
      <c r="B1307" s="38" t="inlineStr">
        <is>
          <t>洗钱罪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洗钱活动</t>
        </is>
      </c>
      <c r="B1308" s="38" t="inlineStr">
        <is>
          <t>洗钱罪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清洗资金</t>
        </is>
      </c>
      <c r="B1309" s="38" t="inlineStr">
        <is>
          <t>洗钱罪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转移非法所得</t>
        </is>
      </c>
      <c r="B1310" s="38" t="inlineStr">
        <is>
          <t>洗钱罪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资金漂白</t>
        </is>
      </c>
      <c r="B1311" s="38" t="inlineStr">
        <is>
          <t>洗钱罪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黑钱转移</t>
        </is>
      </c>
      <c r="B1312" s="38" t="inlineStr">
        <is>
          <t>洗钱罪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身份盗用</t>
        </is>
      </c>
      <c r="B1313" s="38" t="inlineStr">
        <is>
          <t>身份盗用罪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盗用身份</t>
        </is>
      </c>
      <c r="B1314" s="38" t="inlineStr">
        <is>
          <t>身份盗用罪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冒用身份</t>
        </is>
      </c>
      <c r="B1315" s="38" t="inlineStr">
        <is>
          <t>身份盗用罪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盗用个人信息</t>
        </is>
      </c>
      <c r="B1316" s="38" t="inlineStr">
        <is>
          <t>身份盗用罪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盗用银行账号</t>
        </is>
      </c>
      <c r="B1317" s="38" t="inlineStr">
        <is>
          <t>身份盗用罪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冒用他人信息</t>
        </is>
      </c>
      <c r="B1318" s="38" t="inlineStr">
        <is>
          <t>身份盗用罪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盗用证件</t>
        </is>
      </c>
      <c r="B1319" s="38" t="inlineStr">
        <is>
          <t>身份盗用罪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冒用别人身份</t>
        </is>
      </c>
      <c r="B1320" s="38" t="inlineStr">
        <is>
          <t>身份盗用罪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用别人身份证</t>
        </is>
      </c>
      <c r="B1321" s="38" t="inlineStr">
        <is>
          <t>身份盗用罪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顶替身份</t>
        </is>
      </c>
      <c r="B1322" s="38" t="inlineStr">
        <is>
          <t>身份盗用罪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盗刷他人</t>
        </is>
      </c>
      <c r="B1323" s="38" t="inlineStr">
        <is>
          <t>身份盗用罪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盗用他人身份</t>
        </is>
      </c>
      <c r="B1324" s="38" t="inlineStr">
        <is>
          <t>身份盗用罪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窃取个人信息</t>
        </is>
      </c>
      <c r="B1325" s="38" t="inlineStr">
        <is>
          <t>身份盗用罪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假冒他人身份</t>
        </is>
      </c>
      <c r="B1326" s="38" t="inlineStr">
        <is>
          <t>身份盗用罪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盗用他人信息</t>
        </is>
      </c>
      <c r="B1327" s="38" t="inlineStr">
        <is>
          <t>身份盗用罪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无证驾驶</t>
        </is>
      </c>
      <c r="B1328" s="38" t="inlineStr">
        <is>
          <t>无证驾驶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没驾照开车</t>
        </is>
      </c>
      <c r="B1329" s="38" t="inlineStr">
        <is>
          <t>无证驾驶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无照驾驶</t>
        </is>
      </c>
      <c r="B1330" s="38" t="inlineStr">
        <is>
          <t>无证驾驶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没带驾照开车</t>
        </is>
      </c>
      <c r="B1331" s="38" t="inlineStr">
        <is>
          <t>无证驾驶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无证开车</t>
        </is>
      </c>
      <c r="B1332" s="38" t="inlineStr">
        <is>
          <t>无证驾驶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没驾照还开</t>
        </is>
      </c>
      <c r="B1333" s="38" t="inlineStr">
        <is>
          <t>无证驾驶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吊销驾照还开</t>
        </is>
      </c>
      <c r="B1334" s="38" t="inlineStr">
        <is>
          <t>持暂停/吊销驾照驾驶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暂停驾照还开</t>
        </is>
      </c>
      <c r="B1335" s="38" t="inlineStr">
        <is>
          <t>持暂停/吊销驾照驾驶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驾照吊销开车</t>
        </is>
      </c>
      <c r="B1336" s="38" t="inlineStr">
        <is>
          <t>持暂停/吊销驾照驾驶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被吊销驾照驾驶</t>
        </is>
      </c>
      <c r="B1337" s="38" t="inlineStr">
        <is>
          <t>持暂停/吊销驾照驾驶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无效驾照驾驶</t>
        </is>
      </c>
      <c r="B1338" s="38" t="inlineStr">
        <is>
          <t>持暂停/吊销驾照驾驶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驾照被吊销还开车</t>
        </is>
      </c>
      <c r="B1339" s="38" t="inlineStr">
        <is>
          <t>持暂停/吊销驾照驾驶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肇事逃逸</t>
        </is>
      </c>
      <c r="B1340" s="38" t="inlineStr">
        <is>
          <t>肇事逃逸罪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撞车逃逸</t>
        </is>
      </c>
      <c r="B1341" s="38" t="inlineStr">
        <is>
          <t>肇事逃逸罪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撞了车就跑</t>
        </is>
      </c>
      <c r="B1342" s="38" t="inlineStr">
        <is>
          <t>肇事逃逸罪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撞坏车逃</t>
        </is>
      </c>
      <c r="B1343" s="38" t="inlineStr">
        <is>
          <t>肇事逃逸罪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撞车跑了</t>
        </is>
      </c>
      <c r="B1344" s="38" t="inlineStr">
        <is>
          <t>肇事逃逸罪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撞坏东西逃</t>
        </is>
      </c>
      <c r="B1345" s="38" t="inlineStr">
        <is>
          <t>肇事逃逸罪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刮蹭后逃</t>
        </is>
      </c>
      <c r="B1346" s="38" t="inlineStr">
        <is>
          <t>肇事逃逸罪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撞车不报告</t>
        </is>
      </c>
      <c r="B1347" s="38" t="inlineStr">
        <is>
          <t>肇事逃逸罪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严重肇事逃逸</t>
        </is>
      </c>
      <c r="B1348" s="38" t="inlineStr">
        <is>
          <t>严重肇事逃逸罪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撞伤人逃逸</t>
        </is>
      </c>
      <c r="B1349" s="38" t="inlineStr">
        <is>
          <t>严重肇事逃逸罪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撞人逃逸</t>
        </is>
      </c>
      <c r="B1350" s="38" t="inlineStr">
        <is>
          <t>严重肇事逃逸罪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撞伤人就跑</t>
        </is>
      </c>
      <c r="B1351" s="38" t="inlineStr">
        <is>
          <t>严重肇事逃逸罪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撞人跑了</t>
        </is>
      </c>
      <c r="B1352" s="38" t="inlineStr">
        <is>
          <t>严重肇事逃逸罪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撞人后逃</t>
        </is>
      </c>
      <c r="B1353" s="38" t="inlineStr">
        <is>
          <t>严重肇事逃逸罪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  <row r="1354">
      <c r="A1354" s="38" t="inlineStr">
        <is>
          <t>撞伤后逃逸</t>
        </is>
      </c>
      <c r="B1354" s="38" t="inlineStr">
        <is>
          <t>严重肇事逃逸罪</t>
        </is>
      </c>
      <c r="C1354" s="38">
        <f>IF(AND($A1353&lt;&gt;"",'算罪台'!$B$4&lt;&gt;"",ISNUMBER(SEARCH($A1353,'算罪台'!$B$4))),1,0)</f>
        <v/>
      </c>
      <c r="D1354" s="38">
        <f>IF(AND($A1353&lt;&gt;"",'算罪台'!$B$5&lt;&gt;"",ISNUMBER(SEARCH($A1353,'算罪台'!$B$5))),1,0)</f>
        <v/>
      </c>
      <c r="E1354" s="38">
        <f>IF(AND($A1353&lt;&gt;"",'算罪台'!$B$6&lt;&gt;"",ISNUMBER(SEARCH($A1353,'算罪台'!$B$6))),1,0)</f>
        <v/>
      </c>
    </row>
    <row r="1355">
      <c r="A1355" s="38" t="inlineStr">
        <is>
          <t>撞伤人后逃</t>
        </is>
      </c>
      <c r="B1355" s="38" t="inlineStr">
        <is>
          <t>严重肇事逃逸罪</t>
        </is>
      </c>
      <c r="C1355" s="38">
        <f>IF(AND($A1354&lt;&gt;"",'算罪台'!$B$4&lt;&gt;"",ISNUMBER(SEARCH($A1354,'算罪台'!$B$4))),1,0)</f>
        <v/>
      </c>
      <c r="D1355" s="38">
        <f>IF(AND($A1354&lt;&gt;"",'算罪台'!$B$5&lt;&gt;"",ISNUMBER(SEARCH($A1354,'算罪台'!$B$5))),1,0)</f>
        <v/>
      </c>
      <c r="E1355" s="38">
        <f>IF(AND($A1354&lt;&gt;"",'算罪台'!$B$6&lt;&gt;"",ISNUMBER(SEARCH($A1354,'算罪台'!$B$6))),1,0)</f>
        <v/>
      </c>
    </row>
    <row r="1356">
      <c r="A1356" s="38" t="inlineStr">
        <is>
          <t>撞人后逃逸</t>
        </is>
      </c>
      <c r="B1356" s="38" t="inlineStr">
        <is>
          <t>严重肇事逃逸罪</t>
        </is>
      </c>
      <c r="C1356" s="38">
        <f>IF(AND($A1355&lt;&gt;"",'算罪台'!$B$4&lt;&gt;"",ISNUMBER(SEARCH($A1355,'算罪台'!$B$4))),1,0)</f>
        <v/>
      </c>
      <c r="D1356" s="38">
        <f>IF(AND($A1355&lt;&gt;"",'算罪台'!$B$5&lt;&gt;"",ISNUMBER(SEARCH($A1355,'算罪台'!$B$5))),1,0)</f>
        <v/>
      </c>
      <c r="E1356" s="38">
        <f>IF(AND($A1355&lt;&gt;"",'算罪台'!$B$6&lt;&gt;"",ISNUMBER(SEARCH($A1355,'算罪台'!$B$6))),1,0)</f>
        <v/>
      </c>
    </row>
    <row r="1357">
      <c r="A1357" s="38" t="inlineStr">
        <is>
          <t>撞了人逃</t>
        </is>
      </c>
      <c r="B1357" s="38" t="inlineStr">
        <is>
          <t>严重肇事逃逸罪</t>
        </is>
      </c>
      <c r="C1357" s="38">
        <f>IF(AND($A1356&lt;&gt;"",'算罪台'!$B$4&lt;&gt;"",ISNUMBER(SEARCH($A1356,'算罪台'!$B$4))),1,0)</f>
        <v/>
      </c>
      <c r="D1357" s="38">
        <f>IF(AND($A1356&lt;&gt;"",'算罪台'!$B$5&lt;&gt;"",ISNUMBER(SEARCH($A1356,'算罪台'!$B$5))),1,0)</f>
        <v/>
      </c>
      <c r="E1357" s="38">
        <f>IF(AND($A1356&lt;&gt;"",'算罪台'!$B$6&lt;&gt;"",ISNUMBER(SEARCH($A1356,'算罪台'!$B$6))),1,0)</f>
        <v/>
      </c>
    </row>
    <row r="1358">
      <c r="A1358" s="38" t="inlineStr">
        <is>
          <t>撞伤人后逃逸</t>
        </is>
      </c>
      <c r="B1358" s="38" t="inlineStr">
        <is>
          <t>严重肇事逃逸罪</t>
        </is>
      </c>
      <c r="C1358" s="38">
        <f>IF(AND($A1357&lt;&gt;"",'算罪台'!$B$4&lt;&gt;"",ISNUMBER(SEARCH($A1357,'算罪台'!$B$4))),1,0)</f>
        <v/>
      </c>
      <c r="D1358" s="38">
        <f>IF(AND($A1357&lt;&gt;"",'算罪台'!$B$5&lt;&gt;"",ISNUMBER(SEARCH($A1357,'算罪台'!$B$5))),1,0)</f>
        <v/>
      </c>
      <c r="E1358" s="38">
        <f>IF(AND($A1357&lt;&gt;"",'算罪台'!$B$6&lt;&gt;"",ISNUMBER(SEARCH($A1357,'算罪台'!$B$6))),1,0)</f>
        <v/>
      </c>
    </row>
    <row r="1359">
      <c r="A1359" s="38" t="inlineStr">
        <is>
          <t>撞人致伤逃逸</t>
        </is>
      </c>
      <c r="B1359" s="38" t="inlineStr">
        <is>
          <t>严重肇事逃逸罪</t>
        </is>
      </c>
      <c r="C1359" s="38">
        <f>IF(AND($A1358&lt;&gt;"",'算罪台'!$B$4&lt;&gt;"",ISNUMBER(SEARCH($A1358,'算罪台'!$B$4))),1,0)</f>
        <v/>
      </c>
      <c r="D1359" s="38">
        <f>IF(AND($A1358&lt;&gt;"",'算罪台'!$B$5&lt;&gt;"",ISNUMBER(SEARCH($A1358,'算罪台'!$B$5))),1,0)</f>
        <v/>
      </c>
      <c r="E1359" s="38">
        <f>IF(AND($A1358&lt;&gt;"",'算罪台'!$B$6&lt;&gt;"",ISNUMBER(SEARCH($A1358,'算罪台'!$B$6))),1,0)</f>
        <v/>
      </c>
    </row>
    <row r="1360">
      <c r="A1360" s="38" t="inlineStr">
        <is>
          <t>撞伤逃逸</t>
        </is>
      </c>
      <c r="B1360" s="38" t="inlineStr">
        <is>
          <t>严重肇事逃逸罪</t>
        </is>
      </c>
      <c r="C1360" s="38">
        <f>IF(AND($A1359&lt;&gt;"",'算罪台'!$B$4&lt;&gt;"",ISNUMBER(SEARCH($A1359,'算罪台'!$B$4))),1,0)</f>
        <v/>
      </c>
      <c r="D1360" s="38">
        <f>IF(AND($A1359&lt;&gt;"",'算罪台'!$B$5&lt;&gt;"",ISNUMBER(SEARCH($A1359,'算罪台'!$B$5))),1,0)</f>
        <v/>
      </c>
      <c r="E1360" s="38">
        <f>IF(AND($A1359&lt;&gt;"",'算罪台'!$B$6&lt;&gt;"",ISNUMBER(SEARCH($A1359,'算罪台'!$B$6))),1,0)</f>
        <v/>
      </c>
    </row>
    <row r="1361">
      <c r="A1361" s="38" t="inlineStr">
        <is>
          <t>逆行</t>
        </is>
      </c>
      <c r="B1361" s="38" t="inlineStr">
        <is>
          <t>右侧驾驶/越线违规</t>
        </is>
      </c>
      <c r="C1361" s="38">
        <f>IF(AND($A1360&lt;&gt;"",'算罪台'!$B$4&lt;&gt;"",ISNUMBER(SEARCH($A1360,'算罪台'!$B$4))),1,0)</f>
        <v/>
      </c>
      <c r="D1361" s="38">
        <f>IF(AND($A1360&lt;&gt;"",'算罪台'!$B$5&lt;&gt;"",ISNUMBER(SEARCH($A1360,'算罪台'!$B$5))),1,0)</f>
        <v/>
      </c>
      <c r="E1361" s="38">
        <f>IF(AND($A1360&lt;&gt;"",'算罪台'!$B$6&lt;&gt;"",ISNUMBER(SEARCH($A1360,'算罪台'!$B$6))),1,0)</f>
        <v/>
      </c>
    </row>
    <row r="1362">
      <c r="A1362" s="38" t="inlineStr">
        <is>
          <t>逆向行驶</t>
        </is>
      </c>
      <c r="B1362" s="38" t="inlineStr">
        <is>
          <t>右侧驾驶/越线违规</t>
        </is>
      </c>
      <c r="C1362" s="38">
        <f>IF(AND($A1361&lt;&gt;"",'算罪台'!$B$4&lt;&gt;"",ISNUMBER(SEARCH($A1361,'算罪台'!$B$4))),1,0)</f>
        <v/>
      </c>
      <c r="D1362" s="38">
        <f>IF(AND($A1361&lt;&gt;"",'算罪台'!$B$5&lt;&gt;"",ISNUMBER(SEARCH($A1361,'算罪台'!$B$5))),1,0)</f>
        <v/>
      </c>
      <c r="E1362" s="38">
        <f>IF(AND($A1361&lt;&gt;"",'算罪台'!$B$6&lt;&gt;"",ISNUMBER(SEARCH($A1361,'算罪台'!$B$6))),1,0)</f>
        <v/>
      </c>
    </row>
    <row r="1363">
      <c r="A1363" s="38" t="inlineStr">
        <is>
          <t>越实线</t>
        </is>
      </c>
      <c r="B1363" s="38" t="inlineStr">
        <is>
          <t>右侧驾驶/越线违规</t>
        </is>
      </c>
      <c r="C1363" s="38">
        <f>IF(AND($A1362&lt;&gt;"",'算罪台'!$B$4&lt;&gt;"",ISNUMBER(SEARCH($A1362,'算罪台'!$B$4))),1,0)</f>
        <v/>
      </c>
      <c r="D1363" s="38">
        <f>IF(AND($A1362&lt;&gt;"",'算罪台'!$B$5&lt;&gt;"",ISNUMBER(SEARCH($A1362,'算罪台'!$B$5))),1,0)</f>
        <v/>
      </c>
      <c r="E1363" s="38">
        <f>IF(AND($A1362&lt;&gt;"",'算罪台'!$B$6&lt;&gt;"",ISNUMBER(SEARCH($A1362,'算罪台'!$B$6))),1,0)</f>
        <v/>
      </c>
    </row>
    <row r="1364">
      <c r="A1364" s="38" t="inlineStr">
        <is>
          <t>压双黄线</t>
        </is>
      </c>
      <c r="B1364" s="38" t="inlineStr">
        <is>
          <t>右侧驾驶/越线违规</t>
        </is>
      </c>
      <c r="C1364" s="38">
        <f>IF(AND($A1363&lt;&gt;"",'算罪台'!$B$4&lt;&gt;"",ISNUMBER(SEARCH($A1363,'算罪台'!$B$4))),1,0)</f>
        <v/>
      </c>
      <c r="D1364" s="38">
        <f>IF(AND($A1363&lt;&gt;"",'算罪台'!$B$5&lt;&gt;"",ISNUMBER(SEARCH($A1363,'算罪台'!$B$5))),1,0)</f>
        <v/>
      </c>
      <c r="E1364" s="38">
        <f>IF(AND($A1363&lt;&gt;"",'算罪台'!$B$6&lt;&gt;"",ISNUMBER(SEARCH($A1363,'算罪台'!$B$6))),1,0)</f>
        <v/>
      </c>
    </row>
    <row r="1365">
      <c r="A1365" s="38" t="inlineStr">
        <is>
          <t>压实线</t>
        </is>
      </c>
      <c r="B1365" s="38" t="inlineStr">
        <is>
          <t>右侧驾驶/越线违规</t>
        </is>
      </c>
      <c r="C1365" s="38">
        <f>IF(AND($A1364&lt;&gt;"",'算罪台'!$B$4&lt;&gt;"",ISNUMBER(SEARCH($A1364,'算罪台'!$B$4))),1,0)</f>
        <v/>
      </c>
      <c r="D1365" s="38">
        <f>IF(AND($A1364&lt;&gt;"",'算罪台'!$B$5&lt;&gt;"",ISNUMBER(SEARCH($A1364,'算罪台'!$B$5))),1,0)</f>
        <v/>
      </c>
      <c r="E1365" s="38">
        <f>IF(AND($A1364&lt;&gt;"",'算罪台'!$B$6&lt;&gt;"",ISNUMBER(SEARCH($A1364,'算罪台'!$B$6))),1,0)</f>
        <v/>
      </c>
    </row>
    <row r="1366">
      <c r="A1366" s="38" t="inlineStr">
        <is>
          <t>不靠右行驶</t>
        </is>
      </c>
      <c r="B1366" s="38" t="inlineStr">
        <is>
          <t>右侧驾驶/越线违规</t>
        </is>
      </c>
      <c r="C1366" s="38">
        <f>IF(AND($A1365&lt;&gt;"",'算罪台'!$B$4&lt;&gt;"",ISNUMBER(SEARCH($A1365,'算罪台'!$B$4))),1,0)</f>
        <v/>
      </c>
      <c r="D1366" s="38">
        <f>IF(AND($A1365&lt;&gt;"",'算罪台'!$B$5&lt;&gt;"",ISNUMBER(SEARCH($A1365,'算罪台'!$B$5))),1,0)</f>
        <v/>
      </c>
      <c r="E1366" s="38">
        <f>IF(AND($A1365&lt;&gt;"",'算罪台'!$B$6&lt;&gt;"",ISNUMBER(SEARCH($A1365,'算罪台'!$B$6))),1,0)</f>
        <v/>
      </c>
    </row>
    <row r="1367">
      <c r="A1367" s="38" t="inlineStr">
        <is>
          <t>越线行驶</t>
        </is>
      </c>
      <c r="B1367" s="38" t="inlineStr">
        <is>
          <t>右侧驾驶/越线违规</t>
        </is>
      </c>
      <c r="C1367" s="38">
        <f>IF(AND($A1366&lt;&gt;"",'算罪台'!$B$4&lt;&gt;"",ISNUMBER(SEARCH($A1366,'算罪台'!$B$4))),1,0)</f>
        <v/>
      </c>
      <c r="D1367" s="38">
        <f>IF(AND($A1366&lt;&gt;"",'算罪台'!$B$5&lt;&gt;"",ISNUMBER(SEARCH($A1366,'算罪台'!$B$5))),1,0)</f>
        <v/>
      </c>
      <c r="E1367" s="38">
        <f>IF(AND($A1366&lt;&gt;"",'算罪台'!$B$6&lt;&gt;"",ISNUMBER(SEARCH($A1366,'算罪台'!$B$6))),1,0)</f>
        <v/>
      </c>
    </row>
    <row r="1368">
      <c r="A1368" s="38" t="inlineStr">
        <is>
          <t>越黄线</t>
        </is>
      </c>
      <c r="B1368" s="38" t="inlineStr">
        <is>
          <t>右侧驾驶/越线违规</t>
        </is>
      </c>
      <c r="C1368" s="38">
        <f>IF(AND($A1367&lt;&gt;"",'算罪台'!$B$4&lt;&gt;"",ISNUMBER(SEARCH($A1367,'算罪台'!$B$4))),1,0)</f>
        <v/>
      </c>
      <c r="D1368" s="38">
        <f>IF(AND($A1367&lt;&gt;"",'算罪台'!$B$5&lt;&gt;"",ISNUMBER(SEARCH($A1367,'算罪台'!$B$5))),1,0)</f>
        <v/>
      </c>
      <c r="E1368" s="38">
        <f>IF(AND($A1367&lt;&gt;"",'算罪台'!$B$6&lt;&gt;"",ISNUMBER(SEARCH($A1367,'算罪台'!$B$6))),1,0)</f>
        <v/>
      </c>
    </row>
    <row r="1369">
      <c r="A1369" s="38" t="inlineStr">
        <is>
          <t>压线行驶</t>
        </is>
      </c>
      <c r="B1369" s="38" t="inlineStr">
        <is>
          <t>右侧驾驶/越线违规</t>
        </is>
      </c>
      <c r="C1369" s="38">
        <f>IF(AND($A1368&lt;&gt;"",'算罪台'!$B$4&lt;&gt;"",ISNUMBER(SEARCH($A1368,'算罪台'!$B$4))),1,0)</f>
        <v/>
      </c>
      <c r="D1369" s="38">
        <f>IF(AND($A1368&lt;&gt;"",'算罪台'!$B$5&lt;&gt;"",ISNUMBER(SEARCH($A1368,'算罪台'!$B$5))),1,0)</f>
        <v/>
      </c>
      <c r="E1369" s="38">
        <f>IF(AND($A1368&lt;&gt;"",'算罪台'!$B$6&lt;&gt;"",ISNUMBER(SEARCH($A1368,'算罪台'!$B$6))),1,0)</f>
        <v/>
      </c>
    </row>
    <row r="1370">
      <c r="A1370" s="38" t="inlineStr">
        <is>
          <t>不避让救护车</t>
        </is>
      </c>
      <c r="B1370" s="38" t="inlineStr">
        <is>
          <t>不避让应急车辆</t>
        </is>
      </c>
      <c r="C1370" s="38">
        <f>IF(AND($A1369&lt;&gt;"",'算罪台'!$B$4&lt;&gt;"",ISNUMBER(SEARCH($A1369,'算罪台'!$B$4))),1,0)</f>
        <v/>
      </c>
      <c r="D1370" s="38">
        <f>IF(AND($A1369&lt;&gt;"",'算罪台'!$B$5&lt;&gt;"",ISNUMBER(SEARCH($A1369,'算罪台'!$B$5))),1,0)</f>
        <v/>
      </c>
      <c r="E1370" s="38">
        <f>IF(AND($A1369&lt;&gt;"",'算罪台'!$B$6&lt;&gt;"",ISNUMBER(SEARCH($A1369,'算罪台'!$B$6))),1,0)</f>
        <v/>
      </c>
    </row>
    <row r="1371">
      <c r="A1371" s="38" t="inlineStr">
        <is>
          <t>不避让警车</t>
        </is>
      </c>
      <c r="B1371" s="38" t="inlineStr">
        <is>
          <t>不避让应急车辆</t>
        </is>
      </c>
      <c r="C1371" s="38">
        <f>IF(AND($A1370&lt;&gt;"",'算罪台'!$B$4&lt;&gt;"",ISNUMBER(SEARCH($A1370,'算罪台'!$B$4))),1,0)</f>
        <v/>
      </c>
      <c r="D1371" s="38">
        <f>IF(AND($A1370&lt;&gt;"",'算罪台'!$B$5&lt;&gt;"",ISNUMBER(SEARCH($A1370,'算罪台'!$B$5))),1,0)</f>
        <v/>
      </c>
      <c r="E1371" s="38">
        <f>IF(AND($A1370&lt;&gt;"",'算罪台'!$B$6&lt;&gt;"",ISNUMBER(SEARCH($A1370,'算罪台'!$B$6))),1,0)</f>
        <v/>
      </c>
    </row>
    <row r="1372">
      <c r="A1372" s="38" t="inlineStr">
        <is>
          <t>不让应急车辆</t>
        </is>
      </c>
      <c r="B1372" s="38" t="inlineStr">
        <is>
          <t>不避让应急车辆</t>
        </is>
      </c>
      <c r="C1372" s="38">
        <f>IF(AND($A1371&lt;&gt;"",'算罪台'!$B$4&lt;&gt;"",ISNUMBER(SEARCH($A1371,'算罪台'!$B$4))),1,0)</f>
        <v/>
      </c>
      <c r="D1372" s="38">
        <f>IF(AND($A1371&lt;&gt;"",'算罪台'!$B$5&lt;&gt;"",ISNUMBER(SEARCH($A1371,'算罪台'!$B$5))),1,0)</f>
        <v/>
      </c>
      <c r="E1372" s="38">
        <f>IF(AND($A1371&lt;&gt;"",'算罪台'!$B$6&lt;&gt;"",ISNUMBER(SEARCH($A1371,'算罪台'!$B$6))),1,0)</f>
        <v/>
      </c>
    </row>
    <row r="1373">
      <c r="A1373" s="38" t="inlineStr">
        <is>
          <t>不给救护车让路</t>
        </is>
      </c>
      <c r="B1373" s="38" t="inlineStr">
        <is>
          <t>不避让应急车辆</t>
        </is>
      </c>
      <c r="C1373" s="38">
        <f>IF(AND($A1372&lt;&gt;"",'算罪台'!$B$4&lt;&gt;"",ISNUMBER(SEARCH($A1372,'算罪台'!$B$4))),1,0)</f>
        <v/>
      </c>
      <c r="D1373" s="38">
        <f>IF(AND($A1372&lt;&gt;"",'算罪台'!$B$5&lt;&gt;"",ISNUMBER(SEARCH($A1372,'算罪台'!$B$5))),1,0)</f>
        <v/>
      </c>
      <c r="E1373" s="38">
        <f>IF(AND($A1372&lt;&gt;"",'算罪台'!$B$6&lt;&gt;"",ISNUMBER(SEARCH($A1372,'算罪台'!$B$6))),1,0)</f>
        <v/>
      </c>
    </row>
    <row r="1374">
      <c r="A1374" s="38" t="inlineStr">
        <is>
          <t>挡应急车道</t>
        </is>
      </c>
      <c r="B1374" s="38" t="inlineStr">
        <is>
          <t>不避让应急车辆</t>
        </is>
      </c>
      <c r="C1374" s="38">
        <f>IF(AND($A1373&lt;&gt;"",'算罪台'!$B$4&lt;&gt;"",ISNUMBER(SEARCH($A1373,'算罪台'!$B$4))),1,0)</f>
        <v/>
      </c>
      <c r="D1374" s="38">
        <f>IF(AND($A1373&lt;&gt;"",'算罪台'!$B$5&lt;&gt;"",ISNUMBER(SEARCH($A1373,'算罪台'!$B$5))),1,0)</f>
        <v/>
      </c>
      <c r="E1374" s="38">
        <f>IF(AND($A1373&lt;&gt;"",'算罪台'!$B$6&lt;&gt;"",ISNUMBER(SEARCH($A1373,'算罪台'!$B$6))),1,0)</f>
        <v/>
      </c>
    </row>
    <row r="1375">
      <c r="A1375" s="38" t="inlineStr">
        <is>
          <t>不避让消防车</t>
        </is>
      </c>
      <c r="B1375" s="38" t="inlineStr">
        <is>
          <t>不避让应急车辆</t>
        </is>
      </c>
      <c r="C1375" s="38">
        <f>IF(AND($A1374&lt;&gt;"",'算罪台'!$B$4&lt;&gt;"",ISNUMBER(SEARCH($A1374,'算罪台'!$B$4))),1,0)</f>
        <v/>
      </c>
      <c r="D1375" s="38">
        <f>IF(AND($A1374&lt;&gt;"",'算罪台'!$B$5&lt;&gt;"",ISNUMBER(SEARCH($A1374,'算罪台'!$B$5))),1,0)</f>
        <v/>
      </c>
      <c r="E1375" s="38">
        <f>IF(AND($A1374&lt;&gt;"",'算罪台'!$B$6&lt;&gt;"",ISNUMBER(SEARCH($A1374,'算罪台'!$B$6))),1,0)</f>
        <v/>
      </c>
    </row>
    <row r="1376">
      <c r="A1376" s="38" t="inlineStr">
        <is>
          <t>不给警车让路</t>
        </is>
      </c>
      <c r="B1376" s="38" t="inlineStr">
        <is>
          <t>不避让应急车辆</t>
        </is>
      </c>
      <c r="C1376" s="38">
        <f>IF(AND($A1375&lt;&gt;"",'算罪台'!$B$4&lt;&gt;"",ISNUMBER(SEARCH($A1375,'算罪台'!$B$4))),1,0)</f>
        <v/>
      </c>
      <c r="D1376" s="38">
        <f>IF(AND($A1375&lt;&gt;"",'算罪台'!$B$5&lt;&gt;"",ISNUMBER(SEARCH($A1375,'算罪台'!$B$5))),1,0)</f>
        <v/>
      </c>
      <c r="E1376" s="38">
        <f>IF(AND($A1375&lt;&gt;"",'算罪台'!$B$6&lt;&gt;"",ISNUMBER(SEARCH($A1375,'算罪台'!$B$6))),1,0)</f>
        <v/>
      </c>
    </row>
    <row r="1377">
      <c r="A1377" s="38" t="inlineStr">
        <is>
          <t>堵住应急车辆</t>
        </is>
      </c>
      <c r="B1377" s="38" t="inlineStr">
        <is>
          <t>不避让应急车辆</t>
        </is>
      </c>
      <c r="C1377" s="38">
        <f>IF(AND($A1376&lt;&gt;"",'算罪台'!$B$4&lt;&gt;"",ISNUMBER(SEARCH($A1376,'算罪台'!$B$4))),1,0)</f>
        <v/>
      </c>
      <c r="D1377" s="38">
        <f>IF(AND($A1376&lt;&gt;"",'算罪台'!$B$5&lt;&gt;"",ISNUMBER(SEARCH($A1376,'算罪台'!$B$5))),1,0)</f>
        <v/>
      </c>
      <c r="E1377" s="38">
        <f>IF(AND($A1376&lt;&gt;"",'算罪台'!$B$6&lt;&gt;"",ISNUMBER(SEARCH($A1376,'算罪台'!$B$6))),1,0)</f>
        <v/>
      </c>
    </row>
    <row r="1378">
      <c r="A1378" s="38" t="inlineStr">
        <is>
          <t>超速</t>
        </is>
      </c>
      <c r="B1378" s="38" t="inlineStr">
        <is>
          <t>超速</t>
        </is>
      </c>
      <c r="C1378" s="38">
        <f>IF(AND($A1377&lt;&gt;"",'算罪台'!$B$4&lt;&gt;"",ISNUMBER(SEARCH($A1377,'算罪台'!$B$4))),1,0)</f>
        <v/>
      </c>
      <c r="D1378" s="38">
        <f>IF(AND($A1377&lt;&gt;"",'算罪台'!$B$5&lt;&gt;"",ISNUMBER(SEARCH($A1377,'算罪台'!$B$5))),1,0)</f>
        <v/>
      </c>
      <c r="E1378" s="38">
        <f>IF(AND($A1377&lt;&gt;"",'算罪台'!$B$6&lt;&gt;"",ISNUMBER(SEARCH($A1377,'算罪台'!$B$6))),1,0)</f>
        <v/>
      </c>
    </row>
    <row r="1379">
      <c r="A1379" s="38" t="inlineStr">
        <is>
          <t>超过限速</t>
        </is>
      </c>
      <c r="B1379" s="38" t="inlineStr">
        <is>
          <t>超速</t>
        </is>
      </c>
      <c r="C1379" s="38">
        <f>IF(AND($A1378&lt;&gt;"",'算罪台'!$B$4&lt;&gt;"",ISNUMBER(SEARCH($A1378,'算罪台'!$B$4))),1,0)</f>
        <v/>
      </c>
      <c r="D1379" s="38">
        <f>IF(AND($A1378&lt;&gt;"",'算罪台'!$B$5&lt;&gt;"",ISNUMBER(SEARCH($A1378,'算罪台'!$B$5))),1,0)</f>
        <v/>
      </c>
      <c r="E1379" s="38">
        <f>IF(AND($A1378&lt;&gt;"",'算罪台'!$B$6&lt;&gt;"",ISNUMBER(SEARCH($A1378,'算罪台'!$B$6))),1,0)</f>
        <v/>
      </c>
    </row>
    <row r="1380">
      <c r="A1380" s="38" t="inlineStr">
        <is>
          <t>开太快超速</t>
        </is>
      </c>
      <c r="B1380" s="38" t="inlineStr">
        <is>
          <t>超速</t>
        </is>
      </c>
      <c r="C1380" s="38">
        <f>IF(AND($A1379&lt;&gt;"",'算罪台'!$B$4&lt;&gt;"",ISNUMBER(SEARCH($A1379,'算罪台'!$B$4))),1,0)</f>
        <v/>
      </c>
      <c r="D1380" s="38">
        <f>IF(AND($A1379&lt;&gt;"",'算罪台'!$B$5&lt;&gt;"",ISNUMBER(SEARCH($A1379,'算罪台'!$B$5))),1,0)</f>
        <v/>
      </c>
      <c r="E1380" s="38">
        <f>IF(AND($A1379&lt;&gt;"",'算罪台'!$B$6&lt;&gt;"",ISNUMBER(SEARCH($A1379,'算罪台'!$B$6))),1,0)</f>
        <v/>
      </c>
    </row>
    <row r="1381">
      <c r="A1381" s="38" t="inlineStr">
        <is>
          <t>严重超速</t>
        </is>
      </c>
      <c r="B1381" s="38" t="inlineStr">
        <is>
          <t>超速</t>
        </is>
      </c>
      <c r="C1381" s="38">
        <f>IF(AND($A1380&lt;&gt;"",'算罪台'!$B$4&lt;&gt;"",ISNUMBER(SEARCH($A1380,'算罪台'!$B$4))),1,0)</f>
        <v/>
      </c>
      <c r="D1381" s="38">
        <f>IF(AND($A1380&lt;&gt;"",'算罪台'!$B$5&lt;&gt;"",ISNUMBER(SEARCH($A1380,'算罪台'!$B$5))),1,0)</f>
        <v/>
      </c>
      <c r="E1381" s="38">
        <f>IF(AND($A1380&lt;&gt;"",'算罪台'!$B$6&lt;&gt;"",ISNUMBER(SEARCH($A1380,'算罪台'!$B$6))),1,0)</f>
        <v/>
      </c>
    </row>
    <row r="1382">
      <c r="A1382" s="38" t="inlineStr">
        <is>
          <t>飙速行驶</t>
        </is>
      </c>
      <c r="B1382" s="38" t="inlineStr">
        <is>
          <t>超速</t>
        </is>
      </c>
      <c r="C1382" s="38">
        <f>IF(AND($A1381&lt;&gt;"",'算罪台'!$B$4&lt;&gt;"",ISNUMBER(SEARCH($A1381,'算罪台'!$B$4))),1,0)</f>
        <v/>
      </c>
      <c r="D1382" s="38">
        <f>IF(AND($A1381&lt;&gt;"",'算罪台'!$B$5&lt;&gt;"",ISNUMBER(SEARCH($A1381,'算罪台'!$B$5))),1,0)</f>
        <v/>
      </c>
      <c r="E1382" s="38">
        <f>IF(AND($A1381&lt;&gt;"",'算罪台'!$B$6&lt;&gt;"",ISNUMBER(SEARCH($A1381,'算罪台'!$B$6))),1,0)</f>
        <v/>
      </c>
    </row>
    <row r="1383">
      <c r="A1383" s="38" t="inlineStr">
        <is>
          <t>违规停车</t>
        </is>
      </c>
      <c r="B1383" s="38" t="inlineStr">
        <is>
          <t>违规停车</t>
        </is>
      </c>
      <c r="C1383" s="38">
        <f>IF(AND($A1382&lt;&gt;"",'算罪台'!$B$4&lt;&gt;"",ISNUMBER(SEARCH($A1382,'算罪台'!$B$4))),1,0)</f>
        <v/>
      </c>
      <c r="D1383" s="38">
        <f>IF(AND($A1382&lt;&gt;"",'算罪台'!$B$5&lt;&gt;"",ISNUMBER(SEARCH($A1382,'算罪台'!$B$5))),1,0)</f>
        <v/>
      </c>
      <c r="E1383" s="38">
        <f>IF(AND($A1382&lt;&gt;"",'算罪台'!$B$6&lt;&gt;"",ISNUMBER(SEARCH($A1382,'算罪台'!$B$6))),1,0)</f>
        <v/>
      </c>
    </row>
    <row r="1384">
      <c r="A1384" s="38" t="inlineStr">
        <is>
          <t>乱停车</t>
        </is>
      </c>
      <c r="B1384" s="38" t="inlineStr">
        <is>
          <t>违规停车</t>
        </is>
      </c>
      <c r="C1384" s="38">
        <f>IF(AND($A1383&lt;&gt;"",'算罪台'!$B$4&lt;&gt;"",ISNUMBER(SEARCH($A1383,'算罪台'!$B$4))),1,0)</f>
        <v/>
      </c>
      <c r="D1384" s="38">
        <f>IF(AND($A1383&lt;&gt;"",'算罪台'!$B$5&lt;&gt;"",ISNUMBER(SEARCH($A1383,'算罪台'!$B$5))),1,0)</f>
        <v/>
      </c>
      <c r="E1384" s="38">
        <f>IF(AND($A1383&lt;&gt;"",'算罪台'!$B$6&lt;&gt;"",ISNUMBER(SEARCH($A1383,'算罪台'!$B$6))),1,0)</f>
        <v/>
      </c>
    </row>
    <row r="1385">
      <c r="A1385" s="38" t="inlineStr">
        <is>
          <t>违章停车</t>
        </is>
      </c>
      <c r="B1385" s="38" t="inlineStr">
        <is>
          <t>违规停车</t>
        </is>
      </c>
      <c r="C1385" s="38">
        <f>IF(AND($A1384&lt;&gt;"",'算罪台'!$B$4&lt;&gt;"",ISNUMBER(SEARCH($A1384,'算罪台'!$B$4))),1,0)</f>
        <v/>
      </c>
      <c r="D1385" s="38">
        <f>IF(AND($A1384&lt;&gt;"",'算罪台'!$B$5&lt;&gt;"",ISNUMBER(SEARCH($A1384,'算罪台'!$B$5))),1,0)</f>
        <v/>
      </c>
      <c r="E1385" s="38">
        <f>IF(AND($A1384&lt;&gt;"",'算罪台'!$B$6&lt;&gt;"",ISNUMBER(SEARCH($A1384,'算罪台'!$B$6))),1,0)</f>
        <v/>
      </c>
    </row>
    <row r="1386">
      <c r="A1386" s="38" t="inlineStr">
        <is>
          <t>占道停车</t>
        </is>
      </c>
      <c r="B1386" s="38" t="inlineStr">
        <is>
          <t>违规停车</t>
        </is>
      </c>
      <c r="C1386" s="38">
        <f>IF(AND($A1385&lt;&gt;"",'算罪台'!$B$4&lt;&gt;"",ISNUMBER(SEARCH($A1385,'算罪台'!$B$4))),1,0)</f>
        <v/>
      </c>
      <c r="D1386" s="38">
        <f>IF(AND($A1385&lt;&gt;"",'算罪台'!$B$5&lt;&gt;"",ISNUMBER(SEARCH($A1385,'算罪台'!$B$5))),1,0)</f>
        <v/>
      </c>
      <c r="E1386" s="38">
        <f>IF(AND($A1385&lt;&gt;"",'算罪台'!$B$6&lt;&gt;"",ISNUMBER(SEARCH($A1385,'算罪台'!$B$6))),1,0)</f>
        <v/>
      </c>
    </row>
    <row r="1387">
      <c r="A1387" s="38" t="inlineStr">
        <is>
          <t>堵车道停车</t>
        </is>
      </c>
      <c r="B1387" s="38" t="inlineStr">
        <is>
          <t>违规停车</t>
        </is>
      </c>
      <c r="C1387" s="38">
        <f>IF(AND($A1386&lt;&gt;"",'算罪台'!$B$4&lt;&gt;"",ISNUMBER(SEARCH($A1386,'算罪台'!$B$4))),1,0)</f>
        <v/>
      </c>
      <c r="D1387" s="38">
        <f>IF(AND($A1386&lt;&gt;"",'算罪台'!$B$5&lt;&gt;"",ISNUMBER(SEARCH($A1386,'算罪台'!$B$5))),1,0)</f>
        <v/>
      </c>
      <c r="E1387" s="38">
        <f>IF(AND($A1386&lt;&gt;"",'算罪台'!$B$6&lt;&gt;"",ISNUMBER(SEARCH($A1386,'算罪台'!$B$6))),1,0)</f>
        <v/>
      </c>
    </row>
    <row r="1388">
      <c r="A1388" s="38" t="inlineStr">
        <is>
          <t>乱停乱放</t>
        </is>
      </c>
      <c r="B1388" s="38" t="inlineStr">
        <is>
          <t>违规停车</t>
        </is>
      </c>
      <c r="C1388" s="38">
        <f>IF(AND($A1387&lt;&gt;"",'算罪台'!$B$4&lt;&gt;"",ISNUMBER(SEARCH($A1387,'算罪台'!$B$4))),1,0)</f>
        <v/>
      </c>
      <c r="D1388" s="38">
        <f>IF(AND($A1387&lt;&gt;"",'算罪台'!$B$5&lt;&gt;"",ISNUMBER(SEARCH($A1387,'算罪台'!$B$5))),1,0)</f>
        <v/>
      </c>
      <c r="E1388" s="38">
        <f>IF(AND($A1387&lt;&gt;"",'算罪台'!$B$6&lt;&gt;"",ISNUMBER(SEARCH($A1387,'算罪台'!$B$6))),1,0)</f>
        <v/>
      </c>
    </row>
    <row r="1389">
      <c r="A1389" s="38" t="inlineStr">
        <is>
          <t>危险驾驶</t>
        </is>
      </c>
      <c r="B1389" s="38" t="inlineStr">
        <is>
          <t>危险驾驶</t>
        </is>
      </c>
      <c r="C1389" s="38">
        <f>IF(AND($A1388&lt;&gt;"",'算罪台'!$B$4&lt;&gt;"",ISNUMBER(SEARCH($A1388,'算罪台'!$B$4))),1,0)</f>
        <v/>
      </c>
      <c r="D1389" s="38">
        <f>IF(AND($A1388&lt;&gt;"",'算罪台'!$B$5&lt;&gt;"",ISNUMBER(SEARCH($A1388,'算罪台'!$B$5))),1,0)</f>
        <v/>
      </c>
      <c r="E1389" s="38">
        <f>IF(AND($A1388&lt;&gt;"",'算罪台'!$B$6&lt;&gt;"",ISNUMBER(SEARCH($A1388,'算罪台'!$B$6))),1,0)</f>
        <v/>
      </c>
    </row>
    <row r="1390">
      <c r="A1390" s="38" t="inlineStr">
        <is>
          <t>横冲直撞</t>
        </is>
      </c>
      <c r="B1390" s="38" t="inlineStr">
        <is>
          <t>危险驾驶</t>
        </is>
      </c>
      <c r="C1390" s="38">
        <f>IF(AND($A1389&lt;&gt;"",'算罪台'!$B$4&lt;&gt;"",ISNUMBER(SEARCH($A1389,'算罪台'!$B$4))),1,0)</f>
        <v/>
      </c>
      <c r="D1390" s="38">
        <f>IF(AND($A1389&lt;&gt;"",'算罪台'!$B$5&lt;&gt;"",ISNUMBER(SEARCH($A1389,'算罪台'!$B$5))),1,0)</f>
        <v/>
      </c>
      <c r="E1390" s="38">
        <f>IF(AND($A1389&lt;&gt;"",'算罪台'!$B$6&lt;&gt;"",ISNUMBER(SEARCH($A1389,'算罪台'!$B$6))),1,0)</f>
        <v/>
      </c>
    </row>
    <row r="1391">
      <c r="A1391" s="38" t="inlineStr">
        <is>
          <t>乱开车</t>
        </is>
      </c>
      <c r="B1391" s="38" t="inlineStr">
        <is>
          <t>危险驾驶</t>
        </is>
      </c>
      <c r="C1391" s="38">
        <f>IF(AND($A1390&lt;&gt;"",'算罪台'!$B$4&lt;&gt;"",ISNUMBER(SEARCH($A1390,'算罪台'!$B$4))),1,0)</f>
        <v/>
      </c>
      <c r="D1391" s="38">
        <f>IF(AND($A1390&lt;&gt;"",'算罪台'!$B$5&lt;&gt;"",ISNUMBER(SEARCH($A1390,'算罪台'!$B$5))),1,0)</f>
        <v/>
      </c>
      <c r="E1391" s="38">
        <f>IF(AND($A1390&lt;&gt;"",'算罪台'!$B$6&lt;&gt;"",ISNUMBER(SEARCH($A1390,'算罪台'!$B$6))),1,0)</f>
        <v/>
      </c>
    </row>
    <row r="1392">
      <c r="A1392" s="38" t="inlineStr">
        <is>
          <t>多次撞击</t>
        </is>
      </c>
      <c r="B1392" s="38" t="inlineStr">
        <is>
          <t>危险驾驶</t>
        </is>
      </c>
      <c r="C1392" s="38">
        <f>IF(AND($A1391&lt;&gt;"",'算罪台'!$B$4&lt;&gt;"",ISNUMBER(SEARCH($A1391,'算罪台'!$B$4))),1,0)</f>
        <v/>
      </c>
      <c r="D1392" s="38">
        <f>IF(AND($A1391&lt;&gt;"",'算罪台'!$B$5&lt;&gt;"",ISNUMBER(SEARCH($A1391,'算罪台'!$B$5))),1,0)</f>
        <v/>
      </c>
      <c r="E1392" s="38">
        <f>IF(AND($A1391&lt;&gt;"",'算罪台'!$B$6&lt;&gt;"",ISNUMBER(SEARCH($A1391,'算罪台'!$B$6))),1,0)</f>
        <v/>
      </c>
    </row>
    <row r="1393">
      <c r="A1393" s="38" t="inlineStr">
        <is>
          <t>鲁莽驾驶</t>
        </is>
      </c>
      <c r="B1393" s="38" t="inlineStr">
        <is>
          <t>危险驾驶</t>
        </is>
      </c>
      <c r="C1393" s="38">
        <f>IF(AND($A1392&lt;&gt;"",'算罪台'!$B$4&lt;&gt;"",ISNUMBER(SEARCH($A1392,'算罪台'!$B$4))),1,0)</f>
        <v/>
      </c>
      <c r="D1393" s="38">
        <f>IF(AND($A1392&lt;&gt;"",'算罪台'!$B$5&lt;&gt;"",ISNUMBER(SEARCH($A1392,'算罪台'!$B$5))),1,0)</f>
        <v/>
      </c>
      <c r="E1393" s="38">
        <f>IF(AND($A1392&lt;&gt;"",'算罪台'!$B$6&lt;&gt;"",ISNUMBER(SEARCH($A1392,'算罪台'!$B$6))),1,0)</f>
        <v/>
      </c>
    </row>
    <row r="1394">
      <c r="A1394" s="38" t="inlineStr">
        <is>
          <t>无视安全驾驶</t>
        </is>
      </c>
      <c r="B1394" s="38" t="inlineStr">
        <is>
          <t>危险驾驶</t>
        </is>
      </c>
      <c r="C1394" s="38">
        <f>IF(AND($A1393&lt;&gt;"",'算罪台'!$B$4&lt;&gt;"",ISNUMBER(SEARCH($A1393,'算罪台'!$B$4))),1,0)</f>
        <v/>
      </c>
      <c r="D1394" s="38">
        <f>IF(AND($A1393&lt;&gt;"",'算罪台'!$B$5&lt;&gt;"",ISNUMBER(SEARCH($A1393,'算罪台'!$B$5))),1,0)</f>
        <v/>
      </c>
      <c r="E1394" s="38">
        <f>IF(AND($A1393&lt;&gt;"",'算罪台'!$B$6&lt;&gt;"",ISNUMBER(SEARCH($A1393,'算罪台'!$B$6))),1,0)</f>
        <v/>
      </c>
    </row>
    <row r="1395">
      <c r="A1395" s="38" t="inlineStr">
        <is>
          <t>开车横冲</t>
        </is>
      </c>
      <c r="B1395" s="38" t="inlineStr">
        <is>
          <t>危险驾驶</t>
        </is>
      </c>
      <c r="C1395" s="38">
        <f>IF(AND($A1394&lt;&gt;"",'算罪台'!$B$4&lt;&gt;"",ISNUMBER(SEARCH($A1394,'算罪台'!$B$4))),1,0)</f>
        <v/>
      </c>
      <c r="D1395" s="38">
        <f>IF(AND($A1394&lt;&gt;"",'算罪台'!$B$5&lt;&gt;"",ISNUMBER(SEARCH($A1394,'算罪台'!$B$5))),1,0)</f>
        <v/>
      </c>
      <c r="E1395" s="38">
        <f>IF(AND($A1394&lt;&gt;"",'算罪台'!$B$6&lt;&gt;"",ISNUMBER(SEARCH($A1394,'算罪台'!$B$6))),1,0)</f>
        <v/>
      </c>
    </row>
    <row r="1396">
      <c r="A1396" s="38" t="inlineStr">
        <is>
          <t>莽夫开车</t>
        </is>
      </c>
      <c r="B1396" s="38" t="inlineStr">
        <is>
          <t>危险驾驶</t>
        </is>
      </c>
      <c r="C1396" s="38">
        <f>IF(AND($A1395&lt;&gt;"",'算罪台'!$B$4&lt;&gt;"",ISNUMBER(SEARCH($A1395,'算罪台'!$B$4))),1,0)</f>
        <v/>
      </c>
      <c r="D1396" s="38">
        <f>IF(AND($A1395&lt;&gt;"",'算罪台'!$B$5&lt;&gt;"",ISNUMBER(SEARCH($A1395,'算罪台'!$B$5))),1,0)</f>
        <v/>
      </c>
      <c r="E1396" s="38">
        <f>IF(AND($A1395&lt;&gt;"",'算罪台'!$B$6&lt;&gt;"",ISNUMBER(SEARCH($A1395,'算罪台'!$B$6))),1,0)</f>
        <v/>
      </c>
    </row>
    <row r="1397">
      <c r="A1397" s="38" t="inlineStr">
        <is>
          <t>飙车</t>
        </is>
      </c>
      <c r="B1397" s="38" t="inlineStr">
        <is>
          <t>飙车</t>
        </is>
      </c>
      <c r="C1397" s="38">
        <f>IF(AND($A1396&lt;&gt;"",'算罪台'!$B$4&lt;&gt;"",ISNUMBER(SEARCH($A1396,'算罪台'!$B$4))),1,0)</f>
        <v/>
      </c>
      <c r="D1397" s="38">
        <f>IF(AND($A1396&lt;&gt;"",'算罪台'!$B$5&lt;&gt;"",ISNUMBER(SEARCH($A1396,'算罪台'!$B$5))),1,0)</f>
        <v/>
      </c>
      <c r="E1397" s="38">
        <f>IF(AND($A1396&lt;&gt;"",'算罪台'!$B$6&lt;&gt;"",ISNUMBER(SEARCH($A1396,'算罪台'!$B$6))),1,0)</f>
        <v/>
      </c>
    </row>
    <row r="1398">
      <c r="A1398" s="38" t="inlineStr">
        <is>
          <t>赛车</t>
        </is>
      </c>
      <c r="B1398" s="38" t="inlineStr">
        <is>
          <t>飙车</t>
        </is>
      </c>
      <c r="C1398" s="38">
        <f>IF(AND($A1397&lt;&gt;"",'算罪台'!$B$4&lt;&gt;"",ISNUMBER(SEARCH($A1397,'算罪台'!$B$4))),1,0)</f>
        <v/>
      </c>
      <c r="D1398" s="38">
        <f>IF(AND($A1397&lt;&gt;"",'算罪台'!$B$5&lt;&gt;"",ISNUMBER(SEARCH($A1397,'算罪台'!$B$5))),1,0)</f>
        <v/>
      </c>
      <c r="E1398" s="38">
        <f>IF(AND($A1397&lt;&gt;"",'算罪台'!$B$6&lt;&gt;"",ISNUMBER(SEARCH($A1397,'算罪台'!$B$6))),1,0)</f>
        <v/>
      </c>
    </row>
    <row r="1399">
      <c r="A1399" s="38" t="inlineStr">
        <is>
          <t>竞速</t>
        </is>
      </c>
      <c r="B1399" s="38" t="inlineStr">
        <is>
          <t>飙车</t>
        </is>
      </c>
      <c r="C1399" s="38">
        <f>IF(AND($A1398&lt;&gt;"",'算罪台'!$B$4&lt;&gt;"",ISNUMBER(SEARCH($A1398,'算罪台'!$B$4))),1,0)</f>
        <v/>
      </c>
      <c r="D1399" s="38">
        <f>IF(AND($A1398&lt;&gt;"",'算罪台'!$B$5&lt;&gt;"",ISNUMBER(SEARCH($A1398,'算罪台'!$B$5))),1,0)</f>
        <v/>
      </c>
      <c r="E1399" s="38">
        <f>IF(AND($A1398&lt;&gt;"",'算罪台'!$B$6&lt;&gt;"",ISNUMBER(SEARCH($A1398,'算罪台'!$B$6))),1,0)</f>
        <v/>
      </c>
    </row>
    <row r="1400">
      <c r="A1400" s="38" t="inlineStr">
        <is>
          <t>街头飙车</t>
        </is>
      </c>
      <c r="B1400" s="38" t="inlineStr">
        <is>
          <t>飙车</t>
        </is>
      </c>
      <c r="C1400" s="38">
        <f>IF(AND($A1399&lt;&gt;"",'算罪台'!$B$4&lt;&gt;"",ISNUMBER(SEARCH($A1399,'算罪台'!$B$4))),1,0)</f>
        <v/>
      </c>
      <c r="D1400" s="38">
        <f>IF(AND($A1399&lt;&gt;"",'算罪台'!$B$5&lt;&gt;"",ISNUMBER(SEARCH($A1399,'算罪台'!$B$5))),1,0)</f>
        <v/>
      </c>
      <c r="E1400" s="38">
        <f>IF(AND($A1399&lt;&gt;"",'算罪台'!$B$6&lt;&gt;"",ISNUMBER(SEARCH($A1399,'算罪台'!$B$6))),1,0)</f>
        <v/>
      </c>
    </row>
    <row r="1401">
      <c r="A1401" s="38" t="inlineStr">
        <is>
          <t>计时竞速</t>
        </is>
      </c>
      <c r="B1401" s="38" t="inlineStr">
        <is>
          <t>飙车</t>
        </is>
      </c>
      <c r="C1401" s="38">
        <f>IF(AND($A1400&lt;&gt;"",'算罪台'!$B$4&lt;&gt;"",ISNUMBER(SEARCH($A1400,'算罪台'!$B$4))),1,0)</f>
        <v/>
      </c>
      <c r="D1401" s="38">
        <f>IF(AND($A1400&lt;&gt;"",'算罪台'!$B$5&lt;&gt;"",ISNUMBER(SEARCH($A1400,'算罪台'!$B$5))),1,0)</f>
        <v/>
      </c>
      <c r="E1401" s="38">
        <f>IF(AND($A1400&lt;&gt;"",'算罪台'!$B$6&lt;&gt;"",ISNUMBER(SEARCH($A1400,'算罪台'!$B$6))),1,0)</f>
        <v/>
      </c>
    </row>
    <row r="1402">
      <c r="A1402" s="38" t="inlineStr">
        <is>
          <t>组织飙车</t>
        </is>
      </c>
      <c r="B1402" s="38" t="inlineStr">
        <is>
          <t>飙车</t>
        </is>
      </c>
      <c r="C1402" s="38">
        <f>IF(AND($A1401&lt;&gt;"",'算罪台'!$B$4&lt;&gt;"",ISNUMBER(SEARCH($A1401,'算罪台'!$B$4))),1,0)</f>
        <v/>
      </c>
      <c r="D1402" s="38">
        <f>IF(AND($A1401&lt;&gt;"",'算罪台'!$B$5&lt;&gt;"",ISNUMBER(SEARCH($A1401,'算罪台'!$B$5))),1,0)</f>
        <v/>
      </c>
      <c r="E1402" s="38">
        <f>IF(AND($A1401&lt;&gt;"",'算罪台'!$B$6&lt;&gt;"",ISNUMBER(SEARCH($A1401,'算罪台'!$B$6))),1,0)</f>
        <v/>
      </c>
    </row>
    <row r="1403">
      <c r="A1403" s="38" t="inlineStr">
        <is>
          <t>公路竞速</t>
        </is>
      </c>
      <c r="B1403" s="38" t="inlineStr">
        <is>
          <t>飙车</t>
        </is>
      </c>
      <c r="C1403" s="38">
        <f>IF(AND($A1402&lt;&gt;"",'算罪台'!$B$4&lt;&gt;"",ISNUMBER(SEARCH($A1402,'算罪台'!$B$4))),1,0)</f>
        <v/>
      </c>
      <c r="D1403" s="38">
        <f>IF(AND($A1402&lt;&gt;"",'算罪台'!$B$5&lt;&gt;"",ISNUMBER(SEARCH($A1402,'算罪台'!$B$5))),1,0)</f>
        <v/>
      </c>
      <c r="E1403" s="38">
        <f>IF(AND($A1402&lt;&gt;"",'算罪台'!$B$6&lt;&gt;"",ISNUMBER(SEARCH($A1402,'算罪台'!$B$6))),1,0)</f>
        <v/>
      </c>
    </row>
    <row r="1404">
      <c r="A1404" s="38" t="inlineStr">
        <is>
          <t>非法竞速</t>
        </is>
      </c>
      <c r="B1404" s="38" t="inlineStr">
        <is>
          <t>飙车</t>
        </is>
      </c>
      <c r="C1404" s="38">
        <f>IF(AND($A1403&lt;&gt;"",'算罪台'!$B$4&lt;&gt;"",ISNUMBER(SEARCH($A1403,'算罪台'!$B$4))),1,0)</f>
        <v/>
      </c>
      <c r="D1404" s="38">
        <f>IF(AND($A1403&lt;&gt;"",'算罪台'!$B$5&lt;&gt;"",ISNUMBER(SEARCH($A1403,'算罪台'!$B$5))),1,0)</f>
        <v/>
      </c>
      <c r="E1404" s="38">
        <f>IF(AND($A1403&lt;&gt;"",'算罪台'!$B$6&lt;&gt;"",ISNUMBER(SEARCH($A1403,'算罪台'!$B$6))),1,0)</f>
        <v/>
      </c>
    </row>
    <row r="1405">
      <c r="A1405" s="38" t="inlineStr">
        <is>
          <t>醉驾</t>
        </is>
      </c>
      <c r="B1405" s="38" t="inlineStr">
        <is>
          <t>醉驾或毒驾</t>
        </is>
      </c>
      <c r="C1405" s="38">
        <f>IF(AND($A1404&lt;&gt;"",'算罪台'!$B$4&lt;&gt;"",ISNUMBER(SEARCH($A1404,'算罪台'!$B$4))),1,0)</f>
        <v/>
      </c>
      <c r="D1405" s="38">
        <f>IF(AND($A1404&lt;&gt;"",'算罪台'!$B$5&lt;&gt;"",ISNUMBER(SEARCH($A1404,'算罪台'!$B$5))),1,0)</f>
        <v/>
      </c>
      <c r="E1405" s="38">
        <f>IF(AND($A1404&lt;&gt;"",'算罪台'!$B$6&lt;&gt;"",ISNUMBER(SEARCH($A1404,'算罪台'!$B$6))),1,0)</f>
        <v/>
      </c>
    </row>
    <row r="1406">
      <c r="A1406" s="38" t="inlineStr">
        <is>
          <t>酒驾</t>
        </is>
      </c>
      <c r="B1406" s="38" t="inlineStr">
        <is>
          <t>醉驾或毒驾</t>
        </is>
      </c>
      <c r="C1406" s="38">
        <f>IF(AND($A1405&lt;&gt;"",'算罪台'!$B$4&lt;&gt;"",ISNUMBER(SEARCH($A1405,'算罪台'!$B$4))),1,0)</f>
        <v/>
      </c>
      <c r="D1406" s="38">
        <f>IF(AND($A1405&lt;&gt;"",'算罪台'!$B$5&lt;&gt;"",ISNUMBER(SEARCH($A1405,'算罪台'!$B$5))),1,0)</f>
        <v/>
      </c>
      <c r="E1406" s="38">
        <f>IF(AND($A1405&lt;&gt;"",'算罪台'!$B$6&lt;&gt;"",ISNUMBER(SEARCH($A1405,'算罪台'!$B$6))),1,0)</f>
        <v/>
      </c>
    </row>
    <row r="1407">
      <c r="A1407" s="38" t="inlineStr">
        <is>
          <t>酒后驾驶</t>
        </is>
      </c>
      <c r="B1407" s="38" t="inlineStr">
        <is>
          <t>醉驾或毒驾</t>
        </is>
      </c>
      <c r="C1407" s="38">
        <f>IF(AND($A1406&lt;&gt;"",'算罪台'!$B$4&lt;&gt;"",ISNUMBER(SEARCH($A1406,'算罪台'!$B$4))),1,0)</f>
        <v/>
      </c>
      <c r="D1407" s="38">
        <f>IF(AND($A1406&lt;&gt;"",'算罪台'!$B$5&lt;&gt;"",ISNUMBER(SEARCH($A1406,'算罪台'!$B$5))),1,0)</f>
        <v/>
      </c>
      <c r="E1407" s="38">
        <f>IF(AND($A1406&lt;&gt;"",'算罪台'!$B$6&lt;&gt;"",ISNUMBER(SEARCH($A1406,'算罪台'!$B$6))),1,0)</f>
        <v/>
      </c>
    </row>
    <row r="1408">
      <c r="A1408" s="38" t="inlineStr">
        <is>
          <t>毒驾</t>
        </is>
      </c>
      <c r="B1408" s="38" t="inlineStr">
        <is>
          <t>醉驾或毒驾</t>
        </is>
      </c>
      <c r="C1408" s="38">
        <f>IF(AND($A1407&lt;&gt;"",'算罪台'!$B$4&lt;&gt;"",ISNUMBER(SEARCH($A1407,'算罪台'!$B$4))),1,0)</f>
        <v/>
      </c>
      <c r="D1408" s="38">
        <f>IF(AND($A1407&lt;&gt;"",'算罪台'!$B$5&lt;&gt;"",ISNUMBER(SEARCH($A1407,'算罪台'!$B$5))),1,0)</f>
        <v/>
      </c>
      <c r="E1408" s="38">
        <f>IF(AND($A1407&lt;&gt;"",'算罪台'!$B$6&lt;&gt;"",ISNUMBER(SEARCH($A1407,'算罪台'!$B$6))),1,0)</f>
        <v/>
      </c>
    </row>
    <row r="1409">
      <c r="A1409" s="38" t="inlineStr">
        <is>
          <t>吸毒驾驶</t>
        </is>
      </c>
      <c r="B1409" s="38" t="inlineStr">
        <is>
          <t>醉驾或毒驾</t>
        </is>
      </c>
      <c r="C1409" s="38">
        <f>IF(AND($A1408&lt;&gt;"",'算罪台'!$B$4&lt;&gt;"",ISNUMBER(SEARCH($A1408,'算罪台'!$B$4))),1,0)</f>
        <v/>
      </c>
      <c r="D1409" s="38">
        <f>IF(AND($A1408&lt;&gt;"",'算罪台'!$B$5&lt;&gt;"",ISNUMBER(SEARCH($A1408,'算罪台'!$B$5))),1,0)</f>
        <v/>
      </c>
      <c r="E1409" s="38">
        <f>IF(AND($A1408&lt;&gt;"",'算罪台'!$B$6&lt;&gt;"",ISNUMBER(SEARCH($A1408,'算罪台'!$B$6))),1,0)</f>
        <v/>
      </c>
    </row>
    <row r="1410">
      <c r="A1410" s="38" t="inlineStr">
        <is>
          <t>喝酒开车</t>
        </is>
      </c>
      <c r="B1410" s="38" t="inlineStr">
        <is>
          <t>醉驾或毒驾</t>
        </is>
      </c>
      <c r="C1410" s="38">
        <f>IF(AND($A1409&lt;&gt;"",'算罪台'!$B$4&lt;&gt;"",ISNUMBER(SEARCH($A1409,'算罪台'!$B$4))),1,0)</f>
        <v/>
      </c>
      <c r="D1410" s="38">
        <f>IF(AND($A1409&lt;&gt;"",'算罪台'!$B$5&lt;&gt;"",ISNUMBER(SEARCH($A1409,'算罪台'!$B$5))),1,0)</f>
        <v/>
      </c>
      <c r="E1410" s="38">
        <f>IF(AND($A1409&lt;&gt;"",'算罪台'!$B$6&lt;&gt;"",ISNUMBER(SEARCH($A1409,'算罪台'!$B$6))),1,0)</f>
        <v/>
      </c>
    </row>
    <row r="1411">
      <c r="A1411" s="38" t="inlineStr">
        <is>
          <t>酒后开车</t>
        </is>
      </c>
      <c r="B1411" s="38" t="inlineStr">
        <is>
          <t>醉驾或毒驾</t>
        </is>
      </c>
      <c r="C1411" s="38">
        <f>IF(AND($A1410&lt;&gt;"",'算罪台'!$B$4&lt;&gt;"",ISNUMBER(SEARCH($A1410,'算罪台'!$B$4))),1,0)</f>
        <v/>
      </c>
      <c r="D1411" s="38">
        <f>IF(AND($A1410&lt;&gt;"",'算罪台'!$B$5&lt;&gt;"",ISNUMBER(SEARCH($A1410,'算罪台'!$B$5))),1,0)</f>
        <v/>
      </c>
      <c r="E1411" s="38">
        <f>IF(AND($A1410&lt;&gt;"",'算罪台'!$B$6&lt;&gt;"",ISNUMBER(SEARCH($A1410,'算罪台'!$B$6))),1,0)</f>
        <v/>
      </c>
    </row>
    <row r="1412">
      <c r="A1412" s="38" t="inlineStr">
        <is>
          <t>醉酒驾驶</t>
        </is>
      </c>
      <c r="B1412" s="38" t="inlineStr">
        <is>
          <t>醉驾或毒驾</t>
        </is>
      </c>
      <c r="C1412" s="38">
        <f>IF(AND($A1411&lt;&gt;"",'算罪台'!$B$4&lt;&gt;"",ISNUMBER(SEARCH($A1411,'算罪台'!$B$4))),1,0)</f>
        <v/>
      </c>
      <c r="D1412" s="38">
        <f>IF(AND($A1411&lt;&gt;"",'算罪台'!$B$5&lt;&gt;"",ISNUMBER(SEARCH($A1411,'算罪台'!$B$5))),1,0)</f>
        <v/>
      </c>
      <c r="E1412" s="38">
        <f>IF(AND($A1411&lt;&gt;"",'算罪台'!$B$6&lt;&gt;"",ISNUMBER(SEARCH($A1411,'算罪台'!$B$6))),1,0)</f>
        <v/>
      </c>
    </row>
    <row r="1413">
      <c r="A1413" s="38" t="inlineStr">
        <is>
          <t>嗑药开车</t>
        </is>
      </c>
      <c r="B1413" s="38" t="inlineStr">
        <is>
          <t>醉驾或毒驾</t>
        </is>
      </c>
      <c r="C1413" s="38">
        <f>IF(AND($A1412&lt;&gt;"",'算罪台'!$B$4&lt;&gt;"",ISNUMBER(SEARCH($A1412,'算罪台'!$B$4))),1,0)</f>
        <v/>
      </c>
      <c r="D1413" s="38">
        <f>IF(AND($A1412&lt;&gt;"",'算罪台'!$B$5&lt;&gt;"",ISNUMBER(SEARCH($A1412,'算罪台'!$B$5))),1,0)</f>
        <v/>
      </c>
      <c r="E1413" s="38">
        <f>IF(AND($A1412&lt;&gt;"",'算罪台'!$B$6&lt;&gt;"",ISNUMBER(SEARCH($A1412,'算罪台'!$B$6))),1,0)</f>
        <v/>
      </c>
    </row>
    <row r="1414">
      <c r="A1414" s="38" t="inlineStr">
        <is>
          <t>严重醉驾</t>
        </is>
      </c>
      <c r="B1414" s="38" t="inlineStr">
        <is>
          <t>严重醉驾或毒驾</t>
        </is>
      </c>
      <c r="C1414" s="38">
        <f>IF(AND($A1413&lt;&gt;"",'算罪台'!$B$4&lt;&gt;"",ISNUMBER(SEARCH($A1413,'算罪台'!$B$4))),1,0)</f>
        <v/>
      </c>
      <c r="D1414" s="38">
        <f>IF(AND($A1413&lt;&gt;"",'算罪台'!$B$5&lt;&gt;"",ISNUMBER(SEARCH($A1413,'算罪台'!$B$5))),1,0)</f>
        <v/>
      </c>
      <c r="E1414" s="38">
        <f>IF(AND($A1413&lt;&gt;"",'算罪台'!$B$6&lt;&gt;"",ISNUMBER(SEARCH($A1413,'算罪台'!$B$6))),1,0)</f>
        <v/>
      </c>
    </row>
    <row r="1415">
      <c r="A1415" s="38" t="inlineStr">
        <is>
          <t>严重酒驾</t>
        </is>
      </c>
      <c r="B1415" s="38" t="inlineStr">
        <is>
          <t>严重醉驾或毒驾</t>
        </is>
      </c>
      <c r="C1415" s="38">
        <f>IF(AND($A1414&lt;&gt;"",'算罪台'!$B$4&lt;&gt;"",ISNUMBER(SEARCH($A1414,'算罪台'!$B$4))),1,0)</f>
        <v/>
      </c>
      <c r="D1415" s="38">
        <f>IF(AND($A1414&lt;&gt;"",'算罪台'!$B$5&lt;&gt;"",ISNUMBER(SEARCH($A1414,'算罪台'!$B$5))),1,0)</f>
        <v/>
      </c>
      <c r="E1415" s="38">
        <f>IF(AND($A1414&lt;&gt;"",'算罪台'!$B$6&lt;&gt;"",ISNUMBER(SEARCH($A1414,'算罪台'!$B$6))),1,0)</f>
        <v/>
      </c>
    </row>
    <row r="1416">
      <c r="A1416" s="38" t="inlineStr">
        <is>
          <t>严重毒驾</t>
        </is>
      </c>
      <c r="B1416" s="38" t="inlineStr">
        <is>
          <t>严重醉驾或毒驾</t>
        </is>
      </c>
      <c r="C1416" s="38">
        <f>IF(AND($A1415&lt;&gt;"",'算罪台'!$B$4&lt;&gt;"",ISNUMBER(SEARCH($A1415,'算罪台'!$B$4))),1,0)</f>
        <v/>
      </c>
      <c r="D1416" s="38">
        <f>IF(AND($A1415&lt;&gt;"",'算罪台'!$B$5&lt;&gt;"",ISNUMBER(SEARCH($A1415,'算罪台'!$B$5))),1,0)</f>
        <v/>
      </c>
      <c r="E1416" s="38">
        <f>IF(AND($A1415&lt;&gt;"",'算罪台'!$B$6&lt;&gt;"",ISNUMBER(SEARCH($A1415,'算罪台'!$B$6))),1,0)</f>
        <v/>
      </c>
    </row>
    <row r="1417">
      <c r="A1417" s="38" t="inlineStr">
        <is>
          <t>醉驾撞人</t>
        </is>
      </c>
      <c r="B1417" s="38" t="inlineStr">
        <is>
          <t>严重醉驾或毒驾</t>
        </is>
      </c>
      <c r="C1417" s="38">
        <f>IF(AND($A1416&lt;&gt;"",'算罪台'!$B$4&lt;&gt;"",ISNUMBER(SEARCH($A1416,'算罪台'!$B$4))),1,0)</f>
        <v/>
      </c>
      <c r="D1417" s="38">
        <f>IF(AND($A1416&lt;&gt;"",'算罪台'!$B$5&lt;&gt;"",ISNUMBER(SEARCH($A1416,'算罪台'!$B$5))),1,0)</f>
        <v/>
      </c>
      <c r="E1417" s="38">
        <f>IF(AND($A1416&lt;&gt;"",'算罪台'!$B$6&lt;&gt;"",ISNUMBER(SEARCH($A1416,'算罪台'!$B$6))),1,0)</f>
        <v/>
      </c>
    </row>
    <row r="1418">
      <c r="A1418" s="38" t="inlineStr">
        <is>
          <t>酒驾肇事</t>
        </is>
      </c>
      <c r="B1418" s="38" t="inlineStr">
        <is>
          <t>严重醉驾或毒驾</t>
        </is>
      </c>
      <c r="C1418" s="38">
        <f>IF(AND($A1417&lt;&gt;"",'算罪台'!$B$4&lt;&gt;"",ISNUMBER(SEARCH($A1417,'算罪台'!$B$4))),1,0)</f>
        <v/>
      </c>
      <c r="D1418" s="38">
        <f>IF(AND($A1417&lt;&gt;"",'算罪台'!$B$5&lt;&gt;"",ISNUMBER(SEARCH($A1417,'算罪台'!$B$5))),1,0)</f>
        <v/>
      </c>
      <c r="E1418" s="38">
        <f>IF(AND($A1417&lt;&gt;"",'算罪台'!$B$6&lt;&gt;"",ISNUMBER(SEARCH($A1417,'算罪台'!$B$6))),1,0)</f>
        <v/>
      </c>
    </row>
    <row r="1419">
      <c r="A1419" s="38" t="inlineStr">
        <is>
          <t>酒驾撞</t>
        </is>
      </c>
      <c r="B1419" s="38" t="inlineStr">
        <is>
          <t>严重醉驾或毒驾</t>
        </is>
      </c>
      <c r="C1419" s="38">
        <f>IF(AND($A1418&lt;&gt;"",'算罪台'!$B$4&lt;&gt;"",ISNUMBER(SEARCH($A1418,'算罪台'!$B$4))),1,0)</f>
        <v/>
      </c>
      <c r="D1419" s="38">
        <f>IF(AND($A1418&lt;&gt;"",'算罪台'!$B$5&lt;&gt;"",ISNUMBER(SEARCH($A1418,'算罪台'!$B$5))),1,0)</f>
        <v/>
      </c>
      <c r="E1419" s="38">
        <f>IF(AND($A1418&lt;&gt;"",'算罪台'!$B$6&lt;&gt;"",ISNUMBER(SEARCH($A1418,'算罪台'!$B$6))),1,0)</f>
        <v/>
      </c>
    </row>
    <row r="1420">
      <c r="A1420" s="38" t="inlineStr">
        <is>
          <t>醉驾肇事</t>
        </is>
      </c>
      <c r="B1420" s="38" t="inlineStr">
        <is>
          <t>严重醉驾或毒驾</t>
        </is>
      </c>
      <c r="C1420" s="38">
        <f>IF(AND($A1419&lt;&gt;"",'算罪台'!$B$4&lt;&gt;"",ISNUMBER(SEARCH($A1419,'算罪台'!$B$4))),1,0)</f>
        <v/>
      </c>
      <c r="D1420" s="38">
        <f>IF(AND($A1419&lt;&gt;"",'算罪台'!$B$5&lt;&gt;"",ISNUMBER(SEARCH($A1419,'算罪台'!$B$5))),1,0)</f>
        <v/>
      </c>
      <c r="E1420" s="38">
        <f>IF(AND($A1419&lt;&gt;"",'算罪台'!$B$6&lt;&gt;"",ISNUMBER(SEARCH($A1419,'算罪台'!$B$6))),1,0)</f>
        <v/>
      </c>
    </row>
    <row r="1421">
      <c r="A1421" s="38" t="inlineStr">
        <is>
          <t>多次酒驾</t>
        </is>
      </c>
      <c r="B1421" s="38" t="inlineStr">
        <is>
          <t>严重醉驾或毒驾</t>
        </is>
      </c>
      <c r="C1421" s="38">
        <f>IF(AND($A1420&lt;&gt;"",'算罪台'!$B$4&lt;&gt;"",ISNUMBER(SEARCH($A1420,'算罪台'!$B$4))),1,0)</f>
        <v/>
      </c>
      <c r="D1421" s="38">
        <f>IF(AND($A1420&lt;&gt;"",'算罪台'!$B$5&lt;&gt;"",ISNUMBER(SEARCH($A1420,'算罪台'!$B$5))),1,0)</f>
        <v/>
      </c>
      <c r="E1421" s="38">
        <f>IF(AND($A1420&lt;&gt;"",'算罪台'!$B$6&lt;&gt;"",ISNUMBER(SEARCH($A1420,'算罪台'!$B$6))),1,0)</f>
        <v/>
      </c>
    </row>
    <row r="1422">
      <c r="A1422" s="38" t="inlineStr">
        <is>
          <t>非法改装</t>
        </is>
      </c>
      <c r="B1422" s="38" t="inlineStr">
        <is>
          <t>非法车辆改装</t>
        </is>
      </c>
      <c r="C1422" s="38">
        <f>IF(AND($A1421&lt;&gt;"",'算罪台'!$B$4&lt;&gt;"",ISNUMBER(SEARCH($A1421,'算罪台'!$B$4))),1,0)</f>
        <v/>
      </c>
      <c r="D1422" s="38">
        <f>IF(AND($A1421&lt;&gt;"",'算罪台'!$B$5&lt;&gt;"",ISNUMBER(SEARCH($A1421,'算罪台'!$B$5))),1,0)</f>
        <v/>
      </c>
      <c r="E1422" s="38">
        <f>IF(AND($A1421&lt;&gt;"",'算罪台'!$B$6&lt;&gt;"",ISNUMBER(SEARCH($A1421,'算罪台'!$B$6))),1,0)</f>
        <v/>
      </c>
    </row>
    <row r="1423">
      <c r="A1423" s="38" t="inlineStr">
        <is>
          <t>改装车</t>
        </is>
      </c>
      <c r="B1423" s="38" t="inlineStr">
        <is>
          <t>非法车辆改装</t>
        </is>
      </c>
      <c r="C1423" s="38">
        <f>IF(AND($A1422&lt;&gt;"",'算罪台'!$B$4&lt;&gt;"",ISNUMBER(SEARCH($A1422,'算罪台'!$B$4))),1,0)</f>
        <v/>
      </c>
      <c r="D1423" s="38">
        <f>IF(AND($A1422&lt;&gt;"",'算罪台'!$B$5&lt;&gt;"",ISNUMBER(SEARCH($A1422,'算罪台'!$B$5))),1,0)</f>
        <v/>
      </c>
      <c r="E1423" s="38">
        <f>IF(AND($A1422&lt;&gt;"",'算罪台'!$B$6&lt;&gt;"",ISNUMBER(SEARCH($A1422,'算罪台'!$B$6))),1,0)</f>
        <v/>
      </c>
    </row>
    <row r="1424">
      <c r="A1424" s="38" t="inlineStr">
        <is>
          <t>氮气改装</t>
        </is>
      </c>
      <c r="B1424" s="38" t="inlineStr">
        <is>
          <t>非法车辆改装</t>
        </is>
      </c>
      <c r="C1424" s="38">
        <f>IF(AND($A1423&lt;&gt;"",'算罪台'!$B$4&lt;&gt;"",ISNUMBER(SEARCH($A1423,'算罪台'!$B$4))),1,0)</f>
        <v/>
      </c>
      <c r="D1424" s="38">
        <f>IF(AND($A1423&lt;&gt;"",'算罪台'!$B$5&lt;&gt;"",ISNUMBER(SEARCH($A1423,'算罪台'!$B$5))),1,0)</f>
        <v/>
      </c>
      <c r="E1424" s="38">
        <f>IF(AND($A1423&lt;&gt;"",'算罪台'!$B$6&lt;&gt;"",ISNUMBER(SEARCH($A1423,'算罪台'!$B$6))),1,0)</f>
        <v/>
      </c>
    </row>
    <row r="1425">
      <c r="A1425" s="38" t="inlineStr">
        <is>
          <t>赛用改装</t>
        </is>
      </c>
      <c r="B1425" s="38" t="inlineStr">
        <is>
          <t>非法车辆改装</t>
        </is>
      </c>
      <c r="C1425" s="38">
        <f>IF(AND($A1424&lt;&gt;"",'算罪台'!$B$4&lt;&gt;"",ISNUMBER(SEARCH($A1424,'算罪台'!$B$4))),1,0)</f>
        <v/>
      </c>
      <c r="D1425" s="38">
        <f>IF(AND($A1424&lt;&gt;"",'算罪台'!$B$5&lt;&gt;"",ISNUMBER(SEARCH($A1424,'算罪台'!$B$5))),1,0)</f>
        <v/>
      </c>
      <c r="E1425" s="38">
        <f>IF(AND($A1424&lt;&gt;"",'算罪台'!$B$6&lt;&gt;"",ISNUMBER(SEARCH($A1424,'算罪台'!$B$6))),1,0)</f>
        <v/>
      </c>
    </row>
    <row r="1426">
      <c r="A1426" s="38" t="inlineStr">
        <is>
          <t>车窗贴膜过深</t>
        </is>
      </c>
      <c r="B1426" s="38" t="inlineStr">
        <is>
          <t>非法车辆改装</t>
        </is>
      </c>
      <c r="C1426" s="38">
        <f>IF(AND($A1425&lt;&gt;"",'算罪台'!$B$4&lt;&gt;"",ISNUMBER(SEARCH($A1425,'算罪台'!$B$4))),1,0)</f>
        <v/>
      </c>
      <c r="D1426" s="38">
        <f>IF(AND($A1425&lt;&gt;"",'算罪台'!$B$5&lt;&gt;"",ISNUMBER(SEARCH($A1425,'算罪台'!$B$5))),1,0)</f>
        <v/>
      </c>
      <c r="E1426" s="38">
        <f>IF(AND($A1425&lt;&gt;"",'算罪台'!$B$6&lt;&gt;"",ISNUMBER(SEARCH($A1425,'算罪台'!$B$6))),1,0)</f>
        <v/>
      </c>
    </row>
    <row r="1427">
      <c r="A1427" s="38" t="inlineStr">
        <is>
          <t>改装套件</t>
        </is>
      </c>
      <c r="B1427" s="38" t="inlineStr">
        <is>
          <t>非法车辆改装</t>
        </is>
      </c>
      <c r="C1427" s="38">
        <f>IF(AND($A1426&lt;&gt;"",'算罪台'!$B$4&lt;&gt;"",ISNUMBER(SEARCH($A1426,'算罪台'!$B$4))),1,0)</f>
        <v/>
      </c>
      <c r="D1427" s="38">
        <f>IF(AND($A1426&lt;&gt;"",'算罪台'!$B$5&lt;&gt;"",ISNUMBER(SEARCH($A1426,'算罪台'!$B$5))),1,0)</f>
        <v/>
      </c>
      <c r="E1427" s="38">
        <f>IF(AND($A1426&lt;&gt;"",'算罪台'!$B$6&lt;&gt;"",ISNUMBER(SEARCH($A1426,'算罪台'!$B$6))),1,0)</f>
        <v/>
      </c>
    </row>
    <row r="1428">
      <c r="A1428" s="38" t="inlineStr">
        <is>
          <t>非法改装车辆</t>
        </is>
      </c>
      <c r="B1428" s="38" t="inlineStr">
        <is>
          <t>非法车辆改装</t>
        </is>
      </c>
      <c r="C1428" s="38">
        <f>IF(AND($A1427&lt;&gt;"",'算罪台'!$B$4&lt;&gt;"",ISNUMBER(SEARCH($A1427,'算罪台'!$B$4))),1,0)</f>
        <v/>
      </c>
      <c r="D1428" s="38">
        <f>IF(AND($A1427&lt;&gt;"",'算罪台'!$B$5&lt;&gt;"",ISNUMBER(SEARCH($A1427,'算罪台'!$B$5))),1,0)</f>
        <v/>
      </c>
      <c r="E1428" s="38">
        <f>IF(AND($A1427&lt;&gt;"",'算罪台'!$B$6&lt;&gt;"",ISNUMBER(SEARCH($A1427,'算罪台'!$B$6))),1,0)</f>
        <v/>
      </c>
    </row>
    <row r="1429">
      <c r="A1429" s="38" t="inlineStr">
        <is>
          <t>加装氮气</t>
        </is>
      </c>
      <c r="B1429" s="38" t="inlineStr">
        <is>
          <t>非法车辆改装</t>
        </is>
      </c>
      <c r="C1429" s="38">
        <f>IF(AND($A1428&lt;&gt;"",'算罪台'!$B$4&lt;&gt;"",ISNUMBER(SEARCH($A1428,'算罪台'!$B$4))),1,0)</f>
        <v/>
      </c>
      <c r="D1429" s="38">
        <f>IF(AND($A1428&lt;&gt;"",'算罪台'!$B$5&lt;&gt;"",ISNUMBER(SEARCH($A1428,'算罪台'!$B$5))),1,0)</f>
        <v/>
      </c>
      <c r="E1429" s="38">
        <f>IF(AND($A1428&lt;&gt;"",'算罪台'!$B$6&lt;&gt;"",ISNUMBER(SEARCH($A1428,'算罪台'!$B$6))),1,0)</f>
        <v/>
      </c>
    </row>
    <row r="1430">
      <c r="A1430" s="38" t="inlineStr">
        <is>
          <t>暴力改装</t>
        </is>
      </c>
      <c r="B1430" s="38" t="inlineStr">
        <is>
          <t>非法车辆改装</t>
        </is>
      </c>
      <c r="C1430" s="38">
        <f>IF(AND($A1429&lt;&gt;"",'算罪台'!$B$4&lt;&gt;"",ISNUMBER(SEARCH($A1429,'算罪台'!$B$4))),1,0)</f>
        <v/>
      </c>
      <c r="D1430" s="38">
        <f>IF(AND($A1429&lt;&gt;"",'算罪台'!$B$5&lt;&gt;"",ISNUMBER(SEARCH($A1429,'算罪台'!$B$5))),1,0)</f>
        <v/>
      </c>
      <c r="E1430" s="38">
        <f>IF(AND($A1429&lt;&gt;"",'算罪台'!$B$6&lt;&gt;"",ISNUMBER(SEARCH($A1429,'算罪台'!$B$6))),1,0)</f>
        <v/>
      </c>
    </row>
    <row r="1431">
      <c r="A1431" s="38" t="inlineStr">
        <is>
          <t>售卖非注册商品</t>
        </is>
      </c>
      <c r="B1431" s="38" t="inlineStr">
        <is>
          <t>售卖非注册商品</t>
        </is>
      </c>
      <c r="C1431" s="38">
        <f>IF(AND($A1430&lt;&gt;"",'算罪台'!$B$4&lt;&gt;"",ISNUMBER(SEARCH($A1430,'算罪台'!$B$4))),1,0)</f>
        <v/>
      </c>
      <c r="D1431" s="38">
        <f>IF(AND($A1430&lt;&gt;"",'算罪台'!$B$5&lt;&gt;"",ISNUMBER(SEARCH($A1430,'算罪台'!$B$5))),1,0)</f>
        <v/>
      </c>
      <c r="E1431" s="38">
        <f>IF(AND($A1430&lt;&gt;"",'算罪台'!$B$6&lt;&gt;"",ISNUMBER(SEARCH($A1430,'算罪台'!$B$6))),1,0)</f>
        <v/>
      </c>
    </row>
    <row r="1432">
      <c r="A1432" s="38" t="inlineStr">
        <is>
          <t>卖非注册商品</t>
        </is>
      </c>
      <c r="B1432" s="38" t="inlineStr">
        <is>
          <t>售卖非注册商品</t>
        </is>
      </c>
      <c r="C1432" s="38">
        <f>IF(AND($A1431&lt;&gt;"",'算罪台'!$B$4&lt;&gt;"",ISNUMBER(SEARCH($A1431,'算罪台'!$B$4))),1,0)</f>
        <v/>
      </c>
      <c r="D1432" s="38">
        <f>IF(AND($A1431&lt;&gt;"",'算罪台'!$B$5&lt;&gt;"",ISNUMBER(SEARCH($A1431,'算罪台'!$B$5))),1,0)</f>
        <v/>
      </c>
      <c r="E1432" s="38">
        <f>IF(AND($A1431&lt;&gt;"",'算罪台'!$B$6&lt;&gt;"",ISNUMBER(SEARCH($A1431,'算罪台'!$B$6))),1,0)</f>
        <v/>
      </c>
    </row>
    <row r="1433">
      <c r="A1433" s="38" t="inlineStr">
        <is>
          <t>卖违规商品</t>
        </is>
      </c>
      <c r="B1433" s="38" t="inlineStr">
        <is>
          <t>售卖非注册商品</t>
        </is>
      </c>
      <c r="C1433" s="38">
        <f>IF(AND($A1432&lt;&gt;"",'算罪台'!$B$4&lt;&gt;"",ISNUMBER(SEARCH($A1432,'算罪台'!$B$4))),1,0)</f>
        <v/>
      </c>
      <c r="D1433" s="38">
        <f>IF(AND($A1432&lt;&gt;"",'算罪台'!$B$5&lt;&gt;"",ISNUMBER(SEARCH($A1432,'算罪台'!$B$5))),1,0)</f>
        <v/>
      </c>
      <c r="E1433" s="38">
        <f>IF(AND($A1432&lt;&gt;"",'算罪台'!$B$6&lt;&gt;"",ISNUMBER(SEARCH($A1432,'算罪台'!$B$6))),1,0)</f>
        <v/>
      </c>
    </row>
    <row r="1434">
      <c r="A1434" s="38" t="inlineStr">
        <is>
          <t>出售非注册</t>
        </is>
      </c>
      <c r="B1434" s="38" t="inlineStr">
        <is>
          <t>售卖非注册商品</t>
        </is>
      </c>
      <c r="C1434" s="38">
        <f>IF(AND($A1433&lt;&gt;"",'算罪台'!$B$4&lt;&gt;"",ISNUMBER(SEARCH($A1433,'算罪台'!$B$4))),1,0)</f>
        <v/>
      </c>
      <c r="D1434" s="38">
        <f>IF(AND($A1433&lt;&gt;"",'算罪台'!$B$5&lt;&gt;"",ISNUMBER(SEARCH($A1433,'算罪台'!$B$5))),1,0)</f>
        <v/>
      </c>
      <c r="E1434" s="38">
        <f>IF(AND($A1433&lt;&gt;"",'算罪台'!$B$6&lt;&gt;"",ISNUMBER(SEARCH($A1433,'算罪台'!$B$6))),1,0)</f>
        <v/>
      </c>
    </row>
    <row r="1435">
      <c r="A1435" s="38" t="inlineStr">
        <is>
          <t>卖非法商品</t>
        </is>
      </c>
      <c r="B1435" s="38" t="inlineStr">
        <is>
          <t>售卖非注册商品</t>
        </is>
      </c>
      <c r="C1435" s="38">
        <f>IF(AND($A1434&lt;&gt;"",'算罪台'!$B$4&lt;&gt;"",ISNUMBER(SEARCH($A1434,'算罪台'!$B$4))),1,0)</f>
        <v/>
      </c>
      <c r="D1435" s="38">
        <f>IF(AND($A1434&lt;&gt;"",'算罪台'!$B$5&lt;&gt;"",ISNUMBER(SEARCH($A1434,'算罪台'!$B$5))),1,0)</f>
        <v/>
      </c>
      <c r="E1435" s="38">
        <f>IF(AND($A1434&lt;&gt;"",'算罪台'!$B$6&lt;&gt;"",ISNUMBER(SEARCH($A1434,'算罪台'!$B$6))),1,0)</f>
        <v/>
      </c>
    </row>
    <row r="1436">
      <c r="A1436" s="38" t="inlineStr">
        <is>
          <t>贩卖非注册</t>
        </is>
      </c>
      <c r="B1436" s="38" t="inlineStr">
        <is>
          <t>售卖非注册商品</t>
        </is>
      </c>
      <c r="C1436" s="38">
        <f>IF(AND($A1435&lt;&gt;"",'算罪台'!$B$4&lt;&gt;"",ISNUMBER(SEARCH($A1435,'算罪台'!$B$4))),1,0)</f>
        <v/>
      </c>
      <c r="D1436" s="38">
        <f>IF(AND($A1435&lt;&gt;"",'算罪台'!$B$5&lt;&gt;"",ISNUMBER(SEARCH($A1435,'算罪台'!$B$5))),1,0)</f>
        <v/>
      </c>
      <c r="E1436" s="38">
        <f>IF(AND($A1435&lt;&gt;"",'算罪台'!$B$6&lt;&gt;"",ISNUMBER(SEARCH($A1435,'算罪台'!$B$6))),1,0)</f>
        <v/>
      </c>
    </row>
    <row r="1437">
      <c r="A1437" s="38" t="inlineStr">
        <is>
          <t>虚假报价</t>
        </is>
      </c>
      <c r="B1437" s="38" t="inlineStr">
        <is>
          <t>虚假报价</t>
        </is>
      </c>
      <c r="C1437" s="38">
        <f>IF(AND($A1436&lt;&gt;"",'算罪台'!$B$4&lt;&gt;"",ISNUMBER(SEARCH($A1436,'算罪台'!$B$4))),1,0)</f>
        <v/>
      </c>
      <c r="D1437" s="38">
        <f>IF(AND($A1436&lt;&gt;"",'算罪台'!$B$5&lt;&gt;"",ISNUMBER(SEARCH($A1436,'算罪台'!$B$5))),1,0)</f>
        <v/>
      </c>
      <c r="E1437" s="38">
        <f>IF(AND($A1436&lt;&gt;"",'算罪台'!$B$6&lt;&gt;"",ISNUMBER(SEARCH($A1436,'算罪台'!$B$6))),1,0)</f>
        <v/>
      </c>
    </row>
    <row r="1438">
      <c r="A1438" s="38" t="inlineStr">
        <is>
          <t>虚报价格</t>
        </is>
      </c>
      <c r="B1438" s="38" t="inlineStr">
        <is>
          <t>虚假报价</t>
        </is>
      </c>
      <c r="C1438" s="38">
        <f>IF(AND($A1437&lt;&gt;"",'算罪台'!$B$4&lt;&gt;"",ISNUMBER(SEARCH($A1437,'算罪台'!$B$4))),1,0)</f>
        <v/>
      </c>
      <c r="D1438" s="38">
        <f>IF(AND($A1437&lt;&gt;"",'算罪台'!$B$5&lt;&gt;"",ISNUMBER(SEARCH($A1437,'算罪台'!$B$5))),1,0)</f>
        <v/>
      </c>
      <c r="E1438" s="38">
        <f>IF(AND($A1437&lt;&gt;"",'算罪台'!$B$6&lt;&gt;"",ISNUMBER(SEARCH($A1437,'算罪台'!$B$6))),1,0)</f>
        <v/>
      </c>
    </row>
    <row r="1439">
      <c r="A1439" s="38" t="inlineStr">
        <is>
          <t>乱报价</t>
        </is>
      </c>
      <c r="B1439" s="38" t="inlineStr">
        <is>
          <t>虚假报价</t>
        </is>
      </c>
      <c r="C1439" s="38">
        <f>IF(AND($A1438&lt;&gt;"",'算罪台'!$B$4&lt;&gt;"",ISNUMBER(SEARCH($A1438,'算罪台'!$B$4))),1,0)</f>
        <v/>
      </c>
      <c r="D1439" s="38">
        <f>IF(AND($A1438&lt;&gt;"",'算罪台'!$B$5&lt;&gt;"",ISNUMBER(SEARCH($A1438,'算罪台'!$B$5))),1,0)</f>
        <v/>
      </c>
      <c r="E1439" s="38">
        <f>IF(AND($A1438&lt;&gt;"",'算罪台'!$B$6&lt;&gt;"",ISNUMBER(SEARCH($A1438,'算罪台'!$B$6))),1,0)</f>
        <v/>
      </c>
    </row>
    <row r="1440">
      <c r="A1440" s="38" t="inlineStr">
        <is>
          <t>谎报价格</t>
        </is>
      </c>
      <c r="B1440" s="38" t="inlineStr">
        <is>
          <t>虚假报价</t>
        </is>
      </c>
      <c r="C1440" s="38">
        <f>IF(AND($A1439&lt;&gt;"",'算罪台'!$B$4&lt;&gt;"",ISNUMBER(SEARCH($A1439,'算罪台'!$B$4))),1,0)</f>
        <v/>
      </c>
      <c r="D1440" s="38">
        <f>IF(AND($A1439&lt;&gt;"",'算罪台'!$B$5&lt;&gt;"",ISNUMBER(SEARCH($A1439,'算罪台'!$B$5))),1,0)</f>
        <v/>
      </c>
      <c r="E1440" s="38">
        <f>IF(AND($A1439&lt;&gt;"",'算罪台'!$B$6&lt;&gt;"",ISNUMBER(SEARCH($A1439,'算罪台'!$B$6))),1,0)</f>
        <v/>
      </c>
    </row>
    <row r="1441">
      <c r="A1441" s="38" t="inlineStr">
        <is>
          <t>虚报商品价格</t>
        </is>
      </c>
      <c r="B1441" s="38" t="inlineStr">
        <is>
          <t>虚假报价</t>
        </is>
      </c>
      <c r="C1441" s="38">
        <f>IF(AND($A1440&lt;&gt;"",'算罪台'!$B$4&lt;&gt;"",ISNUMBER(SEARCH($A1440,'算罪台'!$B$4))),1,0)</f>
        <v/>
      </c>
      <c r="D1441" s="38">
        <f>IF(AND($A1440&lt;&gt;"",'算罪台'!$B$5&lt;&gt;"",ISNUMBER(SEARCH($A1440,'算罪台'!$B$5))),1,0)</f>
        <v/>
      </c>
      <c r="E1441" s="38">
        <f>IF(AND($A1440&lt;&gt;"",'算罪台'!$B$6&lt;&gt;"",ISNUMBER(SEARCH($A1440,'算罪台'!$B$6))),1,0)</f>
        <v/>
      </c>
    </row>
    <row r="1442">
      <c r="A1442" s="38" t="inlineStr">
        <is>
          <t>报价造假</t>
        </is>
      </c>
      <c r="B1442" s="38" t="inlineStr">
        <is>
          <t>虚假报价</t>
        </is>
      </c>
      <c r="C1442" s="38">
        <f>IF(AND($A1441&lt;&gt;"",'算罪台'!$B$4&lt;&gt;"",ISNUMBER(SEARCH($A1441,'算罪台'!$B$4))),1,0)</f>
        <v/>
      </c>
      <c r="D1442" s="38">
        <f>IF(AND($A1441&lt;&gt;"",'算罪台'!$B$5&lt;&gt;"",ISNUMBER(SEARCH($A1441,'算罪台'!$B$5))),1,0)</f>
        <v/>
      </c>
      <c r="E1442" s="38">
        <f>IF(AND($A1441&lt;&gt;"",'算罪台'!$B$6&lt;&gt;"",ISNUMBER(SEARCH($A1441,'算罪台'!$B$6))),1,0)</f>
        <v/>
      </c>
    </row>
    <row r="1443">
      <c r="A1443" s="38" t="inlineStr">
        <is>
          <t>非法经营</t>
        </is>
      </c>
      <c r="B1443" s="38" t="inlineStr">
        <is>
          <t>非法经营</t>
        </is>
      </c>
      <c r="C1443" s="38">
        <f>IF(AND($A1442&lt;&gt;"",'算罪台'!$B$4&lt;&gt;"",ISNUMBER(SEARCH($A1442,'算罪台'!$B$4))),1,0)</f>
        <v/>
      </c>
      <c r="D1443" s="38">
        <f>IF(AND($A1442&lt;&gt;"",'算罪台'!$B$5&lt;&gt;"",ISNUMBER(SEARCH($A1442,'算罪台'!$B$5))),1,0)</f>
        <v/>
      </c>
      <c r="E1443" s="38">
        <f>IF(AND($A1442&lt;&gt;"",'算罪台'!$B$6&lt;&gt;"",ISNUMBER(SEARCH($A1442,'算罪台'!$B$6))),1,0)</f>
        <v/>
      </c>
    </row>
    <row r="1444">
      <c r="A1444" s="38" t="inlineStr">
        <is>
          <t>无证经营</t>
        </is>
      </c>
      <c r="B1444" s="38" t="inlineStr">
        <is>
          <t>非法经营</t>
        </is>
      </c>
      <c r="C1444" s="38">
        <f>IF(AND($A1443&lt;&gt;"",'算罪台'!$B$4&lt;&gt;"",ISNUMBER(SEARCH($A1443,'算罪台'!$B$4))),1,0)</f>
        <v/>
      </c>
      <c r="D1444" s="38">
        <f>IF(AND($A1443&lt;&gt;"",'算罪台'!$B$5&lt;&gt;"",ISNUMBER(SEARCH($A1443,'算罪台'!$B$5))),1,0)</f>
        <v/>
      </c>
      <c r="E1444" s="38">
        <f>IF(AND($A1443&lt;&gt;"",'算罪台'!$B$6&lt;&gt;"",ISNUMBER(SEARCH($A1443,'算罪台'!$B$6))),1,0)</f>
        <v/>
      </c>
    </row>
    <row r="1445">
      <c r="A1445" s="38" t="inlineStr">
        <is>
          <t>无营业许可</t>
        </is>
      </c>
      <c r="B1445" s="38" t="inlineStr">
        <is>
          <t>非法经营</t>
        </is>
      </c>
      <c r="C1445" s="38">
        <f>IF(AND($A1444&lt;&gt;"",'算罪台'!$B$4&lt;&gt;"",ISNUMBER(SEARCH($A1444,'算罪台'!$B$4))),1,0)</f>
        <v/>
      </c>
      <c r="D1445" s="38">
        <f>IF(AND($A1444&lt;&gt;"",'算罪台'!$B$5&lt;&gt;"",ISNUMBER(SEARCH($A1444,'算罪台'!$B$5))),1,0)</f>
        <v/>
      </c>
      <c r="E1445" s="38">
        <f>IF(AND($A1444&lt;&gt;"",'算罪台'!$B$6&lt;&gt;"",ISNUMBER(SEARCH($A1444,'算罪台'!$B$6))),1,0)</f>
        <v/>
      </c>
    </row>
    <row r="1446">
      <c r="A1446" s="38" t="inlineStr">
        <is>
          <t>没营业执照经营</t>
        </is>
      </c>
      <c r="B1446" s="38" t="inlineStr">
        <is>
          <t>非法经营</t>
        </is>
      </c>
      <c r="C1446" s="38">
        <f>IF(AND($A1445&lt;&gt;"",'算罪台'!$B$4&lt;&gt;"",ISNUMBER(SEARCH($A1445,'算罪台'!$B$4))),1,0)</f>
        <v/>
      </c>
      <c r="D1446" s="38">
        <f>IF(AND($A1445&lt;&gt;"",'算罪台'!$B$5&lt;&gt;"",ISNUMBER(SEARCH($A1445,'算罪台'!$B$5))),1,0)</f>
        <v/>
      </c>
      <c r="E1446" s="38">
        <f>IF(AND($A1445&lt;&gt;"",'算罪台'!$B$6&lt;&gt;"",ISNUMBER(SEARCH($A1445,'算罪台'!$B$6))),1,0)</f>
        <v/>
      </c>
    </row>
    <row r="1447">
      <c r="A1447" s="38" t="inlineStr">
        <is>
          <t>黑店经营</t>
        </is>
      </c>
      <c r="B1447" s="38" t="inlineStr">
        <is>
          <t>非法经营</t>
        </is>
      </c>
      <c r="C1447" s="38">
        <f>IF(AND($A1446&lt;&gt;"",'算罪台'!$B$4&lt;&gt;"",ISNUMBER(SEARCH($A1446,'算罪台'!$B$4))),1,0)</f>
        <v/>
      </c>
      <c r="D1447" s="38">
        <f>IF(AND($A1446&lt;&gt;"",'算罪台'!$B$5&lt;&gt;"",ISNUMBER(SEARCH($A1446,'算罪台'!$B$5))),1,0)</f>
        <v/>
      </c>
      <c r="E1447" s="38">
        <f>IF(AND($A1446&lt;&gt;"",'算罪台'!$B$6&lt;&gt;"",ISNUMBER(SEARCH($A1446,'算罪台'!$B$6))),1,0)</f>
        <v/>
      </c>
    </row>
    <row r="1448">
      <c r="A1448" s="38" t="inlineStr">
        <is>
          <t>未申请经营</t>
        </is>
      </c>
      <c r="B1448" s="38" t="inlineStr">
        <is>
          <t>非法经营</t>
        </is>
      </c>
      <c r="C1448" s="38">
        <f>IF(AND($A1447&lt;&gt;"",'算罪台'!$B$4&lt;&gt;"",ISNUMBER(SEARCH($A1447,'算罪台'!$B$4))),1,0)</f>
        <v/>
      </c>
      <c r="D1448" s="38">
        <f>IF(AND($A1447&lt;&gt;"",'算罪台'!$B$5&lt;&gt;"",ISNUMBER(SEARCH($A1447,'算罪台'!$B$5))),1,0)</f>
        <v/>
      </c>
      <c r="E1448" s="38">
        <f>IF(AND($A1447&lt;&gt;"",'算罪台'!$B$6&lt;&gt;"",ISNUMBER(SEARCH($A1447,'算罪台'!$B$6))),1,0)</f>
        <v/>
      </c>
    </row>
    <row r="1449">
      <c r="A1449" s="38" t="inlineStr">
        <is>
          <t>无照经营</t>
        </is>
      </c>
      <c r="B1449" s="38" t="inlineStr">
        <is>
          <t>非法经营</t>
        </is>
      </c>
      <c r="C1449" s="38">
        <f>IF(AND($A1448&lt;&gt;"",'算罪台'!$B$4&lt;&gt;"",ISNUMBER(SEARCH($A1448,'算罪台'!$B$4))),1,0)</f>
        <v/>
      </c>
      <c r="D1449" s="38">
        <f>IF(AND($A1448&lt;&gt;"",'算罪台'!$B$5&lt;&gt;"",ISNUMBER(SEARCH($A1448,'算罪台'!$B$5))),1,0)</f>
        <v/>
      </c>
      <c r="E1449" s="38">
        <f>IF(AND($A1448&lt;&gt;"",'算罪台'!$B$6&lt;&gt;"",ISNUMBER(SEARCH($A1448,'算罪台'!$B$6))),1,0)</f>
        <v/>
      </c>
    </row>
    <row r="1450">
      <c r="A1450" s="38" t="inlineStr">
        <is>
          <t>拒绝食品检查</t>
        </is>
      </c>
      <c r="B1450" s="38" t="inlineStr">
        <is>
          <t>拒绝食品/监督检查</t>
        </is>
      </c>
      <c r="C1450" s="38">
        <f>IF(AND($A1449&lt;&gt;"",'算罪台'!$B$4&lt;&gt;"",ISNUMBER(SEARCH($A1449,'算罪台'!$B$4))),1,0)</f>
        <v/>
      </c>
      <c r="D1450" s="38">
        <f>IF(AND($A1449&lt;&gt;"",'算罪台'!$B$5&lt;&gt;"",ISNUMBER(SEARCH($A1449,'算罪台'!$B$5))),1,0)</f>
        <v/>
      </c>
      <c r="E1450" s="38">
        <f>IF(AND($A1449&lt;&gt;"",'算罪台'!$B$6&lt;&gt;"",ISNUMBER(SEARCH($A1449,'算罪台'!$B$6))),1,0)</f>
        <v/>
      </c>
    </row>
    <row r="1451">
      <c r="A1451" s="38" t="inlineStr">
        <is>
          <t>拒绝监督检查</t>
        </is>
      </c>
      <c r="B1451" s="38" t="inlineStr">
        <is>
          <t>拒绝食品/监督检查</t>
        </is>
      </c>
      <c r="C1451" s="38">
        <f>IF(AND($A1450&lt;&gt;"",'算罪台'!$B$4&lt;&gt;"",ISNUMBER(SEARCH($A1450,'算罪台'!$B$4))),1,0)</f>
        <v/>
      </c>
      <c r="D1451" s="38">
        <f>IF(AND($A1450&lt;&gt;"",'算罪台'!$B$5&lt;&gt;"",ISNUMBER(SEARCH($A1450,'算罪台'!$B$5))),1,0)</f>
        <v/>
      </c>
      <c r="E1451" s="38">
        <f>IF(AND($A1450&lt;&gt;"",'算罪台'!$B$6&lt;&gt;"",ISNUMBER(SEARCH($A1450,'算罪台'!$B$6))),1,0)</f>
        <v/>
      </c>
    </row>
    <row r="1452">
      <c r="A1452" s="38" t="inlineStr">
        <is>
          <t>阻挠食品安全检查</t>
        </is>
      </c>
      <c r="B1452" s="38" t="inlineStr">
        <is>
          <t>拒绝食品/监督检查</t>
        </is>
      </c>
      <c r="C1452" s="38">
        <f>IF(AND($A1451&lt;&gt;"",'算罪台'!$B$4&lt;&gt;"",ISNUMBER(SEARCH($A1451,'算罪台'!$B$4))),1,0)</f>
        <v/>
      </c>
      <c r="D1452" s="38">
        <f>IF(AND($A1451&lt;&gt;"",'算罪台'!$B$5&lt;&gt;"",ISNUMBER(SEARCH($A1451,'算罪台'!$B$5))),1,0)</f>
        <v/>
      </c>
      <c r="E1452" s="38">
        <f>IF(AND($A1451&lt;&gt;"",'算罪台'!$B$6&lt;&gt;"",ISNUMBER(SEARCH($A1451,'算罪台'!$B$6))),1,0)</f>
        <v/>
      </c>
    </row>
    <row r="1453">
      <c r="A1453" s="38" t="inlineStr">
        <is>
          <t>拒绝营业检查</t>
        </is>
      </c>
      <c r="B1453" s="38" t="inlineStr">
        <is>
          <t>拒绝食品/监督检查</t>
        </is>
      </c>
      <c r="C1453" s="38">
        <f>IF(AND($A1452&lt;&gt;"",'算罪台'!$B$4&lt;&gt;"",ISNUMBER(SEARCH($A1452,'算罪台'!$B$4))),1,0)</f>
        <v/>
      </c>
      <c r="D1453" s="38">
        <f>IF(AND($A1452&lt;&gt;"",'算罪台'!$B$5&lt;&gt;"",ISNUMBER(SEARCH($A1452,'算罪台'!$B$5))),1,0)</f>
        <v/>
      </c>
      <c r="E1453" s="38">
        <f>IF(AND($A1452&lt;&gt;"",'算罪台'!$B$6&lt;&gt;"",ISNUMBER(SEARCH($A1452,'算罪台'!$B$6))),1,0)</f>
        <v/>
      </c>
    </row>
    <row r="1454">
      <c r="A1454" s="38" t="inlineStr">
        <is>
          <t>干涉监督检查</t>
        </is>
      </c>
      <c r="B1454" s="38" t="inlineStr">
        <is>
          <t>拒绝食品/监督检查</t>
        </is>
      </c>
      <c r="C1454" s="38">
        <f>IF(AND($A1453&lt;&gt;"",'算罪台'!$B$4&lt;&gt;"",ISNUMBER(SEARCH($A1453,'算罪台'!$B$4))),1,0)</f>
        <v/>
      </c>
      <c r="D1454" s="38">
        <f>IF(AND($A1453&lt;&gt;"",'算罪台'!$B$5&lt;&gt;"",ISNUMBER(SEARCH($A1453,'算罪台'!$B$5))),1,0)</f>
        <v/>
      </c>
      <c r="E1454" s="38">
        <f>IF(AND($A1453&lt;&gt;"",'算罪台'!$B$6&lt;&gt;"",ISNUMBER(SEARCH($A1453,'算罪台'!$B$6))),1,0)</f>
        <v/>
      </c>
    </row>
    <row r="1455">
      <c r="A1455" s="38" t="inlineStr">
        <is>
          <t>拒绝风险评估</t>
        </is>
      </c>
      <c r="B1455" s="38" t="inlineStr">
        <is>
          <t>拒绝食品/监督检查</t>
        </is>
      </c>
      <c r="C1455" s="38">
        <f>IF(AND($A1454&lt;&gt;"",'算罪台'!$B$4&lt;&gt;"",ISNUMBER(SEARCH($A1454,'算罪台'!$B$4))),1,0)</f>
        <v/>
      </c>
      <c r="D1455" s="38">
        <f>IF(AND($A1454&lt;&gt;"",'算罪台'!$B$5&lt;&gt;"",ISNUMBER(SEARCH($A1454,'算罪台'!$B$5))),1,0)</f>
        <v/>
      </c>
      <c r="E1455" s="38">
        <f>IF(AND($A1454&lt;&gt;"",'算罪台'!$B$6&lt;&gt;"",ISNUMBER(SEARCH($A1454,'算罪台'!$B$6))),1,0)</f>
        <v/>
      </c>
    </row>
    <row r="1456">
      <c r="A1456" s="38" t="inlineStr">
        <is>
          <t>阻挠事故调查</t>
        </is>
      </c>
      <c r="B1456" s="38" t="inlineStr">
        <is>
          <t>拒绝食品/监督检查</t>
        </is>
      </c>
      <c r="C1456" s="38">
        <f>IF(AND($A1455&lt;&gt;"",'算罪台'!$B$4&lt;&gt;"",ISNUMBER(SEARCH($A1455,'算罪台'!$B$4))),1,0)</f>
        <v/>
      </c>
      <c r="D1456" s="38">
        <f>IF(AND($A1455&lt;&gt;"",'算罪台'!$B$5&lt;&gt;"",ISNUMBER(SEARCH($A1455,'算罪台'!$B$5))),1,0)</f>
        <v/>
      </c>
      <c r="E1456" s="38">
        <f>IF(AND($A1455&lt;&gt;"",'算罪台'!$B$6&lt;&gt;"",ISNUMBER(SEARCH($A1455,'算罪台'!$B$6))),1,0)</f>
        <v/>
      </c>
    </row>
    <row r="1457">
      <c r="A1457" s="38" t="inlineStr">
        <is>
          <t>拒绝缴税</t>
        </is>
      </c>
      <c r="B1457" s="38" t="inlineStr">
        <is>
          <t>拒绝缴纳税款</t>
        </is>
      </c>
      <c r="C1457" s="38">
        <f>IF(AND($A1456&lt;&gt;"",'算罪台'!$B$4&lt;&gt;"",ISNUMBER(SEARCH($A1456,'算罪台'!$B$4))),1,0)</f>
        <v/>
      </c>
      <c r="D1457" s="38">
        <f>IF(AND($A1456&lt;&gt;"",'算罪台'!$B$5&lt;&gt;"",ISNUMBER(SEARCH($A1456,'算罪台'!$B$5))),1,0)</f>
        <v/>
      </c>
      <c r="E1457" s="38">
        <f>IF(AND($A1456&lt;&gt;"",'算罪台'!$B$6&lt;&gt;"",ISNUMBER(SEARCH($A1456,'算罪台'!$B$6))),1,0)</f>
        <v/>
      </c>
    </row>
    <row r="1458">
      <c r="A1458" s="38" t="inlineStr">
        <is>
          <t>偷税</t>
        </is>
      </c>
      <c r="B1458" s="38" t="inlineStr">
        <is>
          <t>拒绝缴纳税款</t>
        </is>
      </c>
      <c r="C1458" s="38">
        <f>IF(AND($A1457&lt;&gt;"",'算罪台'!$B$4&lt;&gt;"",ISNUMBER(SEARCH($A1457,'算罪台'!$B$4))),1,0)</f>
        <v/>
      </c>
      <c r="D1458" s="38">
        <f>IF(AND($A1457&lt;&gt;"",'算罪台'!$B$5&lt;&gt;"",ISNUMBER(SEARCH($A1457,'算罪台'!$B$5))),1,0)</f>
        <v/>
      </c>
      <c r="E1458" s="38">
        <f>IF(AND($A1457&lt;&gt;"",'算罪台'!$B$6&lt;&gt;"",ISNUMBER(SEARCH($A1457,'算罪台'!$B$6))),1,0)</f>
        <v/>
      </c>
    </row>
    <row r="1459">
      <c r="A1459" s="38" t="inlineStr">
        <is>
          <t>逃税</t>
        </is>
      </c>
      <c r="B1459" s="38" t="inlineStr">
        <is>
          <t>拒绝缴纳税款</t>
        </is>
      </c>
      <c r="C1459" s="38">
        <f>IF(AND($A1458&lt;&gt;"",'算罪台'!$B$4&lt;&gt;"",ISNUMBER(SEARCH($A1458,'算罪台'!$B$4))),1,0)</f>
        <v/>
      </c>
      <c r="D1459" s="38">
        <f>IF(AND($A1458&lt;&gt;"",'算罪台'!$B$5&lt;&gt;"",ISNUMBER(SEARCH($A1458,'算罪台'!$B$5))),1,0)</f>
        <v/>
      </c>
      <c r="E1459" s="38">
        <f>IF(AND($A1458&lt;&gt;"",'算罪台'!$B$6&lt;&gt;"",ISNUMBER(SEARCH($A1458,'算罪台'!$B$6))),1,0)</f>
        <v/>
      </c>
    </row>
    <row r="1460">
      <c r="A1460" s="38" t="inlineStr">
        <is>
          <t>拒缴税款</t>
        </is>
      </c>
      <c r="B1460" s="38" t="inlineStr">
        <is>
          <t>拒绝缴纳税款</t>
        </is>
      </c>
      <c r="C1460" s="38">
        <f>IF(AND($A1459&lt;&gt;"",'算罪台'!$B$4&lt;&gt;"",ISNUMBER(SEARCH($A1459,'算罪台'!$B$4))),1,0)</f>
        <v/>
      </c>
      <c r="D1460" s="38">
        <f>IF(AND($A1459&lt;&gt;"",'算罪台'!$B$5&lt;&gt;"",ISNUMBER(SEARCH($A1459,'算罪台'!$B$5))),1,0)</f>
        <v/>
      </c>
      <c r="E1460" s="38">
        <f>IF(AND($A1459&lt;&gt;"",'算罪台'!$B$6&lt;&gt;"",ISNUMBER(SEARCH($A1459,'算罪台'!$B$6))),1,0)</f>
        <v/>
      </c>
    </row>
    <row r="1461">
      <c r="A1461" s="38" t="inlineStr">
        <is>
          <t>推脱缴税</t>
        </is>
      </c>
      <c r="B1461" s="38" t="inlineStr">
        <is>
          <t>拒绝缴纳税款</t>
        </is>
      </c>
      <c r="C1461" s="38">
        <f>IF(AND($A1460&lt;&gt;"",'算罪台'!$B$4&lt;&gt;"",ISNUMBER(SEARCH($A1460,'算罪台'!$B$4))),1,0)</f>
        <v/>
      </c>
      <c r="D1461" s="38">
        <f>IF(AND($A1460&lt;&gt;"",'算罪台'!$B$5&lt;&gt;"",ISNUMBER(SEARCH($A1460,'算罪台'!$B$5))),1,0)</f>
        <v/>
      </c>
      <c r="E1461" s="38">
        <f>IF(AND($A1460&lt;&gt;"",'算罪台'!$B$6&lt;&gt;"",ISNUMBER(SEARCH($A1460,'算罪台'!$B$6))),1,0)</f>
        <v/>
      </c>
    </row>
    <row r="1462">
      <c r="A1462" s="38" t="inlineStr">
        <is>
          <t>不交税</t>
        </is>
      </c>
      <c r="B1462" s="38" t="inlineStr">
        <is>
          <t>拒绝缴纳税款</t>
        </is>
      </c>
      <c r="C1462" s="38">
        <f>IF(AND($A1461&lt;&gt;"",'算罪台'!$B$4&lt;&gt;"",ISNUMBER(SEARCH($A1461,'算罪台'!$B$4))),1,0)</f>
        <v/>
      </c>
      <c r="D1462" s="38">
        <f>IF(AND($A1461&lt;&gt;"",'算罪台'!$B$5&lt;&gt;"",ISNUMBER(SEARCH($A1461,'算罪台'!$B$5))),1,0)</f>
        <v/>
      </c>
      <c r="E1462" s="38">
        <f>IF(AND($A1461&lt;&gt;"",'算罪台'!$B$6&lt;&gt;"",ISNUMBER(SEARCH($A1461,'算罪台'!$B$6))),1,0)</f>
        <v/>
      </c>
    </row>
    <row r="1463">
      <c r="A1463" s="38" t="inlineStr">
        <is>
          <t>拒不纳税</t>
        </is>
      </c>
      <c r="B1463" s="38" t="inlineStr">
        <is>
          <t>拒绝缴纳税款</t>
        </is>
      </c>
      <c r="C1463" s="38">
        <f>IF(AND($A1462&lt;&gt;"",'算罪台'!$B$4&lt;&gt;"",ISNUMBER(SEARCH($A1462,'算罪台'!$B$4))),1,0)</f>
        <v/>
      </c>
      <c r="D1463" s="38">
        <f>IF(AND($A1462&lt;&gt;"",'算罪台'!$B$5&lt;&gt;"",ISNUMBER(SEARCH($A1462,'算罪台'!$B$5))),1,0)</f>
        <v/>
      </c>
      <c r="E1463" s="38">
        <f>IF(AND($A1462&lt;&gt;"",'算罪台'!$B$6&lt;&gt;"",ISNUMBER(SEARCH($A1462,'算罪台'!$B$6))),1,0)</f>
        <v/>
      </c>
    </row>
    <row r="1464">
      <c r="A1464" s="38" t="inlineStr">
        <is>
          <t>偷税漏税</t>
        </is>
      </c>
      <c r="B1464" s="38" t="inlineStr">
        <is>
          <t>拒绝缴纳税款</t>
        </is>
      </c>
      <c r="C1464" s="38">
        <f>IF(AND($A1463&lt;&gt;"",'算罪台'!$B$4&lt;&gt;"",ISNUMBER(SEARCH($A1463,'算罪台'!$B$4))),1,0)</f>
        <v/>
      </c>
      <c r="D1464" s="38">
        <f>IF(AND($A1463&lt;&gt;"",'算罪台'!$B$5&lt;&gt;"",ISNUMBER(SEARCH($A1463,'算罪台'!$B$5))),1,0)</f>
        <v/>
      </c>
      <c r="E1464" s="38">
        <f>IF(AND($A1463&lt;&gt;"",'算罪台'!$B$6&lt;&gt;"",ISNUMBER(SEARCH($A1463,'算罪台'!$B$6))),1,0)</f>
        <v/>
      </c>
    </row>
    <row r="1465">
      <c r="A1465" s="38" t="inlineStr">
        <is>
          <t>虚假财务报表</t>
        </is>
      </c>
      <c r="B1465" s="38" t="inlineStr">
        <is>
          <t>虚假财务报表</t>
        </is>
      </c>
      <c r="C1465" s="38">
        <f>IF(AND($A1464&lt;&gt;"",'算罪台'!$B$4&lt;&gt;"",ISNUMBER(SEARCH($A1464,'算罪台'!$B$4))),1,0)</f>
        <v/>
      </c>
      <c r="D1465" s="38">
        <f>IF(AND($A1464&lt;&gt;"",'算罪台'!$B$5&lt;&gt;"",ISNUMBER(SEARCH($A1464,'算罪台'!$B$5))),1,0)</f>
        <v/>
      </c>
      <c r="E1465" s="38">
        <f>IF(AND($A1464&lt;&gt;"",'算罪台'!$B$6&lt;&gt;"",ISNUMBER(SEARCH($A1464,'算罪台'!$B$6))),1,0)</f>
        <v/>
      </c>
    </row>
    <row r="1466">
      <c r="A1466" s="38" t="inlineStr">
        <is>
          <t>做假账</t>
        </is>
      </c>
      <c r="B1466" s="38" t="inlineStr">
        <is>
          <t>虚假财务报表</t>
        </is>
      </c>
      <c r="C1466" s="38">
        <f>IF(AND($A1465&lt;&gt;"",'算罪台'!$B$4&lt;&gt;"",ISNUMBER(SEARCH($A1465,'算罪台'!$B$4))),1,0)</f>
        <v/>
      </c>
      <c r="D1466" s="38">
        <f>IF(AND($A1465&lt;&gt;"",'算罪台'!$B$5&lt;&gt;"",ISNUMBER(SEARCH($A1465,'算罪台'!$B$5))),1,0)</f>
        <v/>
      </c>
      <c r="E1466" s="38">
        <f>IF(AND($A1465&lt;&gt;"",'算罪台'!$B$6&lt;&gt;"",ISNUMBER(SEARCH($A1465,'算罪台'!$B$6))),1,0)</f>
        <v/>
      </c>
    </row>
    <row r="1467">
      <c r="A1467" s="38" t="inlineStr">
        <is>
          <t>假财报</t>
        </is>
      </c>
      <c r="B1467" s="38" t="inlineStr">
        <is>
          <t>虚假财务报表</t>
        </is>
      </c>
      <c r="C1467" s="38">
        <f>IF(AND($A1466&lt;&gt;"",'算罪台'!$B$4&lt;&gt;"",ISNUMBER(SEARCH($A1466,'算罪台'!$B$4))),1,0)</f>
        <v/>
      </c>
      <c r="D1467" s="38">
        <f>IF(AND($A1466&lt;&gt;"",'算罪台'!$B$5&lt;&gt;"",ISNUMBER(SEARCH($A1466,'算罪台'!$B$5))),1,0)</f>
        <v/>
      </c>
      <c r="E1467" s="38">
        <f>IF(AND($A1466&lt;&gt;"",'算罪台'!$B$6&lt;&gt;"",ISNUMBER(SEARCH($A1466,'算罪台'!$B$6))),1,0)</f>
        <v/>
      </c>
    </row>
    <row r="1468">
      <c r="A1468" s="38" t="inlineStr">
        <is>
          <t>隐瞒经营情况</t>
        </is>
      </c>
      <c r="B1468" s="38" t="inlineStr">
        <is>
          <t>虚假财务报表</t>
        </is>
      </c>
      <c r="C1468" s="38">
        <f>IF(AND($A1467&lt;&gt;"",'算罪台'!$B$4&lt;&gt;"",ISNUMBER(SEARCH($A1467,'算罪台'!$B$4))),1,0)</f>
        <v/>
      </c>
      <c r="D1468" s="38">
        <f>IF(AND($A1467&lt;&gt;"",'算罪台'!$B$5&lt;&gt;"",ISNUMBER(SEARCH($A1467,'算罪台'!$B$5))),1,0)</f>
        <v/>
      </c>
      <c r="E1468" s="38">
        <f>IF(AND($A1467&lt;&gt;"",'算罪台'!$B$6&lt;&gt;"",ISNUMBER(SEARCH($A1467,'算罪台'!$B$6))),1,0)</f>
        <v/>
      </c>
    </row>
    <row r="1469">
      <c r="A1469" s="38" t="inlineStr">
        <is>
          <t>虚报收入</t>
        </is>
      </c>
      <c r="B1469" s="38" t="inlineStr">
        <is>
          <t>虚假财务报表</t>
        </is>
      </c>
      <c r="C1469" s="38">
        <f>IF(AND($A1468&lt;&gt;"",'算罪台'!$B$4&lt;&gt;"",ISNUMBER(SEARCH($A1468,'算罪台'!$B$4))),1,0)</f>
        <v/>
      </c>
      <c r="D1469" s="38">
        <f>IF(AND($A1468&lt;&gt;"",'算罪台'!$B$5&lt;&gt;"",ISNUMBER(SEARCH($A1468,'算罪台'!$B$5))),1,0)</f>
        <v/>
      </c>
      <c r="E1469" s="38">
        <f>IF(AND($A1468&lt;&gt;"",'算罪台'!$B$6&lt;&gt;"",ISNUMBER(SEARCH($A1468,'算罪台'!$B$6))),1,0)</f>
        <v/>
      </c>
    </row>
    <row r="1470">
      <c r="A1470" s="38" t="inlineStr">
        <is>
          <t>财务造假</t>
        </is>
      </c>
      <c r="B1470" s="38" t="inlineStr">
        <is>
          <t>虚假财务报表</t>
        </is>
      </c>
      <c r="C1470" s="38">
        <f>IF(AND($A1469&lt;&gt;"",'算罪台'!$B$4&lt;&gt;"",ISNUMBER(SEARCH($A1469,'算罪台'!$B$4))),1,0)</f>
        <v/>
      </c>
      <c r="D1470" s="38">
        <f>IF(AND($A1469&lt;&gt;"",'算罪台'!$B$5&lt;&gt;"",ISNUMBER(SEARCH($A1469,'算罪台'!$B$5))),1,0)</f>
        <v/>
      </c>
      <c r="E1470" s="38">
        <f>IF(AND($A1469&lt;&gt;"",'算罪台'!$B$6&lt;&gt;"",ISNUMBER(SEARCH($A1469,'算罪台'!$B$6))),1,0)</f>
        <v/>
      </c>
    </row>
    <row r="1471">
      <c r="A1471" s="38" t="inlineStr">
        <is>
          <t>假账目</t>
        </is>
      </c>
      <c r="B1471" s="38" t="inlineStr">
        <is>
          <t>虚假财务报表</t>
        </is>
      </c>
      <c r="C1471" s="38">
        <f>IF(AND($A1470&lt;&gt;"",'算罪台'!$B$4&lt;&gt;"",ISNUMBER(SEARCH($A1470,'算罪台'!$B$4))),1,0)</f>
        <v/>
      </c>
      <c r="D1471" s="38">
        <f>IF(AND($A1470&lt;&gt;"",'算罪台'!$B$5&lt;&gt;"",ISNUMBER(SEARCH($A1470,'算罪台'!$B$5))),1,0)</f>
        <v/>
      </c>
      <c r="E1471" s="38">
        <f>IF(AND($A1470&lt;&gt;"",'算罪台'!$B$6&lt;&gt;"",ISNUMBER(SEARCH($A1470,'算罪台'!$B$6))),1,0)</f>
        <v/>
      </c>
    </row>
    <row r="1472">
      <c r="A1472" s="38" t="inlineStr">
        <is>
          <t>私自搜查患者</t>
        </is>
      </c>
      <c r="B1472" s="38" t="inlineStr">
        <is>
          <t>私自搜查患者</t>
        </is>
      </c>
      <c r="C1472" s="38">
        <f>IF(AND($A1471&lt;&gt;"",'算罪台'!$B$4&lt;&gt;"",ISNUMBER(SEARCH($A1471,'算罪台'!$B$4))),1,0)</f>
        <v/>
      </c>
      <c r="D1472" s="38">
        <f>IF(AND($A1471&lt;&gt;"",'算罪台'!$B$5&lt;&gt;"",ISNUMBER(SEARCH($A1471,'算罪台'!$B$5))),1,0)</f>
        <v/>
      </c>
      <c r="E1472" s="38">
        <f>IF(AND($A1471&lt;&gt;"",'算罪台'!$B$6&lt;&gt;"",ISNUMBER(SEARCH($A1471,'算罪台'!$B$6))),1,0)</f>
        <v/>
      </c>
    </row>
    <row r="1473">
      <c r="A1473" s="38" t="inlineStr">
        <is>
          <t>搜患者背包</t>
        </is>
      </c>
      <c r="B1473" s="38" t="inlineStr">
        <is>
          <t>私自搜查患者</t>
        </is>
      </c>
      <c r="C1473" s="38">
        <f>IF(AND($A1472&lt;&gt;"",'算罪台'!$B$4&lt;&gt;"",ISNUMBER(SEARCH($A1472,'算罪台'!$B$4))),1,0)</f>
        <v/>
      </c>
      <c r="D1473" s="38">
        <f>IF(AND($A1472&lt;&gt;"",'算罪台'!$B$5&lt;&gt;"",ISNUMBER(SEARCH($A1472,'算罪台'!$B$5))),1,0)</f>
        <v/>
      </c>
      <c r="E1473" s="38">
        <f>IF(AND($A1472&lt;&gt;"",'算罪台'!$B$6&lt;&gt;"",ISNUMBER(SEARCH($A1472,'算罪台'!$B$6))),1,0)</f>
        <v/>
      </c>
    </row>
    <row r="1474">
      <c r="A1474" s="38" t="inlineStr">
        <is>
          <t>拿患者物资</t>
        </is>
      </c>
      <c r="B1474" s="38" t="inlineStr">
        <is>
          <t>私自搜查患者</t>
        </is>
      </c>
      <c r="C1474" s="38">
        <f>IF(AND($A1473&lt;&gt;"",'算罪台'!$B$4&lt;&gt;"",ISNUMBER(SEARCH($A1473,'算罪台'!$B$4))),1,0)</f>
        <v/>
      </c>
      <c r="D1474" s="38">
        <f>IF(AND($A1473&lt;&gt;"",'算罪台'!$B$5&lt;&gt;"",ISNUMBER(SEARCH($A1473,'算罪台'!$B$5))),1,0)</f>
        <v/>
      </c>
      <c r="E1474" s="38">
        <f>IF(AND($A1473&lt;&gt;"",'算罪台'!$B$6&lt;&gt;"",ISNUMBER(SEARCH($A1473,'算罪台'!$B$6))),1,0)</f>
        <v/>
      </c>
    </row>
    <row r="1475">
      <c r="A1475" s="38" t="inlineStr">
        <is>
          <t>拿患者枪械</t>
        </is>
      </c>
      <c r="B1475" s="38" t="inlineStr">
        <is>
          <t>私自搜查患者</t>
        </is>
      </c>
      <c r="C1475" s="38">
        <f>IF(AND($A1474&lt;&gt;"",'算罪台'!$B$4&lt;&gt;"",ISNUMBER(SEARCH($A1474,'算罪台'!$B$4))),1,0)</f>
        <v/>
      </c>
      <c r="D1475" s="38">
        <f>IF(AND($A1474&lt;&gt;"",'算罪台'!$B$5&lt;&gt;"",ISNUMBER(SEARCH($A1474,'算罪台'!$B$5))),1,0)</f>
        <v/>
      </c>
      <c r="E1475" s="38">
        <f>IF(AND($A1474&lt;&gt;"",'算罪台'!$B$6&lt;&gt;"",ISNUMBER(SEARCH($A1474,'算罪台'!$B$6))),1,0)</f>
        <v/>
      </c>
    </row>
    <row r="1476">
      <c r="A1476" s="38" t="inlineStr">
        <is>
          <t>翻患者背包</t>
        </is>
      </c>
      <c r="B1476" s="38" t="inlineStr">
        <is>
          <t>私自搜查患者</t>
        </is>
      </c>
      <c r="C1476" s="38">
        <f>IF(AND($A1475&lt;&gt;"",'算罪台'!$B$4&lt;&gt;"",ISNUMBER(SEARCH($A1475,'算罪台'!$B$4))),1,0)</f>
        <v/>
      </c>
      <c r="D1476" s="38">
        <f>IF(AND($A1475&lt;&gt;"",'算罪台'!$B$5&lt;&gt;"",ISNUMBER(SEARCH($A1475,'算罪台'!$B$5))),1,0)</f>
        <v/>
      </c>
      <c r="E1476" s="38">
        <f>IF(AND($A1475&lt;&gt;"",'算罪台'!$B$6&lt;&gt;"",ISNUMBER(SEARCH($A1475,'算罪台'!$B$6))),1,0)</f>
        <v/>
      </c>
    </row>
    <row r="1477">
      <c r="A1477" s="38" t="inlineStr">
        <is>
          <t>搜病人背包</t>
        </is>
      </c>
      <c r="B1477" s="38" t="inlineStr">
        <is>
          <t>私自搜查患者</t>
        </is>
      </c>
      <c r="C1477" s="38">
        <f>IF(AND($A1476&lt;&gt;"",'算罪台'!$B$4&lt;&gt;"",ISNUMBER(SEARCH($A1476,'算罪台'!$B$4))),1,0)</f>
        <v/>
      </c>
      <c r="D1477" s="38">
        <f>IF(AND($A1476&lt;&gt;"",'算罪台'!$B$5&lt;&gt;"",ISNUMBER(SEARCH($A1476,'算罪台'!$B$5))),1,0)</f>
        <v/>
      </c>
      <c r="E1477" s="38">
        <f>IF(AND($A1476&lt;&gt;"",'算罪台'!$B$6&lt;&gt;"",ISNUMBER(SEARCH($A1476,'算罪台'!$B$6))),1,0)</f>
        <v/>
      </c>
    </row>
    <row r="1478">
      <c r="A1478" s="38" t="inlineStr">
        <is>
          <t>拿病人物资</t>
        </is>
      </c>
      <c r="B1478" s="38" t="inlineStr">
        <is>
          <t>私自搜查患者</t>
        </is>
      </c>
      <c r="C1478" s="38">
        <f>IF(AND($A1477&lt;&gt;"",'算罪台'!$B$4&lt;&gt;"",ISNUMBER(SEARCH($A1477,'算罪台'!$B$4))),1,0)</f>
        <v/>
      </c>
      <c r="D1478" s="38">
        <f>IF(AND($A1477&lt;&gt;"",'算罪台'!$B$5&lt;&gt;"",ISNUMBER(SEARCH($A1477,'算罪台'!$B$5))),1,0)</f>
        <v/>
      </c>
      <c r="E1478" s="38">
        <f>IF(AND($A1477&lt;&gt;"",'算罪台'!$B$6&lt;&gt;"",ISNUMBER(SEARCH($A1477,'算罪台'!$B$6))),1,0)</f>
        <v/>
      </c>
    </row>
    <row r="1479">
      <c r="A1479" s="38" t="inlineStr">
        <is>
          <t>搜患者</t>
        </is>
      </c>
      <c r="B1479" s="38" t="inlineStr">
        <is>
          <t>私自搜查患者</t>
        </is>
      </c>
      <c r="C1479" s="38">
        <f>IF(AND($A1478&lt;&gt;"",'算罪台'!$B$4&lt;&gt;"",ISNUMBER(SEARCH($A1478,'算罪台'!$B$4))),1,0)</f>
        <v/>
      </c>
      <c r="D1479" s="38">
        <f>IF(AND($A1478&lt;&gt;"",'算罪台'!$B$5&lt;&gt;"",ISNUMBER(SEARCH($A1478,'算罪台'!$B$5))),1,0)</f>
        <v/>
      </c>
      <c r="E1479" s="38">
        <f>IF(AND($A1478&lt;&gt;"",'算罪台'!$B$6&lt;&gt;"",ISNUMBER(SEARCH($A1478,'算罪台'!$B$6))),1,0)</f>
        <v/>
      </c>
    </row>
    <row r="1480">
      <c r="A1480" s="38" t="inlineStr">
        <is>
          <t>偷翻病人东西</t>
        </is>
      </c>
      <c r="B1480" s="38" t="inlineStr">
        <is>
          <t>私自搜查患者</t>
        </is>
      </c>
      <c r="C1480" s="38">
        <f>IF(AND($A1479&lt;&gt;"",'算罪台'!$B$4&lt;&gt;"",ISNUMBER(SEARCH($A1479,'算罪台'!$B$4))),1,0)</f>
        <v/>
      </c>
      <c r="D1480" s="38">
        <f>IF(AND($A1479&lt;&gt;"",'算罪台'!$B$5&lt;&gt;"",ISNUMBER(SEARCH($A1479,'算罪台'!$B$5))),1,0)</f>
        <v/>
      </c>
      <c r="E1480" s="38">
        <f>IF(AND($A1479&lt;&gt;"",'算罪台'!$B$6&lt;&gt;"",ISNUMBER(SEARCH($A1479,'算罪台'!$B$6))),1,0)</f>
        <v/>
      </c>
    </row>
    <row r="1481">
      <c r="A1481" s="38" t="inlineStr">
        <is>
          <t>翻病人包</t>
        </is>
      </c>
      <c r="B1481" s="38" t="inlineStr">
        <is>
          <t>私自搜查患者</t>
        </is>
      </c>
      <c r="C1481" s="38">
        <f>IF(AND($A1480&lt;&gt;"",'算罪台'!$B$4&lt;&gt;"",ISNUMBER(SEARCH($A1480,'算罪台'!$B$4))),1,0)</f>
        <v/>
      </c>
      <c r="D1481" s="38">
        <f>IF(AND($A1480&lt;&gt;"",'算罪台'!$B$5&lt;&gt;"",ISNUMBER(SEARCH($A1480,'算罪台'!$B$5))),1,0)</f>
        <v/>
      </c>
      <c r="E1481" s="38">
        <f>IF(AND($A1480&lt;&gt;"",'算罪台'!$B$6&lt;&gt;"",ISNUMBER(SEARCH($A1480,'算罪台'!$B$6))),1,0)</f>
        <v/>
      </c>
    </row>
    <row r="1482">
      <c r="A1482" s="38" t="inlineStr">
        <is>
          <t>搜病人身上</t>
        </is>
      </c>
      <c r="B1482" s="38" t="inlineStr">
        <is>
          <t>私自搜查患者</t>
        </is>
      </c>
      <c r="C1482" s="38">
        <f>IF(AND($A1481&lt;&gt;"",'算罪台'!$B$4&lt;&gt;"",ISNUMBER(SEARCH($A1481,'算罪台'!$B$4))),1,0)</f>
        <v/>
      </c>
      <c r="D1482" s="38">
        <f>IF(AND($A1481&lt;&gt;"",'算罪台'!$B$5&lt;&gt;"",ISNUMBER(SEARCH($A1481,'算罪台'!$B$5))),1,0)</f>
        <v/>
      </c>
      <c r="E1482" s="38">
        <f>IF(AND($A1481&lt;&gt;"",'算罪台'!$B$6&lt;&gt;"",ISNUMBER(SEARCH($A1481,'算罪台'!$B$6))),1,0)</f>
        <v/>
      </c>
    </row>
    <row r="1483">
      <c r="A1483" s="38" t="inlineStr">
        <is>
          <t>拿病人的枪</t>
        </is>
      </c>
      <c r="B1483" s="38" t="inlineStr">
        <is>
          <t>私自搜查患者</t>
        </is>
      </c>
      <c r="C1483" s="38">
        <f>IF(AND($A1482&lt;&gt;"",'算罪台'!$B$4&lt;&gt;"",ISNUMBER(SEARCH($A1482,'算罪台'!$B$4))),1,0)</f>
        <v/>
      </c>
      <c r="D1483" s="38">
        <f>IF(AND($A1482&lt;&gt;"",'算罪台'!$B$5&lt;&gt;"",ISNUMBER(SEARCH($A1482,'算罪台'!$B$5))),1,0)</f>
        <v/>
      </c>
      <c r="E1483" s="38">
        <f>IF(AND($A1482&lt;&gt;"",'算罪台'!$B$6&lt;&gt;"",ISNUMBER(SEARCH($A1482,'算罪台'!$B$6))),1,0)</f>
        <v/>
      </c>
    </row>
    <row r="1484">
      <c r="A1484" s="38" t="inlineStr">
        <is>
          <t>摸病人东西</t>
        </is>
      </c>
      <c r="B1484" s="38" t="inlineStr">
        <is>
          <t>私自搜查患者</t>
        </is>
      </c>
      <c r="C1484" s="38">
        <f>IF(AND($A1483&lt;&gt;"",'算罪台'!$B$4&lt;&gt;"",ISNUMBER(SEARCH($A1483,'算罪台'!$B$4))),1,0)</f>
        <v/>
      </c>
      <c r="D1484" s="38">
        <f>IF(AND($A1483&lt;&gt;"",'算罪台'!$B$5&lt;&gt;"",ISNUMBER(SEARCH($A1483,'算罪台'!$B$5))),1,0)</f>
        <v/>
      </c>
      <c r="E1484" s="38">
        <f>IF(AND($A1483&lt;&gt;"",'算罪台'!$B$6&lt;&gt;"",ISNUMBER(SEARCH($A1483,'算罪台'!$B$6))),1,0)</f>
        <v/>
      </c>
    </row>
    <row r="1485">
      <c r="A1485" s="38" t="inlineStr">
        <is>
          <t>私翻患者</t>
        </is>
      </c>
      <c r="B1485" s="38" t="inlineStr">
        <is>
          <t>私自搜查患者</t>
        </is>
      </c>
      <c r="C1485" s="38">
        <f>IF(AND($A1484&lt;&gt;"",'算罪台'!$B$4&lt;&gt;"",ISNUMBER(SEARCH($A1484,'算罪台'!$B$4))),1,0)</f>
        <v/>
      </c>
      <c r="D1485" s="38">
        <f>IF(AND($A1484&lt;&gt;"",'算罪台'!$B$5&lt;&gt;"",ISNUMBER(SEARCH($A1484,'算罪台'!$B$5))),1,0)</f>
        <v/>
      </c>
      <c r="E1485" s="38">
        <f>IF(AND($A1484&lt;&gt;"",'算罪台'!$B$6&lt;&gt;"",ISNUMBER(SEARCH($A1484,'算罪台'!$B$6))),1,0)</f>
        <v/>
      </c>
    </row>
    <row r="1486">
      <c r="A1486" s="38" t="inlineStr">
        <is>
          <t>顺患者东西</t>
        </is>
      </c>
      <c r="B1486" s="38" t="inlineStr">
        <is>
          <t>私自搜查患者</t>
        </is>
      </c>
      <c r="C1486" s="38">
        <f>IF(AND($A1485&lt;&gt;"",'算罪台'!$B$4&lt;&gt;"",ISNUMBER(SEARCH($A1485,'算罪台'!$B$4))),1,0)</f>
        <v/>
      </c>
      <c r="D1486" s="38">
        <f>IF(AND($A1485&lt;&gt;"",'算罪台'!$B$5&lt;&gt;"",ISNUMBER(SEARCH($A1485,'算罪台'!$B$5))),1,0)</f>
        <v/>
      </c>
      <c r="E1486" s="38">
        <f>IF(AND($A1485&lt;&gt;"",'算罪台'!$B$6&lt;&gt;"",ISNUMBER(SEARCH($A1485,'算罪台'!$B$6))),1,0)</f>
        <v/>
      </c>
    </row>
    <row r="1487">
      <c r="A1487" s="38" t="inlineStr">
        <is>
          <t>翻伤者背包</t>
        </is>
      </c>
      <c r="B1487" s="38" t="inlineStr">
        <is>
          <t>私自搜查患者</t>
        </is>
      </c>
      <c r="C1487" s="38">
        <f>IF(AND($A1486&lt;&gt;"",'算罪台'!$B$4&lt;&gt;"",ISNUMBER(SEARCH($A1486,'算罪台'!$B$4))),1,0)</f>
        <v/>
      </c>
      <c r="D1487" s="38">
        <f>IF(AND($A1486&lt;&gt;"",'算罪台'!$B$5&lt;&gt;"",ISNUMBER(SEARCH($A1486,'算罪台'!$B$5))),1,0)</f>
        <v/>
      </c>
      <c r="E1487" s="38">
        <f>IF(AND($A1486&lt;&gt;"",'算罪台'!$B$6&lt;&gt;"",ISNUMBER(SEARCH($A1486,'算罪台'!$B$6))),1,0)</f>
        <v/>
      </c>
    </row>
    <row r="1488">
      <c r="A1488" s="38" t="inlineStr">
        <is>
          <t>拿伤者物资</t>
        </is>
      </c>
      <c r="B1488" s="38" t="inlineStr">
        <is>
          <t>私自搜查患者</t>
        </is>
      </c>
      <c r="C1488" s="38">
        <f>IF(AND($A1487&lt;&gt;"",'算罪台'!$B$4&lt;&gt;"",ISNUMBER(SEARCH($A1487,'算罪台'!$B$4))),1,0)</f>
        <v/>
      </c>
      <c r="D1488" s="38">
        <f>IF(AND($A1487&lt;&gt;"",'算罪台'!$B$5&lt;&gt;"",ISNUMBER(SEARCH($A1487,'算罪台'!$B$5))),1,0)</f>
        <v/>
      </c>
      <c r="E1488" s="38">
        <f>IF(AND($A1487&lt;&gt;"",'算罪台'!$B$6&lt;&gt;"",ISNUMBER(SEARCH($A1487,'算罪台'!$B$6))),1,0)</f>
        <v/>
      </c>
    </row>
    <row r="1489">
      <c r="A1489" s="38" t="inlineStr">
        <is>
          <t>趁救人偷东西</t>
        </is>
      </c>
      <c r="B1489" s="38" t="inlineStr">
        <is>
          <t>私自搜查患者</t>
        </is>
      </c>
      <c r="C1489" s="38">
        <f>IF(AND($A1488&lt;&gt;"",'算罪台'!$B$4&lt;&gt;"",ISNUMBER(SEARCH($A1488,'算罪台'!$B$4))),1,0)</f>
        <v/>
      </c>
      <c r="D1489" s="38">
        <f>IF(AND($A1488&lt;&gt;"",'算罪台'!$B$5&lt;&gt;"",ISNUMBER(SEARCH($A1488,'算罪台'!$B$5))),1,0)</f>
        <v/>
      </c>
      <c r="E1489" s="38">
        <f>IF(AND($A1488&lt;&gt;"",'算罪台'!$B$6&lt;&gt;"",ISNUMBER(SEARCH($A1488,'算罪台'!$B$6))),1,0)</f>
        <v/>
      </c>
    </row>
    <row r="1490">
      <c r="A1490" s="38" t="inlineStr">
        <is>
          <t>救人时翻包</t>
        </is>
      </c>
      <c r="B1490" s="38" t="inlineStr">
        <is>
          <t>私自搜查患者</t>
        </is>
      </c>
      <c r="C1490" s="38">
        <f>IF(AND($A1489&lt;&gt;"",'算罪台'!$B$4&lt;&gt;"",ISNUMBER(SEARCH($A1489,'算罪台'!$B$4))),1,0)</f>
        <v/>
      </c>
      <c r="D1490" s="38">
        <f>IF(AND($A1489&lt;&gt;"",'算罪台'!$B$5&lt;&gt;"",ISNUMBER(SEARCH($A1489,'算罪台'!$B$5))),1,0)</f>
        <v/>
      </c>
      <c r="E1490" s="38">
        <f>IF(AND($A1489&lt;&gt;"",'算罪台'!$B$6&lt;&gt;"",ISNUMBER(SEARCH($A1489,'算罪台'!$B$6))),1,0)</f>
        <v/>
      </c>
    </row>
    <row r="1491">
      <c r="A1491" s="38" t="inlineStr">
        <is>
          <t>抢病人东西</t>
        </is>
      </c>
      <c r="B1491" s="38" t="inlineStr">
        <is>
          <t>私自搜查患者</t>
        </is>
      </c>
      <c r="C1491" s="38">
        <f>IF(AND($A1490&lt;&gt;"",'算罪台'!$B$4&lt;&gt;"",ISNUMBER(SEARCH($A1490,'算罪台'!$B$4))),1,0)</f>
        <v/>
      </c>
      <c r="D1491" s="38">
        <f>IF(AND($A1490&lt;&gt;"",'算罪台'!$B$5&lt;&gt;"",ISNUMBER(SEARCH($A1490,'算罪台'!$B$5))),1,0)</f>
        <v/>
      </c>
      <c r="E1491" s="38">
        <f>IF(AND($A1490&lt;&gt;"",'算罪台'!$B$6&lt;&gt;"",ISNUMBER(SEARCH($A1490,'算罪台'!$B$6))),1,0)</f>
        <v/>
      </c>
    </row>
    <row r="1492">
      <c r="A1492" s="38" t="inlineStr">
        <is>
          <t>搜伤员</t>
        </is>
      </c>
      <c r="B1492" s="38" t="inlineStr">
        <is>
          <t>私自搜查患者</t>
        </is>
      </c>
      <c r="C1492" s="38">
        <f>IF(AND($A1491&lt;&gt;"",'算罪台'!$B$4&lt;&gt;"",ISNUMBER(SEARCH($A1491,'算罪台'!$B$4))),1,0)</f>
        <v/>
      </c>
      <c r="D1492" s="38">
        <f>IF(AND($A1491&lt;&gt;"",'算罪台'!$B$5&lt;&gt;"",ISNUMBER(SEARCH($A1491,'算罪台'!$B$5))),1,0)</f>
        <v/>
      </c>
      <c r="E1492" s="38">
        <f>IF(AND($A1491&lt;&gt;"",'算罪台'!$B$6&lt;&gt;"",ISNUMBER(SEARCH($A1491,'算罪台'!$B$6))),1,0)</f>
        <v/>
      </c>
    </row>
    <row r="1493">
      <c r="A1493" s="38" t="inlineStr">
        <is>
          <t>扒病人东西</t>
        </is>
      </c>
      <c r="B1493" s="38" t="inlineStr">
        <is>
          <t>私自搜查患者</t>
        </is>
      </c>
      <c r="C1493" s="38">
        <f>IF(AND($A1492&lt;&gt;"",'算罪台'!$B$4&lt;&gt;"",ISNUMBER(SEARCH($A1492,'算罪台'!$B$4))),1,0)</f>
        <v/>
      </c>
      <c r="D1493" s="38">
        <f>IF(AND($A1492&lt;&gt;"",'算罪台'!$B$5&lt;&gt;"",ISNUMBER(SEARCH($A1492,'算罪台'!$B$5))),1,0)</f>
        <v/>
      </c>
      <c r="E1493" s="38">
        <f>IF(AND($A1492&lt;&gt;"",'算罪台'!$B$6&lt;&gt;"",ISNUMBER(SEARCH($A1492,'算罪台'!$B$6))),1,0)</f>
        <v/>
      </c>
    </row>
    <row r="1494">
      <c r="A1494" s="38" t="inlineStr">
        <is>
          <t>乱收费</t>
        </is>
      </c>
      <c r="B1494" s="38" t="inlineStr">
        <is>
          <t>医护乱收费/收私钱</t>
        </is>
      </c>
      <c r="C1494" s="38">
        <f>IF(AND($A1493&lt;&gt;"",'算罪台'!$B$4&lt;&gt;"",ISNUMBER(SEARCH($A1493,'算罪台'!$B$4))),1,0)</f>
        <v/>
      </c>
      <c r="D1494" s="38">
        <f>IF(AND($A1493&lt;&gt;"",'算罪台'!$B$5&lt;&gt;"",ISNUMBER(SEARCH($A1493,'算罪台'!$B$5))),1,0)</f>
        <v/>
      </c>
      <c r="E1494" s="38">
        <f>IF(AND($A1493&lt;&gt;"",'算罪台'!$B$6&lt;&gt;"",ISNUMBER(SEARCH($A1493,'算罪台'!$B$6))),1,0)</f>
        <v/>
      </c>
    </row>
    <row r="1495">
      <c r="A1495" s="38" t="inlineStr">
        <is>
          <t>收私钱</t>
        </is>
      </c>
      <c r="B1495" s="38" t="inlineStr">
        <is>
          <t>医护乱收费/收私钱</t>
        </is>
      </c>
      <c r="C1495" s="38">
        <f>IF(AND($A1494&lt;&gt;"",'算罪台'!$B$4&lt;&gt;"",ISNUMBER(SEARCH($A1494,'算罪台'!$B$4))),1,0)</f>
        <v/>
      </c>
      <c r="D1495" s="38">
        <f>IF(AND($A1494&lt;&gt;"",'算罪台'!$B$5&lt;&gt;"",ISNUMBER(SEARCH($A1494,'算罪台'!$B$5))),1,0)</f>
        <v/>
      </c>
      <c r="E1495" s="38">
        <f>IF(AND($A1494&lt;&gt;"",'算罪台'!$B$6&lt;&gt;"",ISNUMBER(SEARCH($A1494,'算罪台'!$B$6))),1,0)</f>
        <v/>
      </c>
    </row>
    <row r="1496">
      <c r="A1496" s="38" t="inlineStr">
        <is>
          <t>不开账单</t>
        </is>
      </c>
      <c r="B1496" s="38" t="inlineStr">
        <is>
          <t>医护乱收费/收私钱</t>
        </is>
      </c>
      <c r="C1496" s="38">
        <f>IF(AND($A1495&lt;&gt;"",'算罪台'!$B$4&lt;&gt;"",ISNUMBER(SEARCH($A1495,'算罪台'!$B$4))),1,0)</f>
        <v/>
      </c>
      <c r="D1496" s="38">
        <f>IF(AND($A1495&lt;&gt;"",'算罪台'!$B$5&lt;&gt;"",ISNUMBER(SEARCH($A1495,'算罪台'!$B$5))),1,0)</f>
        <v/>
      </c>
      <c r="E1496" s="38">
        <f>IF(AND($A1495&lt;&gt;"",'算罪台'!$B$6&lt;&gt;"",ISNUMBER(SEARCH($A1495,'算罪台'!$B$6))),1,0)</f>
        <v/>
      </c>
    </row>
    <row r="1497">
      <c r="A1497" s="38" t="inlineStr">
        <is>
          <t>医护乱收费</t>
        </is>
      </c>
      <c r="B1497" s="38" t="inlineStr">
        <is>
          <t>医护乱收费/收私钱</t>
        </is>
      </c>
      <c r="C1497" s="38">
        <f>IF(AND($A1496&lt;&gt;"",'算罪台'!$B$4&lt;&gt;"",ISNUMBER(SEARCH($A1496,'算罪台'!$B$4))),1,0)</f>
        <v/>
      </c>
      <c r="D1497" s="38">
        <f>IF(AND($A1496&lt;&gt;"",'算罪台'!$B$5&lt;&gt;"",ISNUMBER(SEARCH($A1496,'算罪台'!$B$5))),1,0)</f>
        <v/>
      </c>
      <c r="E1497" s="38">
        <f>IF(AND($A1496&lt;&gt;"",'算罪台'!$B$6&lt;&gt;"",ISNUMBER(SEARCH($A1496,'算罪台'!$B$6))),1,0)</f>
        <v/>
      </c>
    </row>
    <row r="1498">
      <c r="A1498" s="38" t="inlineStr">
        <is>
          <t>乱开价</t>
        </is>
      </c>
      <c r="B1498" s="38" t="inlineStr">
        <is>
          <t>医护乱收费/收私钱</t>
        </is>
      </c>
      <c r="C1498" s="38">
        <f>IF(AND($A1497&lt;&gt;"",'算罪台'!$B$4&lt;&gt;"",ISNUMBER(SEARCH($A1497,'算罪台'!$B$4))),1,0)</f>
        <v/>
      </c>
      <c r="D1498" s="38">
        <f>IF(AND($A1497&lt;&gt;"",'算罪台'!$B$5&lt;&gt;"",ISNUMBER(SEARCH($A1497,'算罪台'!$B$5))),1,0)</f>
        <v/>
      </c>
      <c r="E1498" s="38">
        <f>IF(AND($A1497&lt;&gt;"",'算罪台'!$B$6&lt;&gt;"",ISNUMBER(SEARCH($A1497,'算罪台'!$B$6))),1,0)</f>
        <v/>
      </c>
    </row>
    <row r="1499">
      <c r="A1499" s="38" t="inlineStr">
        <is>
          <t>私收钱</t>
        </is>
      </c>
      <c r="B1499" s="38" t="inlineStr">
        <is>
          <t>医护乱收费/收私钱</t>
        </is>
      </c>
      <c r="C1499" s="38">
        <f>IF(AND($A1498&lt;&gt;"",'算罪台'!$B$4&lt;&gt;"",ISNUMBER(SEARCH($A1498,'算罪台'!$B$4))),1,0)</f>
        <v/>
      </c>
      <c r="D1499" s="38">
        <f>IF(AND($A1498&lt;&gt;"",'算罪台'!$B$5&lt;&gt;"",ISNUMBER(SEARCH($A1498,'算罪台'!$B$5))),1,0)</f>
        <v/>
      </c>
      <c r="E1499" s="38">
        <f>IF(AND($A1498&lt;&gt;"",'算罪台'!$B$6&lt;&gt;"",ISNUMBER(SEARCH($A1498,'算罪台'!$B$6))),1,0)</f>
        <v/>
      </c>
    </row>
    <row r="1500">
      <c r="A1500" s="38" t="inlineStr">
        <is>
          <t>收红包</t>
        </is>
      </c>
      <c r="B1500" s="38" t="inlineStr">
        <is>
          <t>医护乱收费/收私钱</t>
        </is>
      </c>
      <c r="C1500" s="38">
        <f>IF(AND($A1499&lt;&gt;"",'算罪台'!$B$4&lt;&gt;"",ISNUMBER(SEARCH($A1499,'算罪台'!$B$4))),1,0)</f>
        <v/>
      </c>
      <c r="D1500" s="38">
        <f>IF(AND($A1499&lt;&gt;"",'算罪台'!$B$5&lt;&gt;"",ISNUMBER(SEARCH($A1499,'算罪台'!$B$5))),1,0)</f>
        <v/>
      </c>
      <c r="E1500" s="38">
        <f>IF(AND($A1499&lt;&gt;"",'算罪台'!$B$6&lt;&gt;"",ISNUMBER(SEARCH($A1499,'算罪台'!$B$6))),1,0)</f>
        <v/>
      </c>
    </row>
    <row r="1501">
      <c r="A1501" s="38" t="inlineStr">
        <is>
          <t>多收钱</t>
        </is>
      </c>
      <c r="B1501" s="38" t="inlineStr">
        <is>
          <t>医护乱收费/收私钱</t>
        </is>
      </c>
      <c r="C1501" s="38">
        <f>IF(AND($A1500&lt;&gt;"",'算罪台'!$B$4&lt;&gt;"",ISNUMBER(SEARCH($A1500,'算罪台'!$B$4))),1,0)</f>
        <v/>
      </c>
      <c r="D1501" s="38">
        <f>IF(AND($A1500&lt;&gt;"",'算罪台'!$B$5&lt;&gt;"",ISNUMBER(SEARCH($A1500,'算罪台'!$B$5))),1,0)</f>
        <v/>
      </c>
      <c r="E1501" s="38">
        <f>IF(AND($A1500&lt;&gt;"",'算罪台'!$B$6&lt;&gt;"",ISNUMBER(SEARCH($A1500,'算罪台'!$B$6))),1,0)</f>
        <v/>
      </c>
    </row>
    <row r="1502">
      <c r="A1502" s="38" t="inlineStr">
        <is>
          <t>乱要价</t>
        </is>
      </c>
      <c r="B1502" s="38" t="inlineStr">
        <is>
          <t>医护乱收费/收私钱</t>
        </is>
      </c>
      <c r="C1502" s="38">
        <f>IF(AND($A1501&lt;&gt;"",'算罪台'!$B$4&lt;&gt;"",ISNUMBER(SEARCH($A1501,'算罪台'!$B$4))),1,0)</f>
        <v/>
      </c>
      <c r="D1502" s="38">
        <f>IF(AND($A1501&lt;&gt;"",'算罪台'!$B$5&lt;&gt;"",ISNUMBER(SEARCH($A1501,'算罪台'!$B$5))),1,0)</f>
        <v/>
      </c>
      <c r="E1502" s="38">
        <f>IF(AND($A1501&lt;&gt;"",'算罪台'!$B$6&lt;&gt;"",ISNUMBER(SEARCH($A1501,'算罪台'!$B$6))),1,0)</f>
        <v/>
      </c>
    </row>
    <row r="1503">
      <c r="A1503" s="38" t="inlineStr">
        <is>
          <t>收黑钱</t>
        </is>
      </c>
      <c r="B1503" s="38" t="inlineStr">
        <is>
          <t>医护乱收费/收私钱</t>
        </is>
      </c>
      <c r="C1503" s="38">
        <f>IF(AND($A1502&lt;&gt;"",'算罪台'!$B$4&lt;&gt;"",ISNUMBER(SEARCH($A1502,'算罪台'!$B$4))),1,0)</f>
        <v/>
      </c>
      <c r="D1503" s="38">
        <f>IF(AND($A1502&lt;&gt;"",'算罪台'!$B$5&lt;&gt;"",ISNUMBER(SEARCH($A1502,'算罪台'!$B$5))),1,0)</f>
        <v/>
      </c>
      <c r="E1503" s="38">
        <f>IF(AND($A1502&lt;&gt;"",'算罪台'!$B$6&lt;&gt;"",ISNUMBER(SEARCH($A1502,'算罪台'!$B$6))),1,0)</f>
        <v/>
      </c>
    </row>
    <row r="1504">
      <c r="A1504" s="38" t="inlineStr">
        <is>
          <t>私下收钱</t>
        </is>
      </c>
      <c r="B1504" s="38" t="inlineStr">
        <is>
          <t>医护乱收费/收私钱</t>
        </is>
      </c>
      <c r="C1504" s="38">
        <f>IF(AND($A1503&lt;&gt;"",'算罪台'!$B$4&lt;&gt;"",ISNUMBER(SEARCH($A1503,'算罪台'!$B$4))),1,0)</f>
        <v/>
      </c>
      <c r="D1504" s="38">
        <f>IF(AND($A1503&lt;&gt;"",'算罪台'!$B$5&lt;&gt;"",ISNUMBER(SEARCH($A1503,'算罪台'!$B$5))),1,0)</f>
        <v/>
      </c>
      <c r="E1504" s="38">
        <f>IF(AND($A1503&lt;&gt;"",'算罪台'!$B$6&lt;&gt;"",ISNUMBER(SEARCH($A1503,'算罪台'!$B$6))),1,0)</f>
        <v/>
      </c>
    </row>
    <row r="1505">
      <c r="A1505" s="38" t="inlineStr">
        <is>
          <t>坐地起价</t>
        </is>
      </c>
      <c r="B1505" s="38" t="inlineStr">
        <is>
          <t>医护乱收费/收私钱</t>
        </is>
      </c>
      <c r="C1505" s="38">
        <f>IF(AND($A1504&lt;&gt;"",'算罪台'!$B$4&lt;&gt;"",ISNUMBER(SEARCH($A1504,'算罪台'!$B$4))),1,0)</f>
        <v/>
      </c>
      <c r="D1505" s="38">
        <f>IF(AND($A1504&lt;&gt;"",'算罪台'!$B$5&lt;&gt;"",ISNUMBER(SEARCH($A1504,'算罪台'!$B$5))),1,0)</f>
        <v/>
      </c>
      <c r="E1505" s="38">
        <f>IF(AND($A1504&lt;&gt;"",'算罪台'!$B$6&lt;&gt;"",ISNUMBER(SEARCH($A1504,'算罪台'!$B$6))),1,0)</f>
        <v/>
      </c>
    </row>
    <row r="1506">
      <c r="A1506" s="38" t="inlineStr">
        <is>
          <t>宰客</t>
        </is>
      </c>
      <c r="B1506" s="38" t="inlineStr">
        <is>
          <t>医护乱收费/收私钱</t>
        </is>
      </c>
      <c r="C1506" s="38">
        <f>IF(AND($A1505&lt;&gt;"",'算罪台'!$B$4&lt;&gt;"",ISNUMBER(SEARCH($A1505,'算罪台'!$B$4))),1,0)</f>
        <v/>
      </c>
      <c r="D1506" s="38">
        <f>IF(AND($A1505&lt;&gt;"",'算罪台'!$B$5&lt;&gt;"",ISNUMBER(SEARCH($A1505,'算罪台'!$B$5))),1,0)</f>
        <v/>
      </c>
      <c r="E1506" s="38">
        <f>IF(AND($A1505&lt;&gt;"",'算罪台'!$B$6&lt;&gt;"",ISNUMBER(SEARCH($A1505,'算罪台'!$B$6))),1,0)</f>
        <v/>
      </c>
    </row>
    <row r="1507">
      <c r="A1507" s="38" t="inlineStr">
        <is>
          <t>漫天要价</t>
        </is>
      </c>
      <c r="B1507" s="38" t="inlineStr">
        <is>
          <t>医护乱收费/收私钱</t>
        </is>
      </c>
      <c r="C1507" s="38">
        <f>IF(AND($A1506&lt;&gt;"",'算罪台'!$B$4&lt;&gt;"",ISNUMBER(SEARCH($A1506,'算罪台'!$B$4))),1,0)</f>
        <v/>
      </c>
      <c r="D1507" s="38">
        <f>IF(AND($A1506&lt;&gt;"",'算罪台'!$B$5&lt;&gt;"",ISNUMBER(SEARCH($A1506,'算罪台'!$B$5))),1,0)</f>
        <v/>
      </c>
      <c r="E1507" s="38">
        <f>IF(AND($A1506&lt;&gt;"",'算罪台'!$B$6&lt;&gt;"",ISNUMBER(SEARCH($A1506,'算罪台'!$B$6))),1,0)</f>
        <v/>
      </c>
    </row>
    <row r="1508">
      <c r="A1508" s="38" t="inlineStr">
        <is>
          <t>多收医药费</t>
        </is>
      </c>
      <c r="B1508" s="38" t="inlineStr">
        <is>
          <t>医护乱收费/收私钱</t>
        </is>
      </c>
      <c r="C1508" s="38">
        <f>IF(AND($A1507&lt;&gt;"",'算罪台'!$B$4&lt;&gt;"",ISNUMBER(SEARCH($A1507,'算罪台'!$B$4))),1,0)</f>
        <v/>
      </c>
      <c r="D1508" s="38">
        <f>IF(AND($A1507&lt;&gt;"",'算罪台'!$B$5&lt;&gt;"",ISNUMBER(SEARCH($A1507,'算罪台'!$B$5))),1,0)</f>
        <v/>
      </c>
      <c r="E1508" s="38">
        <f>IF(AND($A1507&lt;&gt;"",'算罪台'!$B$6&lt;&gt;"",ISNUMBER(SEARCH($A1507,'算罪台'!$B$6))),1,0)</f>
        <v/>
      </c>
    </row>
    <row r="1509">
      <c r="A1509" s="38" t="inlineStr">
        <is>
          <t>私吞医药费</t>
        </is>
      </c>
      <c r="B1509" s="38" t="inlineStr">
        <is>
          <t>医护乱收费/收私钱</t>
        </is>
      </c>
      <c r="C1509" s="38">
        <f>IF(AND($A1508&lt;&gt;"",'算罪台'!$B$4&lt;&gt;"",ISNUMBER(SEARCH($A1508,'算罪台'!$B$4))),1,0)</f>
        <v/>
      </c>
      <c r="D1509" s="38">
        <f>IF(AND($A1508&lt;&gt;"",'算罪台'!$B$5&lt;&gt;"",ISNUMBER(SEARCH($A1508,'算罪台'!$B$5))),1,0)</f>
        <v/>
      </c>
      <c r="E1509" s="38">
        <f>IF(AND($A1508&lt;&gt;"",'算罪台'!$B$6&lt;&gt;"",ISNUMBER(SEARCH($A1508,'算罪台'!$B$6))),1,0)</f>
        <v/>
      </c>
    </row>
    <row r="1510">
      <c r="A1510" s="38" t="inlineStr">
        <is>
          <t>收回扣</t>
        </is>
      </c>
      <c r="B1510" s="38" t="inlineStr">
        <is>
          <t>医护乱收费/收私钱</t>
        </is>
      </c>
      <c r="C1510" s="38">
        <f>IF(AND($A1509&lt;&gt;"",'算罪台'!$B$4&lt;&gt;"",ISNUMBER(SEARCH($A1509,'算罪台'!$B$4))),1,0)</f>
        <v/>
      </c>
      <c r="D1510" s="38">
        <f>IF(AND($A1509&lt;&gt;"",'算罪台'!$B$5&lt;&gt;"",ISNUMBER(SEARCH($A1509,'算罪台'!$B$5))),1,0)</f>
        <v/>
      </c>
      <c r="E1510" s="38">
        <f>IF(AND($A1509&lt;&gt;"",'算罪台'!$B$6&lt;&gt;"",ISNUMBER(SEARCH($A1509,'算罪台'!$B$6))),1,0)</f>
        <v/>
      </c>
    </row>
    <row r="1511">
      <c r="A1511" s="38" t="inlineStr">
        <is>
          <t>加价收费</t>
        </is>
      </c>
      <c r="B1511" s="38" t="inlineStr">
        <is>
          <t>医护乱收费/收私钱</t>
        </is>
      </c>
      <c r="C1511" s="38">
        <f>IF(AND($A1510&lt;&gt;"",'算罪台'!$B$4&lt;&gt;"",ISNUMBER(SEARCH($A1510,'算罪台'!$B$4))),1,0)</f>
        <v/>
      </c>
      <c r="D1511" s="38">
        <f>IF(AND($A1510&lt;&gt;"",'算罪台'!$B$5&lt;&gt;"",ISNUMBER(SEARCH($A1510,'算罪台'!$B$5))),1,0)</f>
        <v/>
      </c>
      <c r="E1511" s="38">
        <f>IF(AND($A1510&lt;&gt;"",'算罪台'!$B$6&lt;&gt;"",ISNUMBER(SEARCH($A1510,'算罪台'!$B$6))),1,0)</f>
        <v/>
      </c>
    </row>
    <row r="1512">
      <c r="A1512" s="38" t="inlineStr">
        <is>
          <t>救人要钱不开单</t>
        </is>
      </c>
      <c r="B1512" s="38" t="inlineStr">
        <is>
          <t>医护乱收费/收私钱</t>
        </is>
      </c>
      <c r="C1512" s="38">
        <f>IF(AND($A1511&lt;&gt;"",'算罪台'!$B$4&lt;&gt;"",ISNUMBER(SEARCH($A1511,'算罪台'!$B$4))),1,0)</f>
        <v/>
      </c>
      <c r="D1512" s="38">
        <f>IF(AND($A1511&lt;&gt;"",'算罪台'!$B$5&lt;&gt;"",ISNUMBER(SEARCH($A1511,'算罪台'!$B$5))),1,0)</f>
        <v/>
      </c>
      <c r="E1512" s="38">
        <f>IF(AND($A1511&lt;&gt;"",'算罪台'!$B$6&lt;&gt;"",ISNUMBER(SEARCH($A1511,'算罪台'!$B$6))),1,0)</f>
        <v/>
      </c>
    </row>
    <row r="1513">
      <c r="A1513" s="38" t="inlineStr">
        <is>
          <t>乱开价格</t>
        </is>
      </c>
      <c r="B1513" s="38" t="inlineStr">
        <is>
          <t>医护乱收费/收私钱</t>
        </is>
      </c>
      <c r="C1513" s="38">
        <f>IF(AND($A1512&lt;&gt;"",'算罪台'!$B$4&lt;&gt;"",ISNUMBER(SEARCH($A1512,'算罪台'!$B$4))),1,0)</f>
        <v/>
      </c>
      <c r="D1513" s="38">
        <f>IF(AND($A1512&lt;&gt;"",'算罪台'!$B$5&lt;&gt;"",ISNUMBER(SEARCH($A1512,'算罪台'!$B$5))),1,0)</f>
        <v/>
      </c>
      <c r="E1513" s="38">
        <f>IF(AND($A1512&lt;&gt;"",'算罪台'!$B$6&lt;&gt;"",ISNUMBER(SEARCH($A1512,'算罪台'!$B$6))),1,0)</f>
        <v/>
      </c>
    </row>
    <row r="1514">
      <c r="A1514" s="38" t="inlineStr">
        <is>
          <t>救护乱要钱</t>
        </is>
      </c>
      <c r="B1514" s="38" t="inlineStr">
        <is>
          <t>医护乱收费/收私钱</t>
        </is>
      </c>
      <c r="C1514" s="38">
        <f>IF(AND($A1513&lt;&gt;"",'算罪台'!$B$4&lt;&gt;"",ISNUMBER(SEARCH($A1513,'算罪台'!$B$4))),1,0)</f>
        <v/>
      </c>
      <c r="D1514" s="38">
        <f>IF(AND($A1513&lt;&gt;"",'算罪台'!$B$5&lt;&gt;"",ISNUMBER(SEARCH($A1513,'算罪台'!$B$5))),1,0)</f>
        <v/>
      </c>
      <c r="E1514" s="38">
        <f>IF(AND($A1513&lt;&gt;"",'算罪台'!$B$6&lt;&gt;"",ISNUMBER(SEARCH($A1513,'算罪台'!$B$6))),1,0)</f>
        <v/>
      </c>
    </row>
    <row r="1515">
      <c r="A1515" s="38" t="inlineStr">
        <is>
          <t>黑诊所</t>
        </is>
      </c>
      <c r="B1515" s="38" t="inlineStr">
        <is>
          <t>医护乱收费/收私钱</t>
        </is>
      </c>
      <c r="C1515" s="38">
        <f>IF(AND($A1514&lt;&gt;"",'算罪台'!$B$4&lt;&gt;"",ISNUMBER(SEARCH($A1514,'算罪台'!$B$4))),1,0)</f>
        <v/>
      </c>
      <c r="D1515" s="38">
        <f>IF(AND($A1514&lt;&gt;"",'算罪台'!$B$5&lt;&gt;"",ISNUMBER(SEARCH($A1514,'算罪台'!$B$5))),1,0)</f>
        <v/>
      </c>
      <c r="E1515" s="38">
        <f>IF(AND($A1514&lt;&gt;"",'算罪台'!$B$6&lt;&gt;"",ISNUMBER(SEARCH($A1514,'算罪台'!$B$6))),1,0)</f>
        <v/>
      </c>
    </row>
    <row r="1516">
      <c r="A1516" s="38" t="inlineStr">
        <is>
          <t>拒绝救治</t>
        </is>
      </c>
      <c r="B1516" s="38" t="inlineStr">
        <is>
          <t>拒绝救治/拒绝住院</t>
        </is>
      </c>
      <c r="C1516" s="38">
        <f>IF(AND($A1515&lt;&gt;"",'算罪台'!$B$4&lt;&gt;"",ISNUMBER(SEARCH($A1515,'算罪台'!$B$4))),1,0)</f>
        <v/>
      </c>
      <c r="D1516" s="38">
        <f>IF(AND($A1515&lt;&gt;"",'算罪台'!$B$5&lt;&gt;"",ISNUMBER(SEARCH($A1515,'算罪台'!$B$5))),1,0)</f>
        <v/>
      </c>
      <c r="E1516" s="38">
        <f>IF(AND($A1515&lt;&gt;"",'算罪台'!$B$6&lt;&gt;"",ISNUMBER(SEARCH($A1515,'算罪台'!$B$6))),1,0)</f>
        <v/>
      </c>
    </row>
    <row r="1517">
      <c r="A1517" s="38" t="inlineStr">
        <is>
          <t>拒绝住院</t>
        </is>
      </c>
      <c r="B1517" s="38" t="inlineStr">
        <is>
          <t>拒绝救治/拒绝住院</t>
        </is>
      </c>
      <c r="C1517" s="38">
        <f>IF(AND($A1516&lt;&gt;"",'算罪台'!$B$4&lt;&gt;"",ISNUMBER(SEARCH($A1516,'算罪台'!$B$4))),1,0)</f>
        <v/>
      </c>
      <c r="D1517" s="38">
        <f>IF(AND($A1516&lt;&gt;"",'算罪台'!$B$5&lt;&gt;"",ISNUMBER(SEARCH($A1516,'算罪台'!$B$5))),1,0)</f>
        <v/>
      </c>
      <c r="E1517" s="38">
        <f>IF(AND($A1516&lt;&gt;"",'算罪台'!$B$6&lt;&gt;"",ISNUMBER(SEARCH($A1516,'算罪台'!$B$6))),1,0)</f>
        <v/>
      </c>
    </row>
    <row r="1518">
      <c r="A1518" s="38" t="inlineStr">
        <is>
          <t>拒绝复活</t>
        </is>
      </c>
      <c r="B1518" s="38" t="inlineStr">
        <is>
          <t>拒绝救治/拒绝住院</t>
        </is>
      </c>
      <c r="C1518" s="38">
        <f>IF(AND($A1517&lt;&gt;"",'算罪台'!$B$4&lt;&gt;"",ISNUMBER(SEARCH($A1517,'算罪台'!$B$4))),1,0)</f>
        <v/>
      </c>
      <c r="D1518" s="38">
        <f>IF(AND($A1517&lt;&gt;"",'算罪台'!$B$5&lt;&gt;"",ISNUMBER(SEARCH($A1517,'算罪台'!$B$5))),1,0)</f>
        <v/>
      </c>
      <c r="E1518" s="38">
        <f>IF(AND($A1517&lt;&gt;"",'算罪台'!$B$6&lt;&gt;"",ISNUMBER(SEARCH($A1517,'算罪台'!$B$6))),1,0)</f>
        <v/>
      </c>
    </row>
    <row r="1519">
      <c r="A1519" s="38" t="inlineStr">
        <is>
          <t>见死不救</t>
        </is>
      </c>
      <c r="B1519" s="38" t="inlineStr">
        <is>
          <t>拒绝救治/拒绝住院</t>
        </is>
      </c>
      <c r="C1519" s="38">
        <f>IF(AND($A1518&lt;&gt;"",'算罪台'!$B$4&lt;&gt;"",ISNUMBER(SEARCH($A1518,'算罪台'!$B$4))),1,0)</f>
        <v/>
      </c>
      <c r="D1519" s="38">
        <f>IF(AND($A1518&lt;&gt;"",'算罪台'!$B$5&lt;&gt;"",ISNUMBER(SEARCH($A1518,'算罪台'!$B$5))),1,0)</f>
        <v/>
      </c>
      <c r="E1519" s="38">
        <f>IF(AND($A1518&lt;&gt;"",'算罪台'!$B$6&lt;&gt;"",ISNUMBER(SEARCH($A1518,'算罪台'!$B$6))),1,0)</f>
        <v/>
      </c>
    </row>
    <row r="1520">
      <c r="A1520" s="38" t="inlineStr">
        <is>
          <t>拒绝治疗</t>
        </is>
      </c>
      <c r="B1520" s="38" t="inlineStr">
        <is>
          <t>拒绝救治/拒绝住院</t>
        </is>
      </c>
      <c r="C1520" s="38">
        <f>IF(AND($A1519&lt;&gt;"",'算罪台'!$B$4&lt;&gt;"",ISNUMBER(SEARCH($A1519,'算罪台'!$B$4))),1,0)</f>
        <v/>
      </c>
      <c r="D1520" s="38">
        <f>IF(AND($A1519&lt;&gt;"",'算罪台'!$B$5&lt;&gt;"",ISNUMBER(SEARCH($A1519,'算罪台'!$B$5))),1,0)</f>
        <v/>
      </c>
      <c r="E1520" s="38">
        <f>IF(AND($A1519&lt;&gt;"",'算罪台'!$B$6&lt;&gt;"",ISNUMBER(SEARCH($A1519,'算罪台'!$B$6))),1,0)</f>
        <v/>
      </c>
    </row>
    <row r="1521">
      <c r="A1521" s="38" t="inlineStr">
        <is>
          <t>不肯救治</t>
        </is>
      </c>
      <c r="B1521" s="38" t="inlineStr">
        <is>
          <t>拒绝救治/拒绝住院</t>
        </is>
      </c>
      <c r="C1521" s="38">
        <f>IF(AND($A1520&lt;&gt;"",'算罪台'!$B$4&lt;&gt;"",ISNUMBER(SEARCH($A1520,'算罪台'!$B$4))),1,0)</f>
        <v/>
      </c>
      <c r="D1521" s="38">
        <f>IF(AND($A1520&lt;&gt;"",'算罪台'!$B$5&lt;&gt;"",ISNUMBER(SEARCH($A1520,'算罪台'!$B$5))),1,0)</f>
        <v/>
      </c>
      <c r="E1521" s="38">
        <f>IF(AND($A1520&lt;&gt;"",'算罪台'!$B$6&lt;&gt;"",ISNUMBER(SEARCH($A1520,'算罪台'!$B$6))),1,0)</f>
        <v/>
      </c>
    </row>
    <row r="1522">
      <c r="A1522" s="38" t="inlineStr">
        <is>
          <t>不给治疗</t>
        </is>
      </c>
      <c r="B1522" s="38" t="inlineStr">
        <is>
          <t>拒绝救治/拒绝住院</t>
        </is>
      </c>
      <c r="C1522" s="38">
        <f>IF(AND($A1521&lt;&gt;"",'算罪台'!$B$4&lt;&gt;"",ISNUMBER(SEARCH($A1521,'算罪台'!$B$4))),1,0)</f>
        <v/>
      </c>
      <c r="D1522" s="38">
        <f>IF(AND($A1521&lt;&gt;"",'算罪台'!$B$5&lt;&gt;"",ISNUMBER(SEARCH($A1521,'算罪台'!$B$5))),1,0)</f>
        <v/>
      </c>
      <c r="E1522" s="38">
        <f>IF(AND($A1521&lt;&gt;"",'算罪台'!$B$6&lt;&gt;"",ISNUMBER(SEARCH($A1521,'算罪台'!$B$6))),1,0)</f>
        <v/>
      </c>
    </row>
    <row r="1523">
      <c r="A1523" s="38" t="inlineStr">
        <is>
          <t>拒收病人</t>
        </is>
      </c>
      <c r="B1523" s="38" t="inlineStr">
        <is>
          <t>拒绝救治/拒绝住院</t>
        </is>
      </c>
      <c r="C1523" s="38">
        <f>IF(AND($A1522&lt;&gt;"",'算罪台'!$B$4&lt;&gt;"",ISNUMBER(SEARCH($A1522,'算罪台'!$B$4))),1,0)</f>
        <v/>
      </c>
      <c r="D1523" s="38">
        <f>IF(AND($A1522&lt;&gt;"",'算罪台'!$B$5&lt;&gt;"",ISNUMBER(SEARCH($A1522,'算罪台'!$B$5))),1,0)</f>
        <v/>
      </c>
      <c r="E1523" s="38">
        <f>IF(AND($A1522&lt;&gt;"",'算罪台'!$B$6&lt;&gt;"",ISNUMBER(SEARCH($A1522,'算罪台'!$B$6))),1,0)</f>
        <v/>
      </c>
    </row>
    <row r="1524">
      <c r="A1524" s="38" t="inlineStr">
        <is>
          <t>不让住院</t>
        </is>
      </c>
      <c r="B1524" s="38" t="inlineStr">
        <is>
          <t>拒绝救治/拒绝住院</t>
        </is>
      </c>
      <c r="C1524" s="38">
        <f>IF(AND($A1523&lt;&gt;"",'算罪台'!$B$4&lt;&gt;"",ISNUMBER(SEARCH($A1523,'算罪台'!$B$4))),1,0)</f>
        <v/>
      </c>
      <c r="D1524" s="38">
        <f>IF(AND($A1523&lt;&gt;"",'算罪台'!$B$5&lt;&gt;"",ISNUMBER(SEARCH($A1523,'算罪台'!$B$5))),1,0)</f>
        <v/>
      </c>
      <c r="E1524" s="38">
        <f>IF(AND($A1523&lt;&gt;"",'算罪台'!$B$6&lt;&gt;"",ISNUMBER(SEARCH($A1523,'算罪台'!$B$6))),1,0)</f>
        <v/>
      </c>
    </row>
    <row r="1525">
      <c r="A1525" s="38" t="inlineStr">
        <is>
          <t>不给复活</t>
        </is>
      </c>
      <c r="B1525" s="38" t="inlineStr">
        <is>
          <t>拒绝救治/拒绝住院</t>
        </is>
      </c>
      <c r="C1525" s="38">
        <f>IF(AND($A1524&lt;&gt;"",'算罪台'!$B$4&lt;&gt;"",ISNUMBER(SEARCH($A1524,'算罪台'!$B$4))),1,0)</f>
        <v/>
      </c>
      <c r="D1525" s="38">
        <f>IF(AND($A1524&lt;&gt;"",'算罪台'!$B$5&lt;&gt;"",ISNUMBER(SEARCH($A1524,'算罪台'!$B$5))),1,0)</f>
        <v/>
      </c>
      <c r="E1525" s="38">
        <f>IF(AND($A1524&lt;&gt;"",'算罪台'!$B$6&lt;&gt;"",ISNUMBER(SEARCH($A1524,'算罪台'!$B$6))),1,0)</f>
        <v/>
      </c>
    </row>
    <row r="1526">
      <c r="A1526" s="38" t="inlineStr">
        <is>
          <t>拖着不救治</t>
        </is>
      </c>
      <c r="B1526" s="38" t="inlineStr">
        <is>
          <t>拒绝救治/拒绝住院</t>
        </is>
      </c>
      <c r="C1526" s="38">
        <f>IF(AND($A1525&lt;&gt;"",'算罪台'!$B$4&lt;&gt;"",ISNUMBER(SEARCH($A1525,'算罪台'!$B$4))),1,0)</f>
        <v/>
      </c>
      <c r="D1526" s="38">
        <f>IF(AND($A1525&lt;&gt;"",'算罪台'!$B$5&lt;&gt;"",ISNUMBER(SEARCH($A1525,'算罪台'!$B$5))),1,0)</f>
        <v/>
      </c>
      <c r="E1526" s="38">
        <f>IF(AND($A1525&lt;&gt;"",'算罪台'!$B$6&lt;&gt;"",ISNUMBER(SEARCH($A1525,'算罪台'!$B$6))),1,0)</f>
        <v/>
      </c>
    </row>
    <row r="1527">
      <c r="A1527" s="38" t="inlineStr">
        <is>
          <t>拒绝接诊</t>
        </is>
      </c>
      <c r="B1527" s="38" t="inlineStr">
        <is>
          <t>拒绝救治/拒绝住院</t>
        </is>
      </c>
      <c r="C1527" s="38">
        <f>IF(AND($A1526&lt;&gt;"",'算罪台'!$B$4&lt;&gt;"",ISNUMBER(SEARCH($A1526,'算罪台'!$B$4))),1,0)</f>
        <v/>
      </c>
      <c r="D1527" s="38">
        <f>IF(AND($A1526&lt;&gt;"",'算罪台'!$B$5&lt;&gt;"",ISNUMBER(SEARCH($A1526,'算罪台'!$B$5))),1,0)</f>
        <v/>
      </c>
      <c r="E1527" s="38">
        <f>IF(AND($A1526&lt;&gt;"",'算罪台'!$B$6&lt;&gt;"",ISNUMBER(SEARCH($A1526,'算罪台'!$B$6))),1,0)</f>
        <v/>
      </c>
    </row>
    <row r="1528">
      <c r="A1528" s="38" t="inlineStr">
        <is>
          <t>故意不救治</t>
        </is>
      </c>
      <c r="B1528" s="38" t="inlineStr">
        <is>
          <t>拒绝救治/拒绝住院</t>
        </is>
      </c>
      <c r="C1528" s="38">
        <f>IF(AND($A1527&lt;&gt;"",'算罪台'!$B$4&lt;&gt;"",ISNUMBER(SEARCH($A1527,'算罪台'!$B$4))),1,0)</f>
        <v/>
      </c>
      <c r="D1528" s="38">
        <f>IF(AND($A1527&lt;&gt;"",'算罪台'!$B$5&lt;&gt;"",ISNUMBER(SEARCH($A1527,'算罪台'!$B$5))),1,0)</f>
        <v/>
      </c>
      <c r="E1528" s="38">
        <f>IF(AND($A1527&lt;&gt;"",'算罪台'!$B$6&lt;&gt;"",ISNUMBER(SEARCH($A1527,'算罪台'!$B$6))),1,0)</f>
        <v/>
      </c>
    </row>
    <row r="1529">
      <c r="A1529" s="38" t="inlineStr">
        <is>
          <t>拒不救治</t>
        </is>
      </c>
      <c r="B1529" s="38" t="inlineStr">
        <is>
          <t>拒绝救治/拒绝住院</t>
        </is>
      </c>
      <c r="C1529" s="38">
        <f>IF(AND($A1528&lt;&gt;"",'算罪台'!$B$4&lt;&gt;"",ISNUMBER(SEARCH($A1528,'算罪台'!$B$4))),1,0)</f>
        <v/>
      </c>
      <c r="D1529" s="38">
        <f>IF(AND($A1528&lt;&gt;"",'算罪台'!$B$5&lt;&gt;"",ISNUMBER(SEARCH($A1528,'算罪台'!$B$5))),1,0)</f>
        <v/>
      </c>
      <c r="E1529" s="38">
        <f>IF(AND($A1528&lt;&gt;"",'算罪台'!$B$6&lt;&gt;"",ISNUMBER(SEARCH($A1528,'算罪台'!$B$6))),1,0)</f>
        <v/>
      </c>
    </row>
    <row r="1530">
      <c r="A1530" s="38" t="inlineStr">
        <is>
          <t>不肯复活</t>
        </is>
      </c>
      <c r="B1530" s="38" t="inlineStr">
        <is>
          <t>拒绝救治/拒绝住院</t>
        </is>
      </c>
      <c r="C1530" s="38">
        <f>IF(AND($A1529&lt;&gt;"",'算罪台'!$B$4&lt;&gt;"",ISNUMBER(SEARCH($A1529,'算罪台'!$B$4))),1,0)</f>
        <v/>
      </c>
      <c r="D1530" s="38">
        <f>IF(AND($A1529&lt;&gt;"",'算罪台'!$B$5&lt;&gt;"",ISNUMBER(SEARCH($A1529,'算罪台'!$B$5))),1,0)</f>
        <v/>
      </c>
      <c r="E1530" s="38">
        <f>IF(AND($A1529&lt;&gt;"",'算罪台'!$B$6&lt;&gt;"",ISNUMBER(SEARCH($A1529,'算罪台'!$B$6))),1,0)</f>
        <v/>
      </c>
    </row>
    <row r="1531">
      <c r="A1531" s="38" t="inlineStr">
        <is>
          <t>不愿救治</t>
        </is>
      </c>
      <c r="B1531" s="38" t="inlineStr">
        <is>
          <t>拒绝救治/拒绝住院</t>
        </is>
      </c>
      <c r="C1531" s="38">
        <f>IF(AND($A1530&lt;&gt;"",'算罪台'!$B$4&lt;&gt;"",ISNUMBER(SEARCH($A1530,'算罪台'!$B$4))),1,0)</f>
        <v/>
      </c>
      <c r="D1531" s="38">
        <f>IF(AND($A1530&lt;&gt;"",'算罪台'!$B$5&lt;&gt;"",ISNUMBER(SEARCH($A1530,'算罪台'!$B$5))),1,0)</f>
        <v/>
      </c>
      <c r="E1531" s="38">
        <f>IF(AND($A1530&lt;&gt;"",'算罪台'!$B$6&lt;&gt;"",ISNUMBER(SEARCH($A1530,'算罪台'!$B$6))),1,0)</f>
        <v/>
      </c>
    </row>
    <row r="1532">
      <c r="A1532" s="38" t="inlineStr">
        <is>
          <t>上班开私家车</t>
        </is>
      </c>
      <c r="B1532" s="38" t="inlineStr">
        <is>
          <t>医护上班违规</t>
        </is>
      </c>
      <c r="C1532" s="38">
        <f>IF(AND($A1531&lt;&gt;"",'算罪台'!$B$4&lt;&gt;"",ISNUMBER(SEARCH($A1531,'算罪台'!$B$4))),1,0)</f>
        <v/>
      </c>
      <c r="D1532" s="38">
        <f>IF(AND($A1531&lt;&gt;"",'算罪台'!$B$5&lt;&gt;"",ISNUMBER(SEARCH($A1531,'算罪台'!$B$5))),1,0)</f>
        <v/>
      </c>
      <c r="E1532" s="38">
        <f>IF(AND($A1531&lt;&gt;"",'算罪台'!$B$6&lt;&gt;"",ISNUMBER(SEARCH($A1531,'算罪台'!$B$6))),1,0)</f>
        <v/>
      </c>
    </row>
    <row r="1533">
      <c r="A1533" s="38" t="inlineStr">
        <is>
          <t>医护开私家车</t>
        </is>
      </c>
      <c r="B1533" s="38" t="inlineStr">
        <is>
          <t>医护上班违规</t>
        </is>
      </c>
      <c r="C1533" s="38">
        <f>IF(AND($A1532&lt;&gt;"",'算罪台'!$B$4&lt;&gt;"",ISNUMBER(SEARCH($A1532,'算罪台'!$B$4))),1,0)</f>
        <v/>
      </c>
      <c r="D1533" s="38">
        <f>IF(AND($A1532&lt;&gt;"",'算罪台'!$B$5&lt;&gt;"",ISNUMBER(SEARCH($A1532,'算罪台'!$B$5))),1,0)</f>
        <v/>
      </c>
      <c r="E1533" s="38">
        <f>IF(AND($A1532&lt;&gt;"",'算罪台'!$B$6&lt;&gt;"",ISNUMBER(SEARCH($A1532,'算罪台'!$B$6))),1,0)</f>
        <v/>
      </c>
    </row>
    <row r="1534">
      <c r="A1534" s="38" t="inlineStr">
        <is>
          <t>上班不穿工服</t>
        </is>
      </c>
      <c r="B1534" s="38" t="inlineStr">
        <is>
          <t>医护上班违规</t>
        </is>
      </c>
      <c r="C1534" s="38">
        <f>IF(AND($A1533&lt;&gt;"",'算罪台'!$B$4&lt;&gt;"",ISNUMBER(SEARCH($A1533,'算罪台'!$B$4))),1,0)</f>
        <v/>
      </c>
      <c r="D1534" s="38">
        <f>IF(AND($A1533&lt;&gt;"",'算罪台'!$B$5&lt;&gt;"",ISNUMBER(SEARCH($A1533,'算罪台'!$B$5))),1,0)</f>
        <v/>
      </c>
      <c r="E1534" s="38">
        <f>IF(AND($A1533&lt;&gt;"",'算罪台'!$B$6&lt;&gt;"",ISNUMBER(SEARCH($A1533,'算罪台'!$B$6))),1,0)</f>
        <v/>
      </c>
    </row>
    <row r="1535">
      <c r="A1535" s="38" t="inlineStr">
        <is>
          <t>医护介入纠纷</t>
        </is>
      </c>
      <c r="B1535" s="38" t="inlineStr">
        <is>
          <t>医护上班违规</t>
        </is>
      </c>
      <c r="C1535" s="38">
        <f>IF(AND($A1534&lt;&gt;"",'算罪台'!$B$4&lt;&gt;"",ISNUMBER(SEARCH($A1534,'算罪台'!$B$4))),1,0)</f>
        <v/>
      </c>
      <c r="D1535" s="38">
        <f>IF(AND($A1534&lt;&gt;"",'算罪台'!$B$5&lt;&gt;"",ISNUMBER(SEARCH($A1534,'算罪台'!$B$5))),1,0)</f>
        <v/>
      </c>
      <c r="E1535" s="38">
        <f>IF(AND($A1534&lt;&gt;"",'算罪台'!$B$6&lt;&gt;"",ISNUMBER(SEARCH($A1534,'算罪台'!$B$6))),1,0)</f>
        <v/>
      </c>
    </row>
    <row r="1536">
      <c r="A1536" s="38" t="inlineStr">
        <is>
          <t>医护参与斗殴</t>
        </is>
      </c>
      <c r="B1536" s="38" t="inlineStr">
        <is>
          <t>医护上班违规</t>
        </is>
      </c>
      <c r="C1536" s="38">
        <f>IF(AND($A1535&lt;&gt;"",'算罪台'!$B$4&lt;&gt;"",ISNUMBER(SEARCH($A1535,'算罪台'!$B$4))),1,0)</f>
        <v/>
      </c>
      <c r="D1536" s="38">
        <f>IF(AND($A1535&lt;&gt;"",'算罪台'!$B$5&lt;&gt;"",ISNUMBER(SEARCH($A1535,'算罪台'!$B$5))),1,0)</f>
        <v/>
      </c>
      <c r="E1536" s="38">
        <f>IF(AND($A1535&lt;&gt;"",'算罪台'!$B$6&lt;&gt;"",ISNUMBER(SEARCH($A1535,'算罪台'!$B$6))),1,0)</f>
        <v/>
      </c>
    </row>
    <row r="1537">
      <c r="A1537" s="38" t="inlineStr">
        <is>
          <t>救援不开警笛</t>
        </is>
      </c>
      <c r="B1537" s="38" t="inlineStr">
        <is>
          <t>医护上班违规</t>
        </is>
      </c>
      <c r="C1537" s="38">
        <f>IF(AND($A1536&lt;&gt;"",'算罪台'!$B$4&lt;&gt;"",ISNUMBER(SEARCH($A1536,'算罪台'!$B$4))),1,0)</f>
        <v/>
      </c>
      <c r="D1537" s="38">
        <f>IF(AND($A1536&lt;&gt;"",'算罪台'!$B$5&lt;&gt;"",ISNUMBER(SEARCH($A1536,'算罪台'!$B$5))),1,0)</f>
        <v/>
      </c>
      <c r="E1537" s="38">
        <f>IF(AND($A1536&lt;&gt;"",'算罪台'!$B$6&lt;&gt;"",ISNUMBER(SEARCH($A1536,'算罪台'!$B$6))),1,0)</f>
        <v/>
      </c>
    </row>
    <row r="1538">
      <c r="A1538" s="38" t="inlineStr">
        <is>
          <t>上班兼职</t>
        </is>
      </c>
      <c r="B1538" s="38" t="inlineStr">
        <is>
          <t>医护上班违规</t>
        </is>
      </c>
      <c r="C1538" s="38">
        <f>IF(AND($A1537&lt;&gt;"",'算罪台'!$B$4&lt;&gt;"",ISNUMBER(SEARCH($A1537,'算罪台'!$B$4))),1,0)</f>
        <v/>
      </c>
      <c r="D1538" s="38">
        <f>IF(AND($A1537&lt;&gt;"",'算罪台'!$B$5&lt;&gt;"",ISNUMBER(SEARCH($A1537,'算罪台'!$B$5))),1,0)</f>
        <v/>
      </c>
      <c r="E1538" s="38">
        <f>IF(AND($A1537&lt;&gt;"",'算罪台'!$B$6&lt;&gt;"",ISNUMBER(SEARCH($A1537,'算罪台'!$B$6))),1,0)</f>
        <v/>
      </c>
    </row>
    <row r="1539">
      <c r="A1539" s="38" t="inlineStr">
        <is>
          <t>医护私自上班</t>
        </is>
      </c>
      <c r="B1539" s="38" t="inlineStr">
        <is>
          <t>医护上班违规</t>
        </is>
      </c>
      <c r="C1539" s="38">
        <f>IF(AND($A1538&lt;&gt;"",'算罪台'!$B$4&lt;&gt;"",ISNUMBER(SEARCH($A1538,'算罪台'!$B$4))),1,0)</f>
        <v/>
      </c>
      <c r="D1539" s="38">
        <f>IF(AND($A1538&lt;&gt;"",'算罪台'!$B$5&lt;&gt;"",ISNUMBER(SEARCH($A1538,'算罪台'!$B$5))),1,0)</f>
        <v/>
      </c>
      <c r="E1539" s="38">
        <f>IF(AND($A1538&lt;&gt;"",'算罪台'!$B$6&lt;&gt;"",ISNUMBER(SEARCH($A1538,'算罪台'!$B$6))),1,0)</f>
        <v/>
      </c>
    </row>
    <row r="1540">
      <c r="A1540" s="38" t="inlineStr">
        <is>
          <t>上班开自己车</t>
        </is>
      </c>
      <c r="B1540" s="38" t="inlineStr">
        <is>
          <t>医护上班违规</t>
        </is>
      </c>
      <c r="C1540" s="38">
        <f>IF(AND($A1539&lt;&gt;"",'算罪台'!$B$4&lt;&gt;"",ISNUMBER(SEARCH($A1539,'算罪台'!$B$4))),1,0)</f>
        <v/>
      </c>
      <c r="D1540" s="38">
        <f>IF(AND($A1539&lt;&gt;"",'算罪台'!$B$5&lt;&gt;"",ISNUMBER(SEARCH($A1539,'算罪台'!$B$5))),1,0)</f>
        <v/>
      </c>
      <c r="E1540" s="38">
        <f>IF(AND($A1539&lt;&gt;"",'算罪台'!$B$6&lt;&gt;"",ISNUMBER(SEARCH($A1539,'算罪台'!$B$6))),1,0)</f>
        <v/>
      </c>
    </row>
    <row r="1541">
      <c r="A1541" s="38" t="inlineStr">
        <is>
          <t>没穿制服</t>
        </is>
      </c>
      <c r="B1541" s="38" t="inlineStr">
        <is>
          <t>医护上班违规</t>
        </is>
      </c>
      <c r="C1541" s="38">
        <f>IF(AND($A1540&lt;&gt;"",'算罪台'!$B$4&lt;&gt;"",ISNUMBER(SEARCH($A1540,'算罪台'!$B$4))),1,0)</f>
        <v/>
      </c>
      <c r="D1541" s="38">
        <f>IF(AND($A1540&lt;&gt;"",'算罪台'!$B$5&lt;&gt;"",ISNUMBER(SEARCH($A1540,'算罪台'!$B$5))),1,0)</f>
        <v/>
      </c>
      <c r="E1541" s="38">
        <f>IF(AND($A1540&lt;&gt;"",'算罪台'!$B$6&lt;&gt;"",ISNUMBER(SEARCH($A1540,'算罪台'!$B$6))),1,0)</f>
        <v/>
      </c>
    </row>
    <row r="1542">
      <c r="A1542" s="38" t="inlineStr">
        <is>
          <t>开私车上班</t>
        </is>
      </c>
      <c r="B1542" s="38" t="inlineStr">
        <is>
          <t>医护上班违规</t>
        </is>
      </c>
      <c r="C1542" s="38">
        <f>IF(AND($A1541&lt;&gt;"",'算罪台'!$B$4&lt;&gt;"",ISNUMBER(SEARCH($A1541,'算罪台'!$B$4))),1,0)</f>
        <v/>
      </c>
      <c r="D1542" s="38">
        <f>IF(AND($A1541&lt;&gt;"",'算罪台'!$B$5&lt;&gt;"",ISNUMBER(SEARCH($A1541,'算罪台'!$B$5))),1,0)</f>
        <v/>
      </c>
      <c r="E1542" s="38">
        <f>IF(AND($A1541&lt;&gt;"",'算罪台'!$B$6&lt;&gt;"",ISNUMBER(SEARCH($A1541,'算罪台'!$B$6))),1,0)</f>
        <v/>
      </c>
    </row>
    <row r="1543">
      <c r="A1543" s="38" t="inlineStr">
        <is>
          <t>不开救护车出勤</t>
        </is>
      </c>
      <c r="B1543" s="38" t="inlineStr">
        <is>
          <t>医护上班违规</t>
        </is>
      </c>
      <c r="C1543" s="38">
        <f>IF(AND($A1542&lt;&gt;"",'算罪台'!$B$4&lt;&gt;"",ISNUMBER(SEARCH($A1542,'算罪台'!$B$4))),1,0)</f>
        <v/>
      </c>
      <c r="D1543" s="38">
        <f>IF(AND($A1542&lt;&gt;"",'算罪台'!$B$5&lt;&gt;"",ISNUMBER(SEARCH($A1542,'算罪台'!$B$5))),1,0)</f>
        <v/>
      </c>
      <c r="E1543" s="38">
        <f>IF(AND($A1542&lt;&gt;"",'算罪台'!$B$6&lt;&gt;"",ISNUMBER(SEARCH($A1542,'算罪台'!$B$6))),1,0)</f>
        <v/>
      </c>
    </row>
    <row r="1544">
      <c r="A1544" s="38" t="inlineStr">
        <is>
          <t>医护去打架</t>
        </is>
      </c>
      <c r="B1544" s="38" t="inlineStr">
        <is>
          <t>医护上班违规</t>
        </is>
      </c>
      <c r="C1544" s="38">
        <f>IF(AND($A1543&lt;&gt;"",'算罪台'!$B$4&lt;&gt;"",ISNUMBER(SEARCH($A1543,'算罪台'!$B$4))),1,0)</f>
        <v/>
      </c>
      <c r="D1544" s="38">
        <f>IF(AND($A1543&lt;&gt;"",'算罪台'!$B$5&lt;&gt;"",ISNUMBER(SEARCH($A1543,'算罪台'!$B$5))),1,0)</f>
        <v/>
      </c>
      <c r="E1544" s="38">
        <f>IF(AND($A1543&lt;&gt;"",'算罪台'!$B$6&lt;&gt;"",ISNUMBER(SEARCH($A1543,'算罪台'!$B$6))),1,0)</f>
        <v/>
      </c>
    </row>
    <row r="1545">
      <c r="A1545" s="38" t="inlineStr">
        <is>
          <t>医护掺和</t>
        </is>
      </c>
      <c r="B1545" s="38" t="inlineStr">
        <is>
          <t>医护上班违规</t>
        </is>
      </c>
      <c r="C1545" s="38">
        <f>IF(AND($A1544&lt;&gt;"",'算罪台'!$B$4&lt;&gt;"",ISNUMBER(SEARCH($A1544,'算罪台'!$B$4))),1,0)</f>
        <v/>
      </c>
      <c r="D1545" s="38">
        <f>IF(AND($A1544&lt;&gt;"",'算罪台'!$B$5&lt;&gt;"",ISNUMBER(SEARCH($A1544,'算罪台'!$B$5))),1,0)</f>
        <v/>
      </c>
      <c r="E1545" s="38">
        <f>IF(AND($A1544&lt;&gt;"",'算罪台'!$B$6&lt;&gt;"",ISNUMBER(SEARCH($A1544,'算罪台'!$B$6))),1,0)</f>
        <v/>
      </c>
    </row>
    <row r="1546">
      <c r="A1546" s="38" t="inlineStr">
        <is>
          <t>救援不开灯</t>
        </is>
      </c>
      <c r="B1546" s="38" t="inlineStr">
        <is>
          <t>医护上班违规</t>
        </is>
      </c>
      <c r="C1546" s="38">
        <f>IF(AND($A1545&lt;&gt;"",'算罪台'!$B$4&lt;&gt;"",ISNUMBER(SEARCH($A1545,'算罪台'!$B$4))),1,0)</f>
        <v/>
      </c>
      <c r="D1546" s="38">
        <f>IF(AND($A1545&lt;&gt;"",'算罪台'!$B$5&lt;&gt;"",ISNUMBER(SEARCH($A1545,'算罪台'!$B$5))),1,0)</f>
        <v/>
      </c>
      <c r="E1546" s="38">
        <f>IF(AND($A1545&lt;&gt;"",'算罪台'!$B$6&lt;&gt;"",ISNUMBER(SEARCH($A1545,'算罪台'!$B$6))),1,0)</f>
        <v/>
      </c>
    </row>
    <row r="1547">
      <c r="A1547" s="38" t="inlineStr">
        <is>
          <t>不打警笛</t>
        </is>
      </c>
      <c r="B1547" s="38" t="inlineStr">
        <is>
          <t>医护上班违规</t>
        </is>
      </c>
      <c r="C1547" s="38">
        <f>IF(AND($A1546&lt;&gt;"",'算罪台'!$B$4&lt;&gt;"",ISNUMBER(SEARCH($A1546,'算罪台'!$B$4))),1,0)</f>
        <v/>
      </c>
      <c r="D1547" s="38">
        <f>IF(AND($A1546&lt;&gt;"",'算罪台'!$B$5&lt;&gt;"",ISNUMBER(SEARCH($A1546,'算罪台'!$B$5))),1,0)</f>
        <v/>
      </c>
      <c r="E1547" s="38">
        <f>IF(AND($A1546&lt;&gt;"",'算罪台'!$B$6&lt;&gt;"",ISNUMBER(SEARCH($A1546,'算罪台'!$B$6))),1,0)</f>
        <v/>
      </c>
    </row>
    <row r="1548">
      <c r="A1548" s="38" t="inlineStr">
        <is>
          <t>上班摸鱼兼职</t>
        </is>
      </c>
      <c r="B1548" s="38" t="inlineStr">
        <is>
          <t>医护上班违规</t>
        </is>
      </c>
      <c r="C1548" s="38">
        <f>IF(AND($A1547&lt;&gt;"",'算罪台'!$B$4&lt;&gt;"",ISNUMBER(SEARCH($A1547,'算罪台'!$B$4))),1,0)</f>
        <v/>
      </c>
      <c r="D1548" s="38">
        <f>IF(AND($A1547&lt;&gt;"",'算罪台'!$B$5&lt;&gt;"",ISNUMBER(SEARCH($A1547,'算罪台'!$B$5))),1,0)</f>
        <v/>
      </c>
      <c r="E1548" s="38">
        <f>IF(AND($A1547&lt;&gt;"",'算罪台'!$B$6&lt;&gt;"",ISNUMBER(SEARCH($A1547,'算罪台'!$B$6))),1,0)</f>
        <v/>
      </c>
    </row>
    <row r="1549">
      <c r="A1549" s="38" t="inlineStr">
        <is>
          <t>挂机兼职</t>
        </is>
      </c>
      <c r="B1549" s="38" t="inlineStr">
        <is>
          <t>医护上班违规</t>
        </is>
      </c>
      <c r="C1549" s="38">
        <f>IF(AND($A1548&lt;&gt;"",'算罪台'!$B$4&lt;&gt;"",ISNUMBER(SEARCH($A1548,'算罪台'!$B$4))),1,0)</f>
        <v/>
      </c>
      <c r="D1549" s="38">
        <f>IF(AND($A1548&lt;&gt;"",'算罪台'!$B$5&lt;&gt;"",ISNUMBER(SEARCH($A1548,'算罪台'!$B$5))),1,0)</f>
        <v/>
      </c>
      <c r="E1549" s="38">
        <f>IF(AND($A1548&lt;&gt;"",'算罪台'!$B$6&lt;&gt;"",ISNUMBER(SEARCH($A1548,'算罪台'!$B$6))),1,0)</f>
        <v/>
      </c>
    </row>
    <row r="1550">
      <c r="A1550" s="38" t="inlineStr">
        <is>
          <t>医护参与斗争</t>
        </is>
      </c>
      <c r="B1550" s="38" t="inlineStr">
        <is>
          <t>医护上班违规</t>
        </is>
      </c>
      <c r="C1550" s="38">
        <f>IF(AND($A1549&lt;&gt;"",'算罪台'!$B$4&lt;&gt;"",ISNUMBER(SEARCH($A1549,'算罪台'!$B$4))),1,0)</f>
        <v/>
      </c>
      <c r="D1550" s="38">
        <f>IF(AND($A1549&lt;&gt;"",'算罪台'!$B$5&lt;&gt;"",ISNUMBER(SEARCH($A1549,'算罪台'!$B$5))),1,0)</f>
        <v/>
      </c>
      <c r="E1550" s="38">
        <f>IF(AND($A1549&lt;&gt;"",'算罪台'!$B$6&lt;&gt;"",ISNUMBER(SEARCH($A1549,'算罪台'!$B$6))),1,0)</f>
        <v/>
      </c>
    </row>
    <row r="1551">
      <c r="A1551" s="38" t="inlineStr">
        <is>
          <t>医护不穿工服</t>
        </is>
      </c>
      <c r="B1551" s="38" t="inlineStr">
        <is>
          <t>医护上班违规</t>
        </is>
      </c>
      <c r="C1551" s="38">
        <f>IF(AND($A1550&lt;&gt;"",'算罪台'!$B$4&lt;&gt;"",ISNUMBER(SEARCH($A1550,'算罪台'!$B$4))),1,0)</f>
        <v/>
      </c>
      <c r="D1551" s="38">
        <f>IF(AND($A1550&lt;&gt;"",'算罪台'!$B$5&lt;&gt;"",ISNUMBER(SEARCH($A1550,'算罪台'!$B$5))),1,0)</f>
        <v/>
      </c>
      <c r="E1551" s="38">
        <f>IF(AND($A1550&lt;&gt;"",'算罪台'!$B$6&lt;&gt;"",ISNUMBER(SEARCH($A1550,'算罪台'!$B$6))),1,0)</f>
        <v/>
      </c>
    </row>
    <row r="1552">
      <c r="A1552" s="38" t="inlineStr">
        <is>
          <t>开私家车出勤</t>
        </is>
      </c>
      <c r="B1552" s="38" t="inlineStr">
        <is>
          <t>医护上班违规</t>
        </is>
      </c>
      <c r="C1552" s="38">
        <f>IF(AND($A1551&lt;&gt;"",'算罪台'!$B$4&lt;&gt;"",ISNUMBER(SEARCH($A1551,'算罪台'!$B$4))),1,0)</f>
        <v/>
      </c>
      <c r="D1552" s="38">
        <f>IF(AND($A1551&lt;&gt;"",'算罪台'!$B$5&lt;&gt;"",ISNUMBER(SEARCH($A1551,'算罪台'!$B$5))),1,0)</f>
        <v/>
      </c>
      <c r="E1552" s="38">
        <f>IF(AND($A1551&lt;&gt;"",'算罪台'!$B$6&lt;&gt;"",ISNUMBER(SEARCH($A1551,'算罪台'!$B$6))),1,0)</f>
        <v/>
      </c>
    </row>
    <row r="1553">
      <c r="A1553" s="38" t="inlineStr">
        <is>
          <t>警械流出</t>
        </is>
      </c>
      <c r="B1553" s="38" t="inlineStr">
        <is>
          <t>警械流出</t>
        </is>
      </c>
      <c r="C1553" s="38">
        <f>IF(AND($A1552&lt;&gt;"",'算罪台'!$B$4&lt;&gt;"",ISNUMBER(SEARCH($A1552,'算罪台'!$B$4))),1,0)</f>
        <v/>
      </c>
      <c r="D1553" s="38">
        <f>IF(AND($A1552&lt;&gt;"",'算罪台'!$B$5&lt;&gt;"",ISNUMBER(SEARCH($A1552,'算罪台'!$B$5))),1,0)</f>
        <v/>
      </c>
      <c r="E1553" s="38">
        <f>IF(AND($A1552&lt;&gt;"",'算罪台'!$B$6&lt;&gt;"",ISNUMBER(SEARCH($A1552,'算罪台'!$B$6))),1,0)</f>
        <v/>
      </c>
    </row>
    <row r="1554">
      <c r="A1554" s="38" t="inlineStr">
        <is>
          <t>卖警械</t>
        </is>
      </c>
      <c r="B1554" s="38" t="inlineStr">
        <is>
          <t>警械流出</t>
        </is>
      </c>
      <c r="C1554" s="38">
        <f>IF(AND($A1553&lt;&gt;"",'算罪台'!$B$4&lt;&gt;"",ISNUMBER(SEARCH($A1553,'算罪台'!$B$4))),1,0)</f>
        <v/>
      </c>
      <c r="D1554" s="38">
        <f>IF(AND($A1553&lt;&gt;"",'算罪台'!$B$5&lt;&gt;"",ISNUMBER(SEARCH($A1553,'算罪台'!$B$5))),1,0)</f>
        <v/>
      </c>
      <c r="E1554" s="38">
        <f>IF(AND($A1553&lt;&gt;"",'算罪台'!$B$6&lt;&gt;"",ISNUMBER(SEARCH($A1553,'算罪台'!$B$6))),1,0)</f>
        <v/>
      </c>
    </row>
    <row r="1555">
      <c r="A1555" s="38" t="inlineStr">
        <is>
          <t>赠送警械</t>
        </is>
      </c>
      <c r="B1555" s="38" t="inlineStr">
        <is>
          <t>警械流出</t>
        </is>
      </c>
      <c r="C1555" s="38">
        <f>IF(AND($A1554&lt;&gt;"",'算罪台'!$B$4&lt;&gt;"",ISNUMBER(SEARCH($A1554,'算罪台'!$B$4))),1,0)</f>
        <v/>
      </c>
      <c r="D1555" s="38">
        <f>IF(AND($A1554&lt;&gt;"",'算罪台'!$B$5&lt;&gt;"",ISNUMBER(SEARCH($A1554,'算罪台'!$B$5))),1,0)</f>
        <v/>
      </c>
      <c r="E1555" s="38">
        <f>IF(AND($A1554&lt;&gt;"",'算罪台'!$B$6&lt;&gt;"",ISNUMBER(SEARCH($A1554,'算罪台'!$B$6))),1,0)</f>
        <v/>
      </c>
    </row>
    <row r="1556">
      <c r="A1556" s="38" t="inlineStr">
        <is>
          <t>倒卖警械</t>
        </is>
      </c>
      <c r="B1556" s="38" t="inlineStr">
        <is>
          <t>警械流出</t>
        </is>
      </c>
      <c r="C1556" s="38">
        <f>IF(AND($A1555&lt;&gt;"",'算罪台'!$B$4&lt;&gt;"",ISNUMBER(SEARCH($A1555,'算罪台'!$B$4))),1,0)</f>
        <v/>
      </c>
      <c r="D1556" s="38">
        <f>IF(AND($A1555&lt;&gt;"",'算罪台'!$B$5&lt;&gt;"",ISNUMBER(SEARCH($A1555,'算罪台'!$B$5))),1,0)</f>
        <v/>
      </c>
      <c r="E1556" s="38">
        <f>IF(AND($A1555&lt;&gt;"",'算罪台'!$B$6&lt;&gt;"",ISNUMBER(SEARCH($A1555,'算罪台'!$B$6))),1,0)</f>
        <v/>
      </c>
    </row>
    <row r="1557">
      <c r="A1557" s="38" t="inlineStr">
        <is>
          <t>私自配枪给</t>
        </is>
      </c>
      <c r="B1557" s="38" t="inlineStr">
        <is>
          <t>警械流出</t>
        </is>
      </c>
      <c r="C1557" s="38">
        <f>IF(AND($A1556&lt;&gt;"",'算罪台'!$B$4&lt;&gt;"",ISNUMBER(SEARCH($A1556,'算罪台'!$B$4))),1,0)</f>
        <v/>
      </c>
      <c r="D1557" s="38">
        <f>IF(AND($A1556&lt;&gt;"",'算罪台'!$B$5&lt;&gt;"",ISNUMBER(SEARCH($A1556,'算罪台'!$B$5))),1,0)</f>
        <v/>
      </c>
      <c r="E1557" s="38">
        <f>IF(AND($A1556&lt;&gt;"",'算罪台'!$B$6&lt;&gt;"",ISNUMBER(SEARCH($A1556,'算罪台'!$B$6))),1,0)</f>
        <v/>
      </c>
    </row>
    <row r="1558">
      <c r="A1558" s="38" t="inlineStr">
        <is>
          <t>流出警枪</t>
        </is>
      </c>
      <c r="B1558" s="38" t="inlineStr">
        <is>
          <t>警械流出</t>
        </is>
      </c>
      <c r="C1558" s="38">
        <f>IF(AND($A1557&lt;&gt;"",'算罪台'!$B$4&lt;&gt;"",ISNUMBER(SEARCH($A1557,'算罪台'!$B$4))),1,0)</f>
        <v/>
      </c>
      <c r="D1558" s="38">
        <f>IF(AND($A1557&lt;&gt;"",'算罪台'!$B$5&lt;&gt;"",ISNUMBER(SEARCH($A1557,'算罪台'!$B$5))),1,0)</f>
        <v/>
      </c>
      <c r="E1558" s="38">
        <f>IF(AND($A1557&lt;&gt;"",'算罪台'!$B$6&lt;&gt;"",ISNUMBER(SEARCH($A1557,'算罪台'!$B$6))),1,0)</f>
        <v/>
      </c>
    </row>
    <row r="1559">
      <c r="A1559" s="38" t="inlineStr">
        <is>
          <t>把警枪卖了</t>
        </is>
      </c>
      <c r="B1559" s="38" t="inlineStr">
        <is>
          <t>警械流出</t>
        </is>
      </c>
      <c r="C1559" s="38">
        <f>IF(AND($A1558&lt;&gt;"",'算罪台'!$B$4&lt;&gt;"",ISNUMBER(SEARCH($A1558,'算罪台'!$B$4))),1,0)</f>
        <v/>
      </c>
      <c r="D1559" s="38">
        <f>IF(AND($A1558&lt;&gt;"",'算罪台'!$B$5&lt;&gt;"",ISNUMBER(SEARCH($A1558,'算罪台'!$B$5))),1,0)</f>
        <v/>
      </c>
      <c r="E1559" s="38">
        <f>IF(AND($A1558&lt;&gt;"",'算罪台'!$B$6&lt;&gt;"",ISNUMBER(SEARCH($A1558,'算罪台'!$B$6))),1,0)</f>
        <v/>
      </c>
    </row>
    <row r="1560">
      <c r="A1560" s="38" t="inlineStr">
        <is>
          <t>卖警枪</t>
        </is>
      </c>
      <c r="B1560" s="38" t="inlineStr">
        <is>
          <t>警械流出</t>
        </is>
      </c>
      <c r="C1560" s="38">
        <f>IF(AND($A1559&lt;&gt;"",'算罪台'!$B$4&lt;&gt;"",ISNUMBER(SEARCH($A1559,'算罪台'!$B$4))),1,0)</f>
        <v/>
      </c>
      <c r="D1560" s="38">
        <f>IF(AND($A1559&lt;&gt;"",'算罪台'!$B$5&lt;&gt;"",ISNUMBER(SEARCH($A1559,'算罪台'!$B$5))),1,0)</f>
        <v/>
      </c>
      <c r="E1560" s="38">
        <f>IF(AND($A1559&lt;&gt;"",'算罪台'!$B$6&lt;&gt;"",ISNUMBER(SEARCH($A1559,'算罪台'!$B$6))),1,0)</f>
        <v/>
      </c>
    </row>
    <row r="1561">
      <c r="A1561" s="38" t="inlineStr">
        <is>
          <t>倒卖警枪</t>
        </is>
      </c>
      <c r="B1561" s="38" t="inlineStr">
        <is>
          <t>警械流出</t>
        </is>
      </c>
      <c r="C1561" s="38">
        <f>IF(AND($A1560&lt;&gt;"",'算罪台'!$B$4&lt;&gt;"",ISNUMBER(SEARCH($A1560,'算罪台'!$B$4))),1,0)</f>
        <v/>
      </c>
      <c r="D1561" s="38">
        <f>IF(AND($A1560&lt;&gt;"",'算罪台'!$B$5&lt;&gt;"",ISNUMBER(SEARCH($A1560,'算罪台'!$B$5))),1,0)</f>
        <v/>
      </c>
      <c r="E1561" s="38">
        <f>IF(AND($A1560&lt;&gt;"",'算罪台'!$B$6&lt;&gt;"",ISNUMBER(SEARCH($A1560,'算罪台'!$B$6))),1,0)</f>
        <v/>
      </c>
    </row>
    <row r="1562">
      <c r="A1562" s="38" t="inlineStr">
        <is>
          <t>警枪流出</t>
        </is>
      </c>
      <c r="B1562" s="38" t="inlineStr">
        <is>
          <t>警械流出</t>
        </is>
      </c>
      <c r="C1562" s="38">
        <f>IF(AND($A1561&lt;&gt;"",'算罪台'!$B$4&lt;&gt;"",ISNUMBER(SEARCH($A1561,'算罪台'!$B$4))),1,0)</f>
        <v/>
      </c>
      <c r="D1562" s="38">
        <f>IF(AND($A1561&lt;&gt;"",'算罪台'!$B$5&lt;&gt;"",ISNUMBER(SEARCH($A1561,'算罪台'!$B$5))),1,0)</f>
        <v/>
      </c>
      <c r="E1562" s="38">
        <f>IF(AND($A1561&lt;&gt;"",'算罪台'!$B$6&lt;&gt;"",ISNUMBER(SEARCH($A1561,'算罪台'!$B$6))),1,0)</f>
        <v/>
      </c>
    </row>
    <row r="1563">
      <c r="A1563" s="38" t="inlineStr">
        <is>
          <t>把警械给别人</t>
        </is>
      </c>
      <c r="B1563" s="38" t="inlineStr">
        <is>
          <t>警械流出</t>
        </is>
      </c>
      <c r="C1563" s="38">
        <f>IF(AND($A1562&lt;&gt;"",'算罪台'!$B$4&lt;&gt;"",ISNUMBER(SEARCH($A1562,'算罪台'!$B$4))),1,0)</f>
        <v/>
      </c>
      <c r="D1563" s="38">
        <f>IF(AND($A1562&lt;&gt;"",'算罪台'!$B$5&lt;&gt;"",ISNUMBER(SEARCH($A1562,'算罪台'!$B$5))),1,0)</f>
        <v/>
      </c>
      <c r="E1563" s="38">
        <f>IF(AND($A1562&lt;&gt;"",'算罪台'!$B$6&lt;&gt;"",ISNUMBER(SEARCH($A1562,'算罪台'!$B$6))),1,0)</f>
        <v/>
      </c>
    </row>
    <row r="1564">
      <c r="A1564" s="38" t="inlineStr">
        <is>
          <t>私自给枪</t>
        </is>
      </c>
      <c r="B1564" s="38" t="inlineStr">
        <is>
          <t>警械流出</t>
        </is>
      </c>
      <c r="C1564" s="38">
        <f>IF(AND($A1563&lt;&gt;"",'算罪台'!$B$4&lt;&gt;"",ISNUMBER(SEARCH($A1563,'算罪台'!$B$4))),1,0)</f>
        <v/>
      </c>
      <c r="D1564" s="38">
        <f>IF(AND($A1563&lt;&gt;"",'算罪台'!$B$5&lt;&gt;"",ISNUMBER(SEARCH($A1563,'算罪台'!$B$5))),1,0)</f>
        <v/>
      </c>
      <c r="E1564" s="38">
        <f>IF(AND($A1563&lt;&gt;"",'算罪台'!$B$6&lt;&gt;"",ISNUMBER(SEARCH($A1563,'算罪台'!$B$6))),1,0)</f>
        <v/>
      </c>
    </row>
    <row r="1565">
      <c r="A1565" s="38" t="inlineStr">
        <is>
          <t>警用枪外流</t>
        </is>
      </c>
      <c r="B1565" s="38" t="inlineStr">
        <is>
          <t>警械流出</t>
        </is>
      </c>
      <c r="C1565" s="38">
        <f>IF(AND($A1564&lt;&gt;"",'算罪台'!$B$4&lt;&gt;"",ISNUMBER(SEARCH($A1564,'算罪台'!$B$4))),1,0)</f>
        <v/>
      </c>
      <c r="D1565" s="38">
        <f>IF(AND($A1564&lt;&gt;"",'算罪台'!$B$5&lt;&gt;"",ISNUMBER(SEARCH($A1564,'算罪台'!$B$5))),1,0)</f>
        <v/>
      </c>
      <c r="E1565" s="38">
        <f>IF(AND($A1564&lt;&gt;"",'算罪台'!$B$6&lt;&gt;"",ISNUMBER(SEARCH($A1564,'算罪台'!$B$6))),1,0)</f>
        <v/>
      </c>
    </row>
    <row r="1566">
      <c r="A1566" s="38" t="inlineStr">
        <is>
          <t>倒腾警械</t>
        </is>
      </c>
      <c r="B1566" s="38" t="inlineStr">
        <is>
          <t>警械流出</t>
        </is>
      </c>
      <c r="C1566" s="38">
        <f>IF(AND($A1565&lt;&gt;"",'算罪台'!$B$4&lt;&gt;"",ISNUMBER(SEARCH($A1565,'算罪台'!$B$4))),1,0)</f>
        <v/>
      </c>
      <c r="D1566" s="38">
        <f>IF(AND($A1565&lt;&gt;"",'算罪台'!$B$5&lt;&gt;"",ISNUMBER(SEARCH($A1565,'算罪台'!$B$5))),1,0)</f>
        <v/>
      </c>
      <c r="E1566" s="38">
        <f>IF(AND($A1565&lt;&gt;"",'算罪台'!$B$6&lt;&gt;"",ISNUMBER(SEARCH($A1565,'算罪台'!$B$6))),1,0)</f>
        <v/>
      </c>
    </row>
    <row r="1567">
      <c r="A1567" s="38" t="inlineStr">
        <is>
          <t>警枪给市民</t>
        </is>
      </c>
      <c r="B1567" s="38" t="inlineStr">
        <is>
          <t>警械流出</t>
        </is>
      </c>
      <c r="C1567" s="38">
        <f>IF(AND($A1566&lt;&gt;"",'算罪台'!$B$4&lt;&gt;"",ISNUMBER(SEARCH($A1566,'算罪台'!$B$4))),1,0)</f>
        <v/>
      </c>
      <c r="D1567" s="38">
        <f>IF(AND($A1566&lt;&gt;"",'算罪台'!$B$5&lt;&gt;"",ISNUMBER(SEARCH($A1566,'算罪台'!$B$5))),1,0)</f>
        <v/>
      </c>
      <c r="E1567" s="38">
        <f>IF(AND($A1566&lt;&gt;"",'算罪台'!$B$6&lt;&gt;"",ISNUMBER(SEARCH($A1566,'算罪台'!$B$6))),1,0)</f>
        <v/>
      </c>
    </row>
    <row r="1568">
      <c r="A1568" s="38" t="inlineStr">
        <is>
          <t>偷拿警械卖</t>
        </is>
      </c>
      <c r="B1568" s="38" t="inlineStr">
        <is>
          <t>警械流出</t>
        </is>
      </c>
      <c r="C1568" s="38">
        <f>IF(AND($A1567&lt;&gt;"",'算罪台'!$B$4&lt;&gt;"",ISNUMBER(SEARCH($A1567,'算罪台'!$B$4))),1,0)</f>
        <v/>
      </c>
      <c r="D1568" s="38">
        <f>IF(AND($A1567&lt;&gt;"",'算罪台'!$B$5&lt;&gt;"",ISNUMBER(SEARCH($A1567,'算罪台'!$B$5))),1,0)</f>
        <v/>
      </c>
      <c r="E1568" s="38">
        <f>IF(AND($A1567&lt;&gt;"",'算罪台'!$B$6&lt;&gt;"",ISNUMBER(SEARCH($A1567,'算罪台'!$B$6))),1,0)</f>
        <v/>
      </c>
    </row>
    <row r="1569">
      <c r="A1569" s="38" t="inlineStr">
        <is>
          <t>警枪外流</t>
        </is>
      </c>
      <c r="B1569" s="38" t="inlineStr">
        <is>
          <t>警械流出</t>
        </is>
      </c>
      <c r="C1569" s="38">
        <f>IF(AND($A1568&lt;&gt;"",'算罪台'!$B$4&lt;&gt;"",ISNUMBER(SEARCH($A1568,'算罪台'!$B$4))),1,0)</f>
        <v/>
      </c>
      <c r="D1569" s="38">
        <f>IF(AND($A1568&lt;&gt;"",'算罪台'!$B$5&lt;&gt;"",ISNUMBER(SEARCH($A1568,'算罪台'!$B$5))),1,0)</f>
        <v/>
      </c>
      <c r="E1569" s="38">
        <f>IF(AND($A1568&lt;&gt;"",'算罪台'!$B$6&lt;&gt;"",ISNUMBER(SEARCH($A1568,'算罪台'!$B$6))),1,0)</f>
        <v/>
      </c>
    </row>
    <row r="1570">
      <c r="A1570" s="38" t="inlineStr">
        <is>
          <t>私下卖警枪</t>
        </is>
      </c>
      <c r="B1570" s="38" t="inlineStr">
        <is>
          <t>警械流出</t>
        </is>
      </c>
      <c r="C1570" s="38">
        <f>IF(AND($A1569&lt;&gt;"",'算罪台'!$B$4&lt;&gt;"",ISNUMBER(SEARCH($A1569,'算罪台'!$B$4))),1,0)</f>
        <v/>
      </c>
      <c r="D1570" s="38">
        <f>IF(AND($A1569&lt;&gt;"",'算罪台'!$B$5&lt;&gt;"",ISNUMBER(SEARCH($A1569,'算罪台'!$B$5))),1,0)</f>
        <v/>
      </c>
      <c r="E1570" s="38">
        <f>IF(AND($A1569&lt;&gt;"",'算罪台'!$B$6&lt;&gt;"",ISNUMBER(SEARCH($A1569,'算罪台'!$B$6))),1,0)</f>
        <v/>
      </c>
    </row>
    <row r="1571">
      <c r="A1571" s="38" t="inlineStr">
        <is>
          <t>警枪倒卖</t>
        </is>
      </c>
      <c r="B1571" s="38" t="inlineStr">
        <is>
          <t>警械流出</t>
        </is>
      </c>
      <c r="C1571" s="38">
        <f>IF(AND($A1570&lt;&gt;"",'算罪台'!$B$4&lt;&gt;"",ISNUMBER(SEARCH($A1570,'算罪台'!$B$4))),1,0)</f>
        <v/>
      </c>
      <c r="D1571" s="38">
        <f>IF(AND($A1570&lt;&gt;"",'算罪台'!$B$5&lt;&gt;"",ISNUMBER(SEARCH($A1570,'算罪台'!$B$5))),1,0)</f>
        <v/>
      </c>
      <c r="E1571" s="38">
        <f>IF(AND($A1570&lt;&gt;"",'算罪台'!$B$6&lt;&gt;"",ISNUMBER(SEARCH($A1570,'算罪台'!$B$6))),1,0)</f>
        <v/>
      </c>
    </row>
    <row r="1572">
      <c r="A1572" s="38" t="inlineStr">
        <is>
          <t>滥用武力</t>
        </is>
      </c>
      <c r="B1572" s="38" t="inlineStr">
        <is>
          <t>滥用/越级武力</t>
        </is>
      </c>
      <c r="C1572" s="38">
        <f>IF(AND($A1571&lt;&gt;"",'算罪台'!$B$4&lt;&gt;"",ISNUMBER(SEARCH($A1571,'算罪台'!$B$4))),1,0)</f>
        <v/>
      </c>
      <c r="D1572" s="38">
        <f>IF(AND($A1571&lt;&gt;"",'算罪台'!$B$5&lt;&gt;"",ISNUMBER(SEARCH($A1571,'算罪台'!$B$5))),1,0)</f>
        <v/>
      </c>
      <c r="E1572" s="38">
        <f>IF(AND($A1571&lt;&gt;"",'算罪台'!$B$6&lt;&gt;"",ISNUMBER(SEARCH($A1571,'算罪台'!$B$6))),1,0)</f>
        <v/>
      </c>
    </row>
    <row r="1573">
      <c r="A1573" s="38" t="inlineStr">
        <is>
          <t>越级使用武力</t>
        </is>
      </c>
      <c r="B1573" s="38" t="inlineStr">
        <is>
          <t>滥用/越级武力</t>
        </is>
      </c>
      <c r="C1573" s="38">
        <f>IF(AND($A1572&lt;&gt;"",'算罪台'!$B$4&lt;&gt;"",ISNUMBER(SEARCH($A1572,'算罪台'!$B$4))),1,0)</f>
        <v/>
      </c>
      <c r="D1573" s="38">
        <f>IF(AND($A1572&lt;&gt;"",'算罪台'!$B$5&lt;&gt;"",ISNUMBER(SEARCH($A1572,'算罪台'!$B$5))),1,0)</f>
        <v/>
      </c>
      <c r="E1573" s="38">
        <f>IF(AND($A1572&lt;&gt;"",'算罪台'!$B$6&lt;&gt;"",ISNUMBER(SEARCH($A1572,'算罪台'!$B$6))),1,0)</f>
        <v/>
      </c>
    </row>
    <row r="1574">
      <c r="A1574" s="38" t="inlineStr">
        <is>
          <t>过度执法</t>
        </is>
      </c>
      <c r="B1574" s="38" t="inlineStr">
        <is>
          <t>滥用/越级武力</t>
        </is>
      </c>
      <c r="C1574" s="38">
        <f>IF(AND($A1573&lt;&gt;"",'算罪台'!$B$4&lt;&gt;"",ISNUMBER(SEARCH($A1573,'算罪台'!$B$4))),1,0)</f>
        <v/>
      </c>
      <c r="D1574" s="38">
        <f>IF(AND($A1573&lt;&gt;"",'算罪台'!$B$5&lt;&gt;"",ISNUMBER(SEARCH($A1573,'算罪台'!$B$5))),1,0)</f>
        <v/>
      </c>
      <c r="E1574" s="38">
        <f>IF(AND($A1573&lt;&gt;"",'算罪台'!$B$6&lt;&gt;"",ISNUMBER(SEARCH($A1573,'算罪台'!$B$6))),1,0)</f>
        <v/>
      </c>
    </row>
    <row r="1575">
      <c r="A1575" s="38" t="inlineStr">
        <is>
          <t>无故对市民开枪</t>
        </is>
      </c>
      <c r="B1575" s="38" t="inlineStr">
        <is>
          <t>滥用/越级武力</t>
        </is>
      </c>
      <c r="C1575" s="38">
        <f>IF(AND($A1574&lt;&gt;"",'算罪台'!$B$4&lt;&gt;"",ISNUMBER(SEARCH($A1574,'算罪台'!$B$4))),1,0)</f>
        <v/>
      </c>
      <c r="D1575" s="38">
        <f>IF(AND($A1574&lt;&gt;"",'算罪台'!$B$5&lt;&gt;"",ISNUMBER(SEARCH($A1574,'算罪台'!$B$5))),1,0)</f>
        <v/>
      </c>
      <c r="E1575" s="38">
        <f>IF(AND($A1574&lt;&gt;"",'算罪台'!$B$6&lt;&gt;"",ISNUMBER(SEARCH($A1574,'算罪台'!$B$6))),1,0)</f>
        <v/>
      </c>
    </row>
    <row r="1576">
      <c r="A1576" s="38" t="inlineStr">
        <is>
          <t>违规使用致命武力</t>
        </is>
      </c>
      <c r="B1576" s="38" t="inlineStr">
        <is>
          <t>滥用/越级武力</t>
        </is>
      </c>
      <c r="C1576" s="38">
        <f>IF(AND($A1575&lt;&gt;"",'算罪台'!$B$4&lt;&gt;"",ISNUMBER(SEARCH($A1575,'算罪台'!$B$4))),1,0)</f>
        <v/>
      </c>
      <c r="D1576" s="38">
        <f>IF(AND($A1575&lt;&gt;"",'算罪台'!$B$5&lt;&gt;"",ISNUMBER(SEARCH($A1575,'算罪台'!$B$5))),1,0)</f>
        <v/>
      </c>
      <c r="E1576" s="38">
        <f>IF(AND($A1575&lt;&gt;"",'算罪台'!$B$6&lt;&gt;"",ISNUMBER(SEARCH($A1575,'算罪台'!$B$6))),1,0)</f>
        <v/>
      </c>
    </row>
    <row r="1577">
      <c r="A1577" s="38" t="inlineStr">
        <is>
          <t>错误使用致命武器</t>
        </is>
      </c>
      <c r="B1577" s="38" t="inlineStr">
        <is>
          <t>滥用/越级武力</t>
        </is>
      </c>
      <c r="C1577" s="38">
        <f>IF(AND($A1576&lt;&gt;"",'算罪台'!$B$4&lt;&gt;"",ISNUMBER(SEARCH($A1576,'算罪台'!$B$4))),1,0)</f>
        <v/>
      </c>
      <c r="D1577" s="38">
        <f>IF(AND($A1576&lt;&gt;"",'算罪台'!$B$5&lt;&gt;"",ISNUMBER(SEARCH($A1576,'算罪台'!$B$5))),1,0)</f>
        <v/>
      </c>
      <c r="E1577" s="38">
        <f>IF(AND($A1576&lt;&gt;"",'算罪台'!$B$6&lt;&gt;"",ISNUMBER(SEARCH($A1576,'算罪台'!$B$6))),1,0)</f>
        <v/>
      </c>
    </row>
    <row r="1578">
      <c r="A1578" s="38" t="inlineStr">
        <is>
          <t>暴力执法</t>
        </is>
      </c>
      <c r="B1578" s="38" t="inlineStr">
        <is>
          <t>滥用/越级武力</t>
        </is>
      </c>
      <c r="C1578" s="38">
        <f>IF(AND($A1577&lt;&gt;"",'算罪台'!$B$4&lt;&gt;"",ISNUMBER(SEARCH($A1577,'算罪台'!$B$4))),1,0)</f>
        <v/>
      </c>
      <c r="D1578" s="38">
        <f>IF(AND($A1577&lt;&gt;"",'算罪台'!$B$5&lt;&gt;"",ISNUMBER(SEARCH($A1577,'算罪台'!$B$5))),1,0)</f>
        <v/>
      </c>
      <c r="E1578" s="38">
        <f>IF(AND($A1577&lt;&gt;"",'算罪台'!$B$6&lt;&gt;"",ISNUMBER(SEARCH($A1577,'算罪台'!$B$6))),1,0)</f>
        <v/>
      </c>
    </row>
    <row r="1579">
      <c r="A1579" s="38" t="inlineStr">
        <is>
          <t>无故殴打市民</t>
        </is>
      </c>
      <c r="B1579" s="38" t="inlineStr">
        <is>
          <t>滥用/越级武力</t>
        </is>
      </c>
      <c r="C1579" s="38">
        <f>IF(AND($A1578&lt;&gt;"",'算罪台'!$B$4&lt;&gt;"",ISNUMBER(SEARCH($A1578,'算罪台'!$B$4))),1,0)</f>
        <v/>
      </c>
      <c r="D1579" s="38">
        <f>IF(AND($A1578&lt;&gt;"",'算罪台'!$B$5&lt;&gt;"",ISNUMBER(SEARCH($A1578,'算罪台'!$B$5))),1,0)</f>
        <v/>
      </c>
      <c r="E1579" s="38">
        <f>IF(AND($A1578&lt;&gt;"",'算罪台'!$B$6&lt;&gt;"",ISNUMBER(SEARCH($A1578,'算罪台'!$B$6))),1,0)</f>
        <v/>
      </c>
    </row>
    <row r="1580">
      <c r="A1580" s="38" t="inlineStr">
        <is>
          <t>乱用武力</t>
        </is>
      </c>
      <c r="B1580" s="38" t="inlineStr">
        <is>
          <t>滥用/越级武力</t>
        </is>
      </c>
      <c r="C1580" s="38">
        <f>IF(AND($A1579&lt;&gt;"",'算罪台'!$B$4&lt;&gt;"",ISNUMBER(SEARCH($A1579,'算罪台'!$B$4))),1,0)</f>
        <v/>
      </c>
      <c r="D1580" s="38">
        <f>IF(AND($A1579&lt;&gt;"",'算罪台'!$B$5&lt;&gt;"",ISNUMBER(SEARCH($A1579,'算罪台'!$B$5))),1,0)</f>
        <v/>
      </c>
      <c r="E1580" s="38">
        <f>IF(AND($A1579&lt;&gt;"",'算罪台'!$B$6&lt;&gt;"",ISNUMBER(SEARCH($A1579,'算罪台'!$B$6))),1,0)</f>
        <v/>
      </c>
    </row>
    <row r="1581">
      <c r="A1581" s="38" t="inlineStr">
        <is>
          <t>滥用职权</t>
        </is>
      </c>
      <c r="B1581" s="38" t="inlineStr">
        <is>
          <t>滥用/越级武力</t>
        </is>
      </c>
      <c r="C1581" s="38">
        <f>IF(AND($A1580&lt;&gt;"",'算罪台'!$B$4&lt;&gt;"",ISNUMBER(SEARCH($A1580,'算罪台'!$B$4))),1,0)</f>
        <v/>
      </c>
      <c r="D1581" s="38">
        <f>IF(AND($A1580&lt;&gt;"",'算罪台'!$B$5&lt;&gt;"",ISNUMBER(SEARCH($A1580,'算罪台'!$B$5))),1,0)</f>
        <v/>
      </c>
      <c r="E1581" s="38">
        <f>IF(AND($A1580&lt;&gt;"",'算罪台'!$B$6&lt;&gt;"",ISNUMBER(SEARCH($A1580,'算罪台'!$B$6))),1,0)</f>
        <v/>
      </c>
    </row>
    <row r="1582">
      <c r="A1582" s="38" t="inlineStr">
        <is>
          <t>乱开枪打市民</t>
        </is>
      </c>
      <c r="B1582" s="38" t="inlineStr">
        <is>
          <t>滥用/越级武力</t>
        </is>
      </c>
      <c r="C1582" s="38">
        <f>IF(AND($A1581&lt;&gt;"",'算罪台'!$B$4&lt;&gt;"",ISNUMBER(SEARCH($A1581,'算罪台'!$B$4))),1,0)</f>
        <v/>
      </c>
      <c r="D1582" s="38">
        <f>IF(AND($A1581&lt;&gt;"",'算罪台'!$B$5&lt;&gt;"",ISNUMBER(SEARCH($A1581,'算罪台'!$B$5))),1,0)</f>
        <v/>
      </c>
      <c r="E1582" s="38">
        <f>IF(AND($A1581&lt;&gt;"",'算罪台'!$B$6&lt;&gt;"",ISNUMBER(SEARCH($A1581,'算罪台'!$B$6))),1,0)</f>
        <v/>
      </c>
    </row>
    <row r="1583">
      <c r="A1583" s="38" t="inlineStr">
        <is>
          <t>没必要开枪</t>
        </is>
      </c>
      <c r="B1583" s="38" t="inlineStr">
        <is>
          <t>滥用/越级武力</t>
        </is>
      </c>
      <c r="C1583" s="38">
        <f>IF(AND($A1582&lt;&gt;"",'算罪台'!$B$4&lt;&gt;"",ISNUMBER(SEARCH($A1582,'算罪台'!$B$4))),1,0)</f>
        <v/>
      </c>
      <c r="D1583" s="38">
        <f>IF(AND($A1582&lt;&gt;"",'算罪台'!$B$5&lt;&gt;"",ISNUMBER(SEARCH($A1582,'算罪台'!$B$5))),1,0)</f>
        <v/>
      </c>
      <c r="E1583" s="38">
        <f>IF(AND($A1582&lt;&gt;"",'算罪台'!$B$6&lt;&gt;"",ISNUMBER(SEARCH($A1582,'算罪台'!$B$6))),1,0)</f>
        <v/>
      </c>
    </row>
    <row r="1584">
      <c r="A1584" s="38" t="inlineStr">
        <is>
          <t>过度使用武力</t>
        </is>
      </c>
      <c r="B1584" s="38" t="inlineStr">
        <is>
          <t>滥用/越级武力</t>
        </is>
      </c>
      <c r="C1584" s="38">
        <f>IF(AND($A1583&lt;&gt;"",'算罪台'!$B$4&lt;&gt;"",ISNUMBER(SEARCH($A1583,'算罪台'!$B$4))),1,0)</f>
        <v/>
      </c>
      <c r="D1584" s="38">
        <f>IF(AND($A1583&lt;&gt;"",'算罪台'!$B$5&lt;&gt;"",ISNUMBER(SEARCH($A1583,'算罪台'!$B$5))),1,0)</f>
        <v/>
      </c>
      <c r="E1584" s="38">
        <f>IF(AND($A1583&lt;&gt;"",'算罪台'!$B$6&lt;&gt;"",ISNUMBER(SEARCH($A1583,'算罪台'!$B$6))),1,0)</f>
        <v/>
      </c>
    </row>
    <row r="1585">
      <c r="A1585" s="38" t="inlineStr">
        <is>
          <t>乱铐人</t>
        </is>
      </c>
      <c r="B1585" s="38" t="inlineStr">
        <is>
          <t>滥用/越级武力</t>
        </is>
      </c>
      <c r="C1585" s="38">
        <f>IF(AND($A1584&lt;&gt;"",'算罪台'!$B$4&lt;&gt;"",ISNUMBER(SEARCH($A1584,'算罪台'!$B$4))),1,0)</f>
        <v/>
      </c>
      <c r="D1585" s="38">
        <f>IF(AND($A1584&lt;&gt;"",'算罪台'!$B$5&lt;&gt;"",ISNUMBER(SEARCH($A1584,'算罪台'!$B$5))),1,0)</f>
        <v/>
      </c>
      <c r="E1585" s="38">
        <f>IF(AND($A1584&lt;&gt;"",'算罪台'!$B$6&lt;&gt;"",ISNUMBER(SEARCH($A1584,'算罪台'!$B$6))),1,0)</f>
        <v/>
      </c>
    </row>
    <row r="1586">
      <c r="A1586" s="38" t="inlineStr">
        <is>
          <t>殴打市民</t>
        </is>
      </c>
      <c r="B1586" s="38" t="inlineStr">
        <is>
          <t>滥用/越级武力</t>
        </is>
      </c>
      <c r="C1586" s="38">
        <f>IF(AND($A1585&lt;&gt;"",'算罪台'!$B$4&lt;&gt;"",ISNUMBER(SEARCH($A1585,'算罪台'!$B$4))),1,0)</f>
        <v/>
      </c>
      <c r="D1586" s="38">
        <f>IF(AND($A1585&lt;&gt;"",'算罪台'!$B$5&lt;&gt;"",ISNUMBER(SEARCH($A1585,'算罪台'!$B$5))),1,0)</f>
        <v/>
      </c>
      <c r="E1586" s="38">
        <f>IF(AND($A1585&lt;&gt;"",'算罪台'!$B$6&lt;&gt;"",ISNUMBER(SEARCH($A1585,'算罪台'!$B$6))),1,0)</f>
        <v/>
      </c>
    </row>
    <row r="1587">
      <c r="A1587" s="38" t="inlineStr">
        <is>
          <t>越权使用枪</t>
        </is>
      </c>
      <c r="B1587" s="38" t="inlineStr">
        <is>
          <t>滥用/越级武力</t>
        </is>
      </c>
      <c r="C1587" s="38">
        <f>IF(AND($A1586&lt;&gt;"",'算罪台'!$B$4&lt;&gt;"",ISNUMBER(SEARCH($A1586,'算罪台'!$B$4))),1,0)</f>
        <v/>
      </c>
      <c r="D1587" s="38">
        <f>IF(AND($A1586&lt;&gt;"",'算罪台'!$B$5&lt;&gt;"",ISNUMBER(SEARCH($A1586,'算罪台'!$B$5))),1,0)</f>
        <v/>
      </c>
      <c r="E1587" s="38">
        <f>IF(AND($A1586&lt;&gt;"",'算罪台'!$B$6&lt;&gt;"",ISNUMBER(SEARCH($A1586,'算罪台'!$B$6))),1,0)</f>
        <v/>
      </c>
    </row>
    <row r="1588">
      <c r="A1588" s="38" t="inlineStr">
        <is>
          <t>警察打人</t>
        </is>
      </c>
      <c r="B1588" s="38" t="inlineStr">
        <is>
          <t>滥用/越级武力</t>
        </is>
      </c>
      <c r="C1588" s="38">
        <f>IF(AND($A1587&lt;&gt;"",'算罪台'!$B$4&lt;&gt;"",ISNUMBER(SEARCH($A1587,'算罪台'!$B$4))),1,0)</f>
        <v/>
      </c>
      <c r="D1588" s="38">
        <f>IF(AND($A1587&lt;&gt;"",'算罪台'!$B$5&lt;&gt;"",ISNUMBER(SEARCH($A1587,'算罪台'!$B$5))),1,0)</f>
        <v/>
      </c>
      <c r="E1588" s="38">
        <f>IF(AND($A1587&lt;&gt;"",'算罪台'!$B$6&lt;&gt;"",ISNUMBER(SEARCH($A1587,'算罪台'!$B$6))),1,0)</f>
        <v/>
      </c>
    </row>
    <row r="1589">
      <c r="A1589" s="38" t="inlineStr">
        <is>
          <t>警察乱开枪</t>
        </is>
      </c>
      <c r="B1589" s="38" t="inlineStr">
        <is>
          <t>滥用/越级武力</t>
        </is>
      </c>
      <c r="C1589" s="38">
        <f>IF(AND($A1588&lt;&gt;"",'算罪台'!$B$4&lt;&gt;"",ISNUMBER(SEARCH($A1588,'算罪台'!$B$4))),1,0)</f>
        <v/>
      </c>
      <c r="D1589" s="38">
        <f>IF(AND($A1588&lt;&gt;"",'算罪台'!$B$5&lt;&gt;"",ISNUMBER(SEARCH($A1588,'算罪台'!$B$5))),1,0)</f>
        <v/>
      </c>
      <c r="E1589" s="38">
        <f>IF(AND($A1588&lt;&gt;"",'算罪台'!$B$6&lt;&gt;"",ISNUMBER(SEARCH($A1588,'算罪台'!$B$6))),1,0)</f>
        <v/>
      </c>
    </row>
    <row r="1590">
      <c r="A1590" s="38" t="inlineStr">
        <is>
          <t>警察暴力</t>
        </is>
      </c>
      <c r="B1590" s="38" t="inlineStr">
        <is>
          <t>滥用/越级武力</t>
        </is>
      </c>
      <c r="C1590" s="38">
        <f>IF(AND($A1589&lt;&gt;"",'算罪台'!$B$4&lt;&gt;"",ISNUMBER(SEARCH($A1589,'算罪台'!$B$4))),1,0)</f>
        <v/>
      </c>
      <c r="D1590" s="38">
        <f>IF(AND($A1589&lt;&gt;"",'算罪台'!$B$5&lt;&gt;"",ISNUMBER(SEARCH($A1589,'算罪台'!$B$5))),1,0)</f>
        <v/>
      </c>
      <c r="E1590" s="38">
        <f>IF(AND($A1589&lt;&gt;"",'算罪台'!$B$6&lt;&gt;"",ISNUMBER(SEARCH($A1589,'算罪台'!$B$6))),1,0)</f>
        <v/>
      </c>
    </row>
    <row r="1591">
      <c r="A1591" s="38" t="inlineStr">
        <is>
          <t>滥用枪支</t>
        </is>
      </c>
      <c r="B1591" s="38" t="inlineStr">
        <is>
          <t>滥用/越级武力</t>
        </is>
      </c>
      <c r="C1591" s="38">
        <f>IF(AND($A1590&lt;&gt;"",'算罪台'!$B$4&lt;&gt;"",ISNUMBER(SEARCH($A1590,'算罪台'!$B$4))),1,0)</f>
        <v/>
      </c>
      <c r="D1591" s="38">
        <f>IF(AND($A1590&lt;&gt;"",'算罪台'!$B$5&lt;&gt;"",ISNUMBER(SEARCH($A1590,'算罪台'!$B$5))),1,0)</f>
        <v/>
      </c>
      <c r="E1591" s="38">
        <f>IF(AND($A1590&lt;&gt;"",'算罪台'!$B$6&lt;&gt;"",ISNUMBER(SEARCH($A1590,'算罪台'!$B$6))),1,0)</f>
        <v/>
      </c>
    </row>
    <row r="1592">
      <c r="A1592" s="38" t="inlineStr">
        <is>
          <t>警员打人</t>
        </is>
      </c>
      <c r="B1592" s="38" t="inlineStr">
        <is>
          <t>滥用/越级武力</t>
        </is>
      </c>
      <c r="C1592" s="38">
        <f>IF(AND($A1591&lt;&gt;"",'算罪台'!$B$4&lt;&gt;"",ISNUMBER(SEARCH($A1591,'算罪台'!$B$4))),1,0)</f>
        <v/>
      </c>
      <c r="D1592" s="38">
        <f>IF(AND($A1591&lt;&gt;"",'算罪台'!$B$5&lt;&gt;"",ISNUMBER(SEARCH($A1591,'算罪台'!$B$5))),1,0)</f>
        <v/>
      </c>
      <c r="E1592" s="38">
        <f>IF(AND($A1591&lt;&gt;"",'算罪台'!$B$6&lt;&gt;"",ISNUMBER(SEARCH($A1591,'算罪台'!$B$6))),1,0)</f>
        <v/>
      </c>
    </row>
    <row r="1593">
      <c r="A1593" s="38" t="inlineStr">
        <is>
          <t>警员乱开枪</t>
        </is>
      </c>
      <c r="B1593" s="38" t="inlineStr">
        <is>
          <t>滥用/越级武力</t>
        </is>
      </c>
      <c r="C1593" s="38">
        <f>IF(AND($A1592&lt;&gt;"",'算罪台'!$B$4&lt;&gt;"",ISNUMBER(SEARCH($A1592,'算罪台'!$B$4))),1,0)</f>
        <v/>
      </c>
      <c r="D1593" s="38">
        <f>IF(AND($A1592&lt;&gt;"",'算罪台'!$B$5&lt;&gt;"",ISNUMBER(SEARCH($A1592,'算罪台'!$B$5))),1,0)</f>
        <v/>
      </c>
      <c r="E1593" s="38">
        <f>IF(AND($A1592&lt;&gt;"",'算罪台'!$B$6&lt;&gt;"",ISNUMBER(SEARCH($A1592,'算罪台'!$B$6))),1,0)</f>
        <v/>
      </c>
    </row>
    <row r="1594">
      <c r="A1594" s="38" t="inlineStr">
        <is>
          <t>随意铐人</t>
        </is>
      </c>
      <c r="B1594" s="38" t="inlineStr">
        <is>
          <t>滥用/越级武力</t>
        </is>
      </c>
      <c r="C1594" s="38">
        <f>IF(AND($A1593&lt;&gt;"",'算罪台'!$B$4&lt;&gt;"",ISNUMBER(SEARCH($A1593,'算罪台'!$B$4))),1,0)</f>
        <v/>
      </c>
      <c r="D1594" s="38">
        <f>IF(AND($A1593&lt;&gt;"",'算罪台'!$B$5&lt;&gt;"",ISNUMBER(SEARCH($A1593,'算罪台'!$B$5))),1,0)</f>
        <v/>
      </c>
      <c r="E1594" s="38">
        <f>IF(AND($A1593&lt;&gt;"",'算罪台'!$B$6&lt;&gt;"",ISNUMBER(SEARCH($A1593,'算罪台'!$B$6))),1,0)</f>
        <v/>
      </c>
    </row>
    <row r="1595">
      <c r="A1595" s="38" t="inlineStr">
        <is>
          <t>警察殴打</t>
        </is>
      </c>
      <c r="B1595" s="38" t="inlineStr">
        <is>
          <t>滥用/越级武力</t>
        </is>
      </c>
      <c r="C1595" s="38">
        <f>IF(AND($A1594&lt;&gt;"",'算罪台'!$B$4&lt;&gt;"",ISNUMBER(SEARCH($A1594,'算罪台'!$B$4))),1,0)</f>
        <v/>
      </c>
      <c r="D1595" s="38">
        <f>IF(AND($A1594&lt;&gt;"",'算罪台'!$B$5&lt;&gt;"",ISNUMBER(SEARCH($A1594,'算罪台'!$B$5))),1,0)</f>
        <v/>
      </c>
      <c r="E1595" s="38">
        <f>IF(AND($A1594&lt;&gt;"",'算罪台'!$B$6&lt;&gt;"",ISNUMBER(SEARCH($A1594,'算罪台'!$B$6))),1,0)</f>
        <v/>
      </c>
    </row>
    <row r="1596">
      <c r="A1596" s="38" t="inlineStr">
        <is>
          <t>未宣读米兰达</t>
        </is>
      </c>
      <c r="B1596" s="38" t="inlineStr">
        <is>
          <t>未宣读米兰达</t>
        </is>
      </c>
      <c r="C1596" s="38">
        <f>IF(AND($A1595&lt;&gt;"",'算罪台'!$B$4&lt;&gt;"",ISNUMBER(SEARCH($A1595,'算罪台'!$B$4))),1,0)</f>
        <v/>
      </c>
      <c r="D1596" s="38">
        <f>IF(AND($A1595&lt;&gt;"",'算罪台'!$B$5&lt;&gt;"",ISNUMBER(SEARCH($A1595,'算罪台'!$B$5))),1,0)</f>
        <v/>
      </c>
      <c r="E1596" s="38">
        <f>IF(AND($A1595&lt;&gt;"",'算罪台'!$B$6&lt;&gt;"",ISNUMBER(SEARCH($A1595,'算罪台'!$B$6))),1,0)</f>
        <v/>
      </c>
    </row>
    <row r="1597">
      <c r="A1597" s="38" t="inlineStr">
        <is>
          <t>没读米兰达</t>
        </is>
      </c>
      <c r="B1597" s="38" t="inlineStr">
        <is>
          <t>未宣读米兰达</t>
        </is>
      </c>
      <c r="C1597" s="38">
        <f>IF(AND($A1596&lt;&gt;"",'算罪台'!$B$4&lt;&gt;"",ISNUMBER(SEARCH($A1596,'算罪台'!$B$4))),1,0)</f>
        <v/>
      </c>
      <c r="D1597" s="38">
        <f>IF(AND($A1596&lt;&gt;"",'算罪台'!$B$5&lt;&gt;"",ISNUMBER(SEARCH($A1596,'算罪台'!$B$5))),1,0)</f>
        <v/>
      </c>
      <c r="E1597" s="38">
        <f>IF(AND($A1596&lt;&gt;"",'算罪台'!$B$6&lt;&gt;"",ISNUMBER(SEARCH($A1596,'算罪台'!$B$6))),1,0)</f>
        <v/>
      </c>
    </row>
    <row r="1598">
      <c r="A1598" s="38" t="inlineStr">
        <is>
          <t>未读米兰达</t>
        </is>
      </c>
      <c r="B1598" s="38" t="inlineStr">
        <is>
          <t>未宣读米兰达</t>
        </is>
      </c>
      <c r="C1598" s="38">
        <f>IF(AND($A1597&lt;&gt;"",'算罪台'!$B$4&lt;&gt;"",ISNUMBER(SEARCH($A1597,'算罪台'!$B$4))),1,0)</f>
        <v/>
      </c>
      <c r="D1598" s="38">
        <f>IF(AND($A1597&lt;&gt;"",'算罪台'!$B$5&lt;&gt;"",ISNUMBER(SEARCH($A1597,'算罪台'!$B$5))),1,0)</f>
        <v/>
      </c>
      <c r="E1598" s="38">
        <f>IF(AND($A1597&lt;&gt;"",'算罪台'!$B$6&lt;&gt;"",ISNUMBER(SEARCH($A1597,'算罪台'!$B$6))),1,0)</f>
        <v/>
      </c>
    </row>
    <row r="1599">
      <c r="A1599" s="38" t="inlineStr">
        <is>
          <t>没宣读米兰达</t>
        </is>
      </c>
      <c r="B1599" s="38" t="inlineStr">
        <is>
          <t>未宣读米兰达</t>
        </is>
      </c>
      <c r="C1599" s="38">
        <f>IF(AND($A1598&lt;&gt;"",'算罪台'!$B$4&lt;&gt;"",ISNUMBER(SEARCH($A1598,'算罪台'!$B$4))),1,0)</f>
        <v/>
      </c>
      <c r="D1599" s="38">
        <f>IF(AND($A1598&lt;&gt;"",'算罪台'!$B$5&lt;&gt;"",ISNUMBER(SEARCH($A1598,'算罪台'!$B$5))),1,0)</f>
        <v/>
      </c>
      <c r="E1599" s="38">
        <f>IF(AND($A1598&lt;&gt;"",'算罪台'!$B$6&lt;&gt;"",ISNUMBER(SEARCH($A1598,'算罪台'!$B$6))),1,0)</f>
        <v/>
      </c>
    </row>
    <row r="1600">
      <c r="A1600" s="38" t="inlineStr">
        <is>
          <t>未念米兰达</t>
        </is>
      </c>
      <c r="B1600" s="38" t="inlineStr">
        <is>
          <t>未宣读米兰达</t>
        </is>
      </c>
      <c r="C1600" s="38">
        <f>IF(AND($A1599&lt;&gt;"",'算罪台'!$B$4&lt;&gt;"",ISNUMBER(SEARCH($A1599,'算罪台'!$B$4))),1,0)</f>
        <v/>
      </c>
      <c r="D1600" s="38">
        <f>IF(AND($A1599&lt;&gt;"",'算罪台'!$B$5&lt;&gt;"",ISNUMBER(SEARCH($A1599,'算罪台'!$B$5))),1,0)</f>
        <v/>
      </c>
      <c r="E1600" s="38">
        <f>IF(AND($A1599&lt;&gt;"",'算罪台'!$B$6&lt;&gt;"",ISNUMBER(SEARCH($A1599,'算罪台'!$B$6))),1,0)</f>
        <v/>
      </c>
    </row>
    <row r="1601">
      <c r="A1601" s="38" t="inlineStr">
        <is>
          <t>没念米兰达</t>
        </is>
      </c>
      <c r="B1601" s="38" t="inlineStr">
        <is>
          <t>未宣读米兰达</t>
        </is>
      </c>
      <c r="C1601" s="38">
        <f>IF(AND($A1600&lt;&gt;"",'算罪台'!$B$4&lt;&gt;"",ISNUMBER(SEARCH($A1600,'算罪台'!$B$4))),1,0)</f>
        <v/>
      </c>
      <c r="D1601" s="38">
        <f>IF(AND($A1600&lt;&gt;"",'算罪台'!$B$5&lt;&gt;"",ISNUMBER(SEARCH($A1600,'算罪台'!$B$5))),1,0)</f>
        <v/>
      </c>
      <c r="E1601" s="38">
        <f>IF(AND($A1600&lt;&gt;"",'算罪台'!$B$6&lt;&gt;"",ISNUMBER(SEARCH($A1600,'算罪台'!$B$6))),1,0)</f>
        <v/>
      </c>
    </row>
    <row r="1602">
      <c r="A1602" s="38" t="inlineStr">
        <is>
          <t>未宣读权利</t>
        </is>
      </c>
      <c r="B1602" s="38" t="inlineStr">
        <is>
          <t>未宣读米兰达</t>
        </is>
      </c>
      <c r="C1602" s="38">
        <f>IF(AND($A1601&lt;&gt;"",'算罪台'!$B$4&lt;&gt;"",ISNUMBER(SEARCH($A1601,'算罪台'!$B$4))),1,0)</f>
        <v/>
      </c>
      <c r="D1602" s="38">
        <f>IF(AND($A1601&lt;&gt;"",'算罪台'!$B$5&lt;&gt;"",ISNUMBER(SEARCH($A1601,'算罪台'!$B$5))),1,0)</f>
        <v/>
      </c>
      <c r="E1602" s="38">
        <f>IF(AND($A1601&lt;&gt;"",'算罪台'!$B$6&lt;&gt;"",ISNUMBER(SEARCH($A1601,'算罪台'!$B$6))),1,0)</f>
        <v/>
      </c>
    </row>
    <row r="1603">
      <c r="A1603" s="38" t="inlineStr">
        <is>
          <t>没宣读权利</t>
        </is>
      </c>
      <c r="B1603" s="38" t="inlineStr">
        <is>
          <t>未宣读米兰达</t>
        </is>
      </c>
      <c r="C1603" s="38">
        <f>IF(AND($A1602&lt;&gt;"",'算罪台'!$B$4&lt;&gt;"",ISNUMBER(SEARCH($A1602,'算罪台'!$B$4))),1,0)</f>
        <v/>
      </c>
      <c r="D1603" s="38">
        <f>IF(AND($A1602&lt;&gt;"",'算罪台'!$B$5&lt;&gt;"",ISNUMBER(SEARCH($A1602,'算罪台'!$B$5))),1,0)</f>
        <v/>
      </c>
      <c r="E1603" s="38">
        <f>IF(AND($A1602&lt;&gt;"",'算罪台'!$B$6&lt;&gt;"",ISNUMBER(SEARCH($A1602,'算罪台'!$B$6))),1,0)</f>
        <v/>
      </c>
    </row>
    <row r="1604">
      <c r="A1604" s="38" t="inlineStr">
        <is>
          <t>漏读米兰达</t>
        </is>
      </c>
      <c r="B1604" s="38" t="inlineStr">
        <is>
          <t>未宣读米兰达</t>
        </is>
      </c>
      <c r="C1604" s="38">
        <f>IF(AND($A1603&lt;&gt;"",'算罪台'!$B$4&lt;&gt;"",ISNUMBER(SEARCH($A1603,'算罪台'!$B$4))),1,0)</f>
        <v/>
      </c>
      <c r="D1604" s="38">
        <f>IF(AND($A1603&lt;&gt;"",'算罪台'!$B$5&lt;&gt;"",ISNUMBER(SEARCH($A1603,'算罪台'!$B$5))),1,0)</f>
        <v/>
      </c>
      <c r="E1604" s="38">
        <f>IF(AND($A1603&lt;&gt;"",'算罪台'!$B$6&lt;&gt;"",ISNUMBER(SEARCH($A1603,'算罪台'!$B$6))),1,0)</f>
        <v/>
      </c>
    </row>
    <row r="1605">
      <c r="A1605" s="38" t="inlineStr">
        <is>
          <t>没念权利</t>
        </is>
      </c>
      <c r="B1605" s="38" t="inlineStr">
        <is>
          <t>未宣读米兰达</t>
        </is>
      </c>
      <c r="C1605" s="38">
        <f>IF(AND($A1604&lt;&gt;"",'算罪台'!$B$4&lt;&gt;"",ISNUMBER(SEARCH($A1604,'算罪台'!$B$4))),1,0)</f>
        <v/>
      </c>
      <c r="D1605" s="38">
        <f>IF(AND($A1604&lt;&gt;"",'算罪台'!$B$5&lt;&gt;"",ISNUMBER(SEARCH($A1604,'算罪台'!$B$5))),1,0)</f>
        <v/>
      </c>
      <c r="E1605" s="38">
        <f>IF(AND($A1604&lt;&gt;"",'算罪台'!$B$6&lt;&gt;"",ISNUMBER(SEARCH($A1604,'算罪台'!$B$6))),1,0)</f>
        <v/>
      </c>
    </row>
    <row r="1606">
      <c r="A1606" s="38" t="inlineStr">
        <is>
          <t>没告知权利</t>
        </is>
      </c>
      <c r="B1606" s="38" t="inlineStr">
        <is>
          <t>未宣读米兰达</t>
        </is>
      </c>
      <c r="C1606" s="38">
        <f>IF(AND($A1605&lt;&gt;"",'算罪台'!$B$4&lt;&gt;"",ISNUMBER(SEARCH($A1605,'算罪台'!$B$4))),1,0)</f>
        <v/>
      </c>
      <c r="D1606" s="38">
        <f>IF(AND($A1605&lt;&gt;"",'算罪台'!$B$5&lt;&gt;"",ISNUMBER(SEARCH($A1605,'算罪台'!$B$5))),1,0)</f>
        <v/>
      </c>
      <c r="E1606" s="38">
        <f>IF(AND($A1605&lt;&gt;"",'算罪台'!$B$6&lt;&gt;"",ISNUMBER(SEARCH($A1605,'算罪台'!$B$6))),1,0)</f>
        <v/>
      </c>
    </row>
    <row r="1607">
      <c r="A1607" s="38" t="inlineStr">
        <is>
          <t>没说米兰达</t>
        </is>
      </c>
      <c r="B1607" s="38" t="inlineStr">
        <is>
          <t>未宣读米兰达</t>
        </is>
      </c>
      <c r="C1607" s="38">
        <f>IF(AND($A1606&lt;&gt;"",'算罪台'!$B$4&lt;&gt;"",ISNUMBER(SEARCH($A1606,'算罪台'!$B$4))),1,0)</f>
        <v/>
      </c>
      <c r="D1607" s="38">
        <f>IF(AND($A1606&lt;&gt;"",'算罪台'!$B$5&lt;&gt;"",ISNUMBER(SEARCH($A1606,'算罪台'!$B$5))),1,0)</f>
        <v/>
      </c>
      <c r="E1607" s="38">
        <f>IF(AND($A1606&lt;&gt;"",'算罪台'!$B$6&lt;&gt;"",ISNUMBER(SEARCH($A1606,'算罪台'!$B$6))),1,0)</f>
        <v/>
      </c>
    </row>
    <row r="1608">
      <c r="A1608" s="38" t="inlineStr">
        <is>
          <t>抓人没念</t>
        </is>
      </c>
      <c r="B1608" s="38" t="inlineStr">
        <is>
          <t>未宣读米兰达</t>
        </is>
      </c>
      <c r="C1608" s="38">
        <f>IF(AND($A1607&lt;&gt;"",'算罪台'!$B$4&lt;&gt;"",ISNUMBER(SEARCH($A1607,'算罪台'!$B$4))),1,0)</f>
        <v/>
      </c>
      <c r="D1608" s="38">
        <f>IF(AND($A1607&lt;&gt;"",'算罪台'!$B$5&lt;&gt;"",ISNUMBER(SEARCH($A1607,'算罪台'!$B$5))),1,0)</f>
        <v/>
      </c>
      <c r="E1608" s="38">
        <f>IF(AND($A1607&lt;&gt;"",'算罪台'!$B$6&lt;&gt;"",ISNUMBER(SEARCH($A1607,'算罪台'!$B$6))),1,0)</f>
        <v/>
      </c>
    </row>
    <row r="1609">
      <c r="A1609" s="38" t="inlineStr">
        <is>
          <t>逮捕没读</t>
        </is>
      </c>
      <c r="B1609" s="38" t="inlineStr">
        <is>
          <t>未宣读米兰达</t>
        </is>
      </c>
      <c r="C1609" s="38">
        <f>IF(AND($A1608&lt;&gt;"",'算罪台'!$B$4&lt;&gt;"",ISNUMBER(SEARCH($A1608,'算罪台'!$B$4))),1,0)</f>
        <v/>
      </c>
      <c r="D1609" s="38">
        <f>IF(AND($A1608&lt;&gt;"",'算罪台'!$B$5&lt;&gt;"",ISNUMBER(SEARCH($A1608,'算罪台'!$B$5))),1,0)</f>
        <v/>
      </c>
      <c r="E1609" s="38">
        <f>IF(AND($A1608&lt;&gt;"",'算罪台'!$B$6&lt;&gt;"",ISNUMBER(SEARCH($A1608,'算罪台'!$B$6))),1,0)</f>
        <v/>
      </c>
    </row>
    <row r="1610">
      <c r="A1610" s="38" t="inlineStr">
        <is>
          <t>没读权利</t>
        </is>
      </c>
      <c r="B1610" s="38" t="inlineStr">
        <is>
          <t>未宣读米兰达</t>
        </is>
      </c>
      <c r="C1610" s="38">
        <f>IF(AND($A1609&lt;&gt;"",'算罪台'!$B$4&lt;&gt;"",ISNUMBER(SEARCH($A1609,'算罪台'!$B$4))),1,0)</f>
        <v/>
      </c>
      <c r="D1610" s="38">
        <f>IF(AND($A1609&lt;&gt;"",'算罪台'!$B$5&lt;&gt;"",ISNUMBER(SEARCH($A1609,'算罪台'!$B$5))),1,0)</f>
        <v/>
      </c>
      <c r="E1610" s="38">
        <f>IF(AND($A1609&lt;&gt;"",'算罪台'!$B$6&lt;&gt;"",ISNUMBER(SEARCH($A1609,'算罪台'!$B$6))),1,0)</f>
        <v/>
      </c>
    </row>
    <row r="1611">
      <c r="A1611" s="38" t="inlineStr">
        <is>
          <t>漏念米兰达</t>
        </is>
      </c>
      <c r="B1611" s="38" t="inlineStr">
        <is>
          <t>未宣读米兰达</t>
        </is>
      </c>
      <c r="C1611" s="38">
        <f>IF(AND($A1610&lt;&gt;"",'算罪台'!$B$4&lt;&gt;"",ISNUMBER(SEARCH($A1610,'算罪台'!$B$4))),1,0)</f>
        <v/>
      </c>
      <c r="D1611" s="38">
        <f>IF(AND($A1610&lt;&gt;"",'算罪台'!$B$5&lt;&gt;"",ISNUMBER(SEARCH($A1610,'算罪台'!$B$5))),1,0)</f>
        <v/>
      </c>
      <c r="E1611" s="38">
        <f>IF(AND($A1610&lt;&gt;"",'算罪台'!$B$6&lt;&gt;"",ISNUMBER(SEARCH($A1610,'算罪台'!$B$6))),1,0)</f>
        <v/>
      </c>
    </row>
    <row r="1612">
      <c r="A1612" s="38" t="inlineStr">
        <is>
          <t>忘念米兰达</t>
        </is>
      </c>
      <c r="B1612" s="38" t="inlineStr">
        <is>
          <t>未宣读米兰达</t>
        </is>
      </c>
      <c r="C1612" s="38">
        <f>IF(AND($A1611&lt;&gt;"",'算罪台'!$B$4&lt;&gt;"",ISNUMBER(SEARCH($A1611,'算罪台'!$B$4))),1,0)</f>
        <v/>
      </c>
      <c r="D1612" s="38">
        <f>IF(AND($A1611&lt;&gt;"",'算罪台'!$B$5&lt;&gt;"",ISNUMBER(SEARCH($A1611,'算罪台'!$B$5))),1,0)</f>
        <v/>
      </c>
      <c r="E1612" s="38">
        <f>IF(AND($A1611&lt;&gt;"",'算罪台'!$B$6&lt;&gt;"",ISNUMBER(SEARCH($A1611,'算罪台'!$B$6))),1,0)</f>
        <v/>
      </c>
    </row>
    <row r="1613">
      <c r="A1613" s="38" t="inlineStr">
        <is>
          <t>逮捕未告知权利</t>
        </is>
      </c>
      <c r="B1613" s="38" t="inlineStr">
        <is>
          <t>未宣读米兰达</t>
        </is>
      </c>
      <c r="C1613" s="38">
        <f>IF(AND($A1612&lt;&gt;"",'算罪台'!$B$4&lt;&gt;"",ISNUMBER(SEARCH($A1612,'算罪台'!$B$4))),1,0)</f>
        <v/>
      </c>
      <c r="D1613" s="38">
        <f>IF(AND($A1612&lt;&gt;"",'算罪台'!$B$5&lt;&gt;"",ISNUMBER(SEARCH($A1612,'算罪台'!$B$5))),1,0)</f>
        <v/>
      </c>
      <c r="E1613" s="38">
        <f>IF(AND($A1612&lt;&gt;"",'算罪台'!$B$6&lt;&gt;"",ISNUMBER(SEARCH($A1612,'算罪台'!$B$6))),1,0)</f>
        <v/>
      </c>
    </row>
    <row r="1614">
      <c r="A1614" s="38" t="inlineStr">
        <is>
          <t>酒后开警车</t>
        </is>
      </c>
      <c r="B1614" s="38" t="inlineStr">
        <is>
          <t>警员违规驾驶/警车肇事</t>
        </is>
      </c>
      <c r="C1614" s="38">
        <f>IF(AND($A1613&lt;&gt;"",'算罪台'!$B$4&lt;&gt;"",ISNUMBER(SEARCH($A1613,'算罪台'!$B$4))),1,0)</f>
        <v/>
      </c>
      <c r="D1614" s="38">
        <f>IF(AND($A1613&lt;&gt;"",'算罪台'!$B$5&lt;&gt;"",ISNUMBER(SEARCH($A1613,'算罪台'!$B$5))),1,0)</f>
        <v/>
      </c>
      <c r="E1614" s="38">
        <f>IF(AND($A1613&lt;&gt;"",'算罪台'!$B$6&lt;&gt;"",ISNUMBER(SEARCH($A1613,'算罪台'!$B$6))),1,0)</f>
        <v/>
      </c>
    </row>
    <row r="1615">
      <c r="A1615" s="38" t="inlineStr">
        <is>
          <t>醉驾警车</t>
        </is>
      </c>
      <c r="B1615" s="38" t="inlineStr">
        <is>
          <t>警员违规驾驶/警车肇事</t>
        </is>
      </c>
      <c r="C1615" s="38">
        <f>IF(AND($A1614&lt;&gt;"",'算罪台'!$B$4&lt;&gt;"",ISNUMBER(SEARCH($A1614,'算罪台'!$B$4))),1,0)</f>
        <v/>
      </c>
      <c r="D1615" s="38">
        <f>IF(AND($A1614&lt;&gt;"",'算罪台'!$B$5&lt;&gt;"",ISNUMBER(SEARCH($A1614,'算罪台'!$B$5))),1,0)</f>
        <v/>
      </c>
      <c r="E1615" s="38">
        <f>IF(AND($A1614&lt;&gt;"",'算罪台'!$B$6&lt;&gt;"",ISNUMBER(SEARCH($A1614,'算罪台'!$B$6))),1,0)</f>
        <v/>
      </c>
    </row>
    <row r="1616">
      <c r="A1616" s="38" t="inlineStr">
        <is>
          <t>警车违规驾驶</t>
        </is>
      </c>
      <c r="B1616" s="38" t="inlineStr">
        <is>
          <t>警员违规驾驶/警车肇事</t>
        </is>
      </c>
      <c r="C1616" s="38">
        <f>IF(AND($A1615&lt;&gt;"",'算罪台'!$B$4&lt;&gt;"",ISNUMBER(SEARCH($A1615,'算罪台'!$B$4))),1,0)</f>
        <v/>
      </c>
      <c r="D1616" s="38">
        <f>IF(AND($A1615&lt;&gt;"",'算罪台'!$B$5&lt;&gt;"",ISNUMBER(SEARCH($A1615,'算罪台'!$B$5))),1,0)</f>
        <v/>
      </c>
      <c r="E1616" s="38">
        <f>IF(AND($A1615&lt;&gt;"",'算罪台'!$B$6&lt;&gt;"",ISNUMBER(SEARCH($A1615,'算罪台'!$B$6))),1,0)</f>
        <v/>
      </c>
    </row>
    <row r="1617">
      <c r="A1617" s="38" t="inlineStr">
        <is>
          <t>下班穿工服开公车</t>
        </is>
      </c>
      <c r="B1617" s="38" t="inlineStr">
        <is>
          <t>警员违规驾驶/警车肇事</t>
        </is>
      </c>
      <c r="C1617" s="38">
        <f>IF(AND($A1616&lt;&gt;"",'算罪台'!$B$4&lt;&gt;"",ISNUMBER(SEARCH($A1616,'算罪台'!$B$4))),1,0)</f>
        <v/>
      </c>
      <c r="D1617" s="38">
        <f>IF(AND($A1616&lt;&gt;"",'算罪台'!$B$5&lt;&gt;"",ISNUMBER(SEARCH($A1616,'算罪台'!$B$5))),1,0)</f>
        <v/>
      </c>
      <c r="E1617" s="38">
        <f>IF(AND($A1616&lt;&gt;"",'算罪台'!$B$6&lt;&gt;"",ISNUMBER(SEARCH($A1616,'算罪台'!$B$6))),1,0)</f>
        <v/>
      </c>
    </row>
    <row r="1618">
      <c r="A1618" s="38" t="inlineStr">
        <is>
          <t>非任务违规驾驶警车</t>
        </is>
      </c>
      <c r="B1618" s="38" t="inlineStr">
        <is>
          <t>警员违规驾驶/警车肇事</t>
        </is>
      </c>
      <c r="C1618" s="38">
        <f>IF(AND($A1617&lt;&gt;"",'算罪台'!$B$4&lt;&gt;"",ISNUMBER(SEARCH($A1617,'算罪台'!$B$4))),1,0)</f>
        <v/>
      </c>
      <c r="D1618" s="38">
        <f>IF(AND($A1617&lt;&gt;"",'算罪台'!$B$5&lt;&gt;"",ISNUMBER(SEARCH($A1617,'算罪台'!$B$5))),1,0)</f>
        <v/>
      </c>
      <c r="E1618" s="38">
        <f>IF(AND($A1617&lt;&gt;"",'算罪台'!$B$6&lt;&gt;"",ISNUMBER(SEARCH($A1617,'算罪台'!$B$6))),1,0)</f>
        <v/>
      </c>
    </row>
    <row r="1619">
      <c r="A1619" s="38" t="inlineStr">
        <is>
          <t>警员酒驾</t>
        </is>
      </c>
      <c r="B1619" s="38" t="inlineStr">
        <is>
          <t>警员违规驾驶/警车肇事</t>
        </is>
      </c>
      <c r="C1619" s="38">
        <f>IF(AND($A1618&lt;&gt;"",'算罪台'!$B$4&lt;&gt;"",ISNUMBER(SEARCH($A1618,'算罪台'!$B$4))),1,0)</f>
        <v/>
      </c>
      <c r="D1619" s="38">
        <f>IF(AND($A1618&lt;&gt;"",'算罪台'!$B$5&lt;&gt;"",ISNUMBER(SEARCH($A1618,'算罪台'!$B$5))),1,0)</f>
        <v/>
      </c>
      <c r="E1619" s="38">
        <f>IF(AND($A1618&lt;&gt;"",'算罪台'!$B$6&lt;&gt;"",ISNUMBER(SEARCH($A1618,'算罪台'!$B$6))),1,0)</f>
        <v/>
      </c>
    </row>
    <row r="1620">
      <c r="A1620" s="38" t="inlineStr">
        <is>
          <t>警车撞</t>
        </is>
      </c>
      <c r="B1620" s="38" t="inlineStr">
        <is>
          <t>警员违规驾驶/警车肇事</t>
        </is>
      </c>
      <c r="C1620" s="38">
        <f>IF(AND($A1619&lt;&gt;"",'算罪台'!$B$4&lt;&gt;"",ISNUMBER(SEARCH($A1619,'算罪台'!$B$4))),1,0)</f>
        <v/>
      </c>
      <c r="D1620" s="38">
        <f>IF(AND($A1619&lt;&gt;"",'算罪台'!$B$5&lt;&gt;"",ISNUMBER(SEARCH($A1619,'算罪台'!$B$5))),1,0)</f>
        <v/>
      </c>
      <c r="E1620" s="38">
        <f>IF(AND($A1619&lt;&gt;"",'算罪台'!$B$6&lt;&gt;"",ISNUMBER(SEARCH($A1619,'算罪台'!$B$6))),1,0)</f>
        <v/>
      </c>
    </row>
    <row r="1621">
      <c r="A1621" s="38" t="inlineStr">
        <is>
          <t>警车肇事</t>
        </is>
      </c>
      <c r="B1621" s="38" t="inlineStr">
        <is>
          <t>警员违规驾驶/警车肇事</t>
        </is>
      </c>
      <c r="C1621" s="38">
        <f>IF(AND($A1620&lt;&gt;"",'算罪台'!$B$4&lt;&gt;"",ISNUMBER(SEARCH($A1620,'算罪台'!$B$4))),1,0)</f>
        <v/>
      </c>
      <c r="D1621" s="38">
        <f>IF(AND($A1620&lt;&gt;"",'算罪台'!$B$5&lt;&gt;"",ISNUMBER(SEARCH($A1620,'算罪台'!$B$5))),1,0)</f>
        <v/>
      </c>
      <c r="E1621" s="38">
        <f>IF(AND($A1620&lt;&gt;"",'算罪台'!$B$6&lt;&gt;"",ISNUMBER(SEARCH($A1620,'算罪台'!$B$6))),1,0)</f>
        <v/>
      </c>
    </row>
    <row r="1622">
      <c r="A1622" s="38" t="inlineStr">
        <is>
          <t>开警车撞</t>
        </is>
      </c>
      <c r="B1622" s="38" t="inlineStr">
        <is>
          <t>警员违规驾驶/警车肇事</t>
        </is>
      </c>
      <c r="C1622" s="38">
        <f>IF(AND($A1621&lt;&gt;"",'算罪台'!$B$4&lt;&gt;"",ISNUMBER(SEARCH($A1621,'算罪台'!$B$4))),1,0)</f>
        <v/>
      </c>
      <c r="D1622" s="38">
        <f>IF(AND($A1621&lt;&gt;"",'算罪台'!$B$5&lt;&gt;"",ISNUMBER(SEARCH($A1621,'算罪台'!$B$5))),1,0)</f>
        <v/>
      </c>
      <c r="E1622" s="38">
        <f>IF(AND($A1621&lt;&gt;"",'算罪台'!$B$6&lt;&gt;"",ISNUMBER(SEARCH($A1621,'算罪台'!$B$6))),1,0)</f>
        <v/>
      </c>
    </row>
    <row r="1623">
      <c r="A1623" s="38" t="inlineStr">
        <is>
          <t>巡逻撞</t>
        </is>
      </c>
      <c r="B1623" s="38" t="inlineStr">
        <is>
          <t>警员违规驾驶/警车肇事</t>
        </is>
      </c>
      <c r="C1623" s="38">
        <f>IF(AND($A1622&lt;&gt;"",'算罪台'!$B$4&lt;&gt;"",ISNUMBER(SEARCH($A1622,'算罪台'!$B$4))),1,0)</f>
        <v/>
      </c>
      <c r="D1623" s="38">
        <f>IF(AND($A1622&lt;&gt;"",'算罪台'!$B$5&lt;&gt;"",ISNUMBER(SEARCH($A1622,'算罪台'!$B$5))),1,0)</f>
        <v/>
      </c>
      <c r="E1623" s="38">
        <f>IF(AND($A1622&lt;&gt;"",'算罪台'!$B$6&lt;&gt;"",ISNUMBER(SEARCH($A1622,'算罪台'!$B$6))),1,0)</f>
        <v/>
      </c>
    </row>
    <row r="1624">
      <c r="A1624" s="38" t="inlineStr">
        <is>
          <t>追捕撞</t>
        </is>
      </c>
      <c r="B1624" s="38" t="inlineStr">
        <is>
          <t>警员违规驾驶/警车肇事</t>
        </is>
      </c>
      <c r="C1624" s="38">
        <f>IF(AND($A1623&lt;&gt;"",'算罪台'!$B$4&lt;&gt;"",ISNUMBER(SEARCH($A1623,'算罪台'!$B$4))),1,0)</f>
        <v/>
      </c>
      <c r="D1624" s="38">
        <f>IF(AND($A1623&lt;&gt;"",'算罪台'!$B$5&lt;&gt;"",ISNUMBER(SEARCH($A1623,'算罪台'!$B$5))),1,0)</f>
        <v/>
      </c>
      <c r="E1624" s="38">
        <f>IF(AND($A1623&lt;&gt;"",'算罪台'!$B$6&lt;&gt;"",ISNUMBER(SEARCH($A1623,'算罪台'!$B$6))),1,0)</f>
        <v/>
      </c>
    </row>
    <row r="1625">
      <c r="A1625" s="38" t="inlineStr">
        <is>
          <t>警车撞伤</t>
        </is>
      </c>
      <c r="B1625" s="38" t="inlineStr">
        <is>
          <t>警员违规驾驶/警车肇事</t>
        </is>
      </c>
      <c r="C1625" s="38">
        <f>IF(AND($A1624&lt;&gt;"",'算罪台'!$B$4&lt;&gt;"",ISNUMBER(SEARCH($A1624,'算罪台'!$B$4))),1,0)</f>
        <v/>
      </c>
      <c r="D1625" s="38">
        <f>IF(AND($A1624&lt;&gt;"",'算罪台'!$B$5&lt;&gt;"",ISNUMBER(SEARCH($A1624,'算罪台'!$B$5))),1,0)</f>
        <v/>
      </c>
      <c r="E1625" s="38">
        <f>IF(AND($A1624&lt;&gt;"",'算罪台'!$B$6&lt;&gt;"",ISNUMBER(SEARCH($A1624,'算罪台'!$B$6))),1,0)</f>
        <v/>
      </c>
    </row>
    <row r="1626">
      <c r="A1626" s="38" t="inlineStr">
        <is>
          <t>警车撞死</t>
        </is>
      </c>
      <c r="B1626" s="38" t="inlineStr">
        <is>
          <t>警员违规驾驶/警车肇事</t>
        </is>
      </c>
      <c r="C1626" s="38">
        <f>IF(AND($A1625&lt;&gt;"",'算罪台'!$B$4&lt;&gt;"",ISNUMBER(SEARCH($A1625,'算罪台'!$B$4))),1,0)</f>
        <v/>
      </c>
      <c r="D1626" s="38">
        <f>IF(AND($A1625&lt;&gt;"",'算罪台'!$B$5&lt;&gt;"",ISNUMBER(SEARCH($A1625,'算罪台'!$B$5))),1,0)</f>
        <v/>
      </c>
      <c r="E1626" s="38">
        <f>IF(AND($A1625&lt;&gt;"",'算罪台'!$B$6&lt;&gt;"",ISNUMBER(SEARCH($A1625,'算罪台'!$B$6))),1,0)</f>
        <v/>
      </c>
    </row>
    <row r="1627">
      <c r="A1627" s="38" t="inlineStr">
        <is>
          <t>驾警车撞</t>
        </is>
      </c>
      <c r="B1627" s="38" t="inlineStr">
        <is>
          <t>警员违规驾驶/警车肇事</t>
        </is>
      </c>
      <c r="C1627" s="38">
        <f>IF(AND($A1626&lt;&gt;"",'算罪台'!$B$4&lt;&gt;"",ISNUMBER(SEARCH($A1626,'算罪台'!$B$4))),1,0)</f>
        <v/>
      </c>
      <c r="D1627" s="38">
        <f>IF(AND($A1626&lt;&gt;"",'算罪台'!$B$5&lt;&gt;"",ISNUMBER(SEARCH($A1626,'算罪台'!$B$5))),1,0)</f>
        <v/>
      </c>
      <c r="E1627" s="38">
        <f>IF(AND($A1626&lt;&gt;"",'算罪台'!$B$6&lt;&gt;"",ISNUMBER(SEARCH($A1626,'算罪台'!$B$6))),1,0)</f>
        <v/>
      </c>
    </row>
    <row r="1628">
      <c r="A1628" s="38" t="inlineStr">
        <is>
          <t>喝酒开警车</t>
        </is>
      </c>
      <c r="B1628" s="38" t="inlineStr">
        <is>
          <t>警员违规驾驶/警车肇事</t>
        </is>
      </c>
      <c r="C1628" s="38">
        <f>IF(AND($A1627&lt;&gt;"",'算罪台'!$B$4&lt;&gt;"",ISNUMBER(SEARCH($A1627,'算罪台'!$B$4))),1,0)</f>
        <v/>
      </c>
      <c r="D1628" s="38">
        <f>IF(AND($A1627&lt;&gt;"",'算罪台'!$B$5&lt;&gt;"",ISNUMBER(SEARCH($A1627,'算罪台'!$B$5))),1,0)</f>
        <v/>
      </c>
      <c r="E1628" s="38">
        <f>IF(AND($A1627&lt;&gt;"",'算罪台'!$B$6&lt;&gt;"",ISNUMBER(SEARCH($A1627,'算罪台'!$B$6))),1,0)</f>
        <v/>
      </c>
    </row>
    <row r="1629">
      <c r="A1629" s="38" t="inlineStr">
        <is>
          <t>醉着开警车</t>
        </is>
      </c>
      <c r="B1629" s="38" t="inlineStr">
        <is>
          <t>警员违规驾驶/警车肇事</t>
        </is>
      </c>
      <c r="C1629" s="38">
        <f>IF(AND($A1628&lt;&gt;"",'算罪台'!$B$4&lt;&gt;"",ISNUMBER(SEARCH($A1628,'算罪台'!$B$4))),1,0)</f>
        <v/>
      </c>
      <c r="D1629" s="38">
        <f>IF(AND($A1628&lt;&gt;"",'算罪台'!$B$5&lt;&gt;"",ISNUMBER(SEARCH($A1628,'算罪台'!$B$5))),1,0)</f>
        <v/>
      </c>
      <c r="E1629" s="38">
        <f>IF(AND($A1628&lt;&gt;"",'算罪台'!$B$6&lt;&gt;"",ISNUMBER(SEARCH($A1628,'算罪台'!$B$6))),1,0)</f>
        <v/>
      </c>
    </row>
    <row r="1630">
      <c r="A1630" s="38" t="inlineStr">
        <is>
          <t>警车乱开</t>
        </is>
      </c>
      <c r="B1630" s="38" t="inlineStr">
        <is>
          <t>警员违规驾驶/警车肇事</t>
        </is>
      </c>
      <c r="C1630" s="38">
        <f>IF(AND($A1629&lt;&gt;"",'算罪台'!$B$4&lt;&gt;"",ISNUMBER(SEARCH($A1629,'算罪台'!$B$4))),1,0)</f>
        <v/>
      </c>
      <c r="D1630" s="38">
        <f>IF(AND($A1629&lt;&gt;"",'算罪台'!$B$5&lt;&gt;"",ISNUMBER(SEARCH($A1629,'算罪台'!$B$5))),1,0)</f>
        <v/>
      </c>
      <c r="E1630" s="38">
        <f>IF(AND($A1629&lt;&gt;"",'算罪台'!$B$6&lt;&gt;"",ISNUMBER(SEARCH($A1629,'算罪台'!$B$6))),1,0)</f>
        <v/>
      </c>
    </row>
    <row r="1631">
      <c r="A1631" s="38" t="inlineStr">
        <is>
          <t>下班还穿制服开公车</t>
        </is>
      </c>
      <c r="B1631" s="38" t="inlineStr">
        <is>
          <t>警员违规驾驶/警车肇事</t>
        </is>
      </c>
      <c r="C1631" s="38">
        <f>IF(AND($A1630&lt;&gt;"",'算罪台'!$B$4&lt;&gt;"",ISNUMBER(SEARCH($A1630,'算罪台'!$B$4))),1,0)</f>
        <v/>
      </c>
      <c r="D1631" s="38">
        <f>IF(AND($A1630&lt;&gt;"",'算罪台'!$B$5&lt;&gt;"",ISNUMBER(SEARCH($A1630,'算罪台'!$B$5))),1,0)</f>
        <v/>
      </c>
      <c r="E1631" s="38">
        <f>IF(AND($A1630&lt;&gt;"",'算罪台'!$B$6&lt;&gt;"",ISNUMBER(SEARCH($A1630,'算罪台'!$B$6))),1,0)</f>
        <v/>
      </c>
    </row>
    <row r="1632">
      <c r="A1632" s="38" t="inlineStr">
        <is>
          <t>警员喝酒开车</t>
        </is>
      </c>
      <c r="B1632" s="38" t="inlineStr">
        <is>
          <t>警员违规驾驶/警车肇事</t>
        </is>
      </c>
      <c r="C1632" s="38">
        <f>IF(AND($A1631&lt;&gt;"",'算罪台'!$B$4&lt;&gt;"",ISNUMBER(SEARCH($A1631,'算罪台'!$B$4))),1,0)</f>
        <v/>
      </c>
      <c r="D1632" s="38">
        <f>IF(AND($A1631&lt;&gt;"",'算罪台'!$B$5&lt;&gt;"",ISNUMBER(SEARCH($A1631,'算罪台'!$B$5))),1,0)</f>
        <v/>
      </c>
      <c r="E1632" s="38">
        <f>IF(AND($A1631&lt;&gt;"",'算罪台'!$B$6&lt;&gt;"",ISNUMBER(SEARCH($A1631,'算罪台'!$B$6))),1,0)</f>
        <v/>
      </c>
    </row>
    <row r="1633">
      <c r="A1633" s="38" t="inlineStr">
        <is>
          <t>开警车肇事</t>
        </is>
      </c>
      <c r="B1633" s="38" t="inlineStr">
        <is>
          <t>警员违规驾驶/警车肇事</t>
        </is>
      </c>
      <c r="C1633" s="38">
        <f>IF(AND($A1632&lt;&gt;"",'算罪台'!$B$4&lt;&gt;"",ISNUMBER(SEARCH($A1632,'算罪台'!$B$4))),1,0)</f>
        <v/>
      </c>
      <c r="D1633" s="38">
        <f>IF(AND($A1632&lt;&gt;"",'算罪台'!$B$5&lt;&gt;"",ISNUMBER(SEARCH($A1632,'算罪台'!$B$5))),1,0)</f>
        <v/>
      </c>
      <c r="E1633" s="38">
        <f>IF(AND($A1632&lt;&gt;"",'算罪台'!$B$6&lt;&gt;"",ISNUMBER(SEARCH($A1632,'算罪台'!$B$6))),1,0)</f>
        <v/>
      </c>
    </row>
    <row r="1634">
      <c r="A1634" s="38" t="inlineStr">
        <is>
          <t>酒后驾驶警车</t>
        </is>
      </c>
      <c r="B1634" s="38" t="inlineStr">
        <is>
          <t>警员违规驾驶/警车肇事</t>
        </is>
      </c>
      <c r="C1634" s="38">
        <f>IF(AND($A1633&lt;&gt;"",'算罪台'!$B$4&lt;&gt;"",ISNUMBER(SEARCH($A1633,'算罪台'!$B$4))),1,0)</f>
        <v/>
      </c>
      <c r="D1634" s="38">
        <f>IF(AND($A1633&lt;&gt;"",'算罪台'!$B$5&lt;&gt;"",ISNUMBER(SEARCH($A1633,'算罪台'!$B$5))),1,0)</f>
        <v/>
      </c>
      <c r="E1634" s="38">
        <f>IF(AND($A1633&lt;&gt;"",'算罪台'!$B$6&lt;&gt;"",ISNUMBER(SEARCH($A1633,'算罪台'!$B$6))),1,0)</f>
        <v/>
      </c>
    </row>
    <row r="1635">
      <c r="A1635" s="38" t="inlineStr">
        <is>
          <t>警员醉驾</t>
        </is>
      </c>
      <c r="B1635" s="38" t="inlineStr">
        <is>
          <t>警员违规驾驶/警车肇事</t>
        </is>
      </c>
      <c r="C1635" s="38">
        <f>IF(AND($A1634&lt;&gt;"",'算罪台'!$B$4&lt;&gt;"",ISNUMBER(SEARCH($A1634,'算罪台'!$B$4))),1,0)</f>
        <v/>
      </c>
      <c r="D1635" s="38">
        <f>IF(AND($A1634&lt;&gt;"",'算罪台'!$B$5&lt;&gt;"",ISNUMBER(SEARCH($A1634,'算罪台'!$B$5))),1,0)</f>
        <v/>
      </c>
      <c r="E1635" s="38">
        <f>IF(AND($A1634&lt;&gt;"",'算罪台'!$B$6&lt;&gt;"",ISNUMBER(SEARCH($A1634,'算罪台'!$B$6))),1,0)</f>
        <v/>
      </c>
    </row>
    <row r="1636">
      <c r="A1636" s="38" t="inlineStr">
        <is>
          <t>飙警车</t>
        </is>
      </c>
      <c r="B1636" s="38" t="inlineStr">
        <is>
          <t>警员违规驾驶/警车肇事</t>
        </is>
      </c>
      <c r="C1636" s="38">
        <f>IF(AND($A1635&lt;&gt;"",'算罪台'!$B$4&lt;&gt;"",ISNUMBER(SEARCH($A1635,'算罪台'!$B$4))),1,0)</f>
        <v/>
      </c>
      <c r="D1636" s="38">
        <f>IF(AND($A1635&lt;&gt;"",'算罪台'!$B$5&lt;&gt;"",ISNUMBER(SEARCH($A1635,'算罪台'!$B$5))),1,0)</f>
        <v/>
      </c>
      <c r="E1636" s="38">
        <f>IF(AND($A1635&lt;&gt;"",'算罪台'!$B$6&lt;&gt;"",ISNUMBER(SEARCH($A1635,'算罪台'!$B$6))),1,0)</f>
        <v/>
      </c>
    </row>
    <row r="1637">
      <c r="A1637" s="38" t="inlineStr">
        <is>
          <t>醉驾开警车</t>
        </is>
      </c>
      <c r="B1637" s="38" t="inlineStr">
        <is>
          <t>警员违规驾驶/警车肇事</t>
        </is>
      </c>
      <c r="C1637" s="38">
        <f>IF(AND($A1636&lt;&gt;"",'算罪台'!$B$4&lt;&gt;"",ISNUMBER(SEARCH($A1636,'算罪台'!$B$4))),1,0)</f>
        <v/>
      </c>
      <c r="D1637" s="38">
        <f>IF(AND($A1636&lt;&gt;"",'算罪台'!$B$5&lt;&gt;"",ISNUMBER(SEARCH($A1636,'算罪台'!$B$5))),1,0)</f>
        <v/>
      </c>
      <c r="E1637" s="38">
        <f>IF(AND($A1636&lt;&gt;"",'算罪台'!$B$6&lt;&gt;"",ISNUMBER(SEARCH($A1636,'算罪台'!$B$6))),1,0)</f>
        <v/>
      </c>
    </row>
    <row r="1638">
      <c r="A1638" s="38" t="inlineStr">
        <is>
          <t>警车撞人</t>
        </is>
      </c>
      <c r="B1638" s="38" t="inlineStr">
        <is>
          <t>警员违规驾驶/警车肇事</t>
        </is>
      </c>
      <c r="C1638" s="38">
        <f>IF(AND($A1637&lt;&gt;"",'算罪台'!$B$4&lt;&gt;"",ISNUMBER(SEARCH($A1637,'算罪台'!$B$4))),1,0)</f>
        <v/>
      </c>
      <c r="D1638" s="38">
        <f>IF(AND($A1637&lt;&gt;"",'算罪台'!$B$5&lt;&gt;"",ISNUMBER(SEARCH($A1637,'算罪台'!$B$5))),1,0)</f>
        <v/>
      </c>
      <c r="E1638" s="38">
        <f>IF(AND($A1637&lt;&gt;"",'算罪台'!$B$6&lt;&gt;"",ISNUMBER(SEARCH($A1637,'算罪台'!$B$6))),1,0)</f>
        <v/>
      </c>
    </row>
    <row r="1639">
      <c r="A1639" s="38" t="inlineStr">
        <is>
          <t>警车把人撞</t>
        </is>
      </c>
      <c r="B1639" s="38" t="inlineStr">
        <is>
          <t>警员违规驾驶/警车肇事</t>
        </is>
      </c>
      <c r="C1639" s="38">
        <f>IF(AND($A1638&lt;&gt;"",'算罪台'!$B$4&lt;&gt;"",ISNUMBER(SEARCH($A1638,'算罪台'!$B$4))),1,0)</f>
        <v/>
      </c>
      <c r="D1639" s="38">
        <f>IF(AND($A1638&lt;&gt;"",'算罪台'!$B$5&lt;&gt;"",ISNUMBER(SEARCH($A1638,'算罪台'!$B$5))),1,0)</f>
        <v/>
      </c>
      <c r="E1639" s="38">
        <f>IF(AND($A1638&lt;&gt;"",'算罪台'!$B$6&lt;&gt;"",ISNUMBER(SEARCH($A1638,'算罪台'!$B$6))),1,0)</f>
        <v/>
      </c>
    </row>
    <row r="1640">
      <c r="A1640" s="38" t="inlineStr">
        <is>
          <t>巡逻车撞人</t>
        </is>
      </c>
      <c r="B1640" s="38" t="inlineStr">
        <is>
          <t>警员违规驾驶/警车肇事</t>
        </is>
      </c>
      <c r="C1640" s="38">
        <f>IF(AND($A1639&lt;&gt;"",'算罪台'!$B$4&lt;&gt;"",ISNUMBER(SEARCH($A1639,'算罪台'!$B$4))),1,0)</f>
        <v/>
      </c>
      <c r="D1640" s="38">
        <f>IF(AND($A1639&lt;&gt;"",'算罪台'!$B$5&lt;&gt;"",ISNUMBER(SEARCH($A1639,'算罪台'!$B$5))),1,0)</f>
        <v/>
      </c>
      <c r="E1640" s="38">
        <f>IF(AND($A1639&lt;&gt;"",'算罪台'!$B$6&lt;&gt;"",ISNUMBER(SEARCH($A1639,'算罪台'!$B$6))),1,0)</f>
        <v/>
      </c>
    </row>
    <row r="1641">
      <c r="A1641" s="38" t="inlineStr">
        <is>
          <t>追嫌犯撞到人</t>
        </is>
      </c>
      <c r="B1641" s="38" t="inlineStr">
        <is>
          <t>警员违规驾驶/警车肇事</t>
        </is>
      </c>
      <c r="C1641" s="38">
        <f>IF(AND($A1640&lt;&gt;"",'算罪台'!$B$4&lt;&gt;"",ISNUMBER(SEARCH($A1640,'算罪台'!$B$4))),1,0)</f>
        <v/>
      </c>
      <c r="D1641" s="38">
        <f>IF(AND($A1640&lt;&gt;"",'算罪台'!$B$5&lt;&gt;"",ISNUMBER(SEARCH($A1640,'算罪台'!$B$5))),1,0)</f>
        <v/>
      </c>
      <c r="E1641" s="38">
        <f>IF(AND($A1640&lt;&gt;"",'算罪台'!$B$6&lt;&gt;"",ISNUMBER(SEARCH($A1640,'算罪台'!$B$6))),1,0)</f>
        <v/>
      </c>
    </row>
    <row r="1642">
      <c r="A1642" s="38" t="inlineStr">
        <is>
          <t>开警车撞死</t>
        </is>
      </c>
      <c r="B1642" s="38" t="inlineStr">
        <is>
          <t>警员违规驾驶/警车肇事</t>
        </is>
      </c>
      <c r="C1642" s="38">
        <f>IF(AND($A1641&lt;&gt;"",'算罪台'!$B$4&lt;&gt;"",ISNUMBER(SEARCH($A1641,'算罪台'!$B$4))),1,0)</f>
        <v/>
      </c>
      <c r="D1642" s="38">
        <f>IF(AND($A1641&lt;&gt;"",'算罪台'!$B$5&lt;&gt;"",ISNUMBER(SEARCH($A1641,'算罪台'!$B$5))),1,0)</f>
        <v/>
      </c>
      <c r="E1642" s="38">
        <f>IF(AND($A1641&lt;&gt;"",'算罪台'!$B$6&lt;&gt;"",ISNUMBER(SEARCH($A1641,'算罪台'!$B$6))),1,0)</f>
        <v/>
      </c>
    </row>
    <row r="1643">
      <c r="A1643" s="38" t="inlineStr">
        <is>
          <t>开警车撞伤</t>
        </is>
      </c>
      <c r="B1643" s="38" t="inlineStr">
        <is>
          <t>警员违规驾驶/警车肇事</t>
        </is>
      </c>
      <c r="C1643" s="38">
        <f>IF(AND($A1642&lt;&gt;"",'算罪台'!$B$4&lt;&gt;"",ISNUMBER(SEARCH($A1642,'算罪台'!$B$4))),1,0)</f>
        <v/>
      </c>
      <c r="D1643" s="38">
        <f>IF(AND($A1642&lt;&gt;"",'算罪台'!$B$5&lt;&gt;"",ISNUMBER(SEARCH($A1642,'算罪台'!$B$5))),1,0)</f>
        <v/>
      </c>
      <c r="E1643" s="38">
        <f>IF(AND($A1642&lt;&gt;"",'算罪台'!$B$6&lt;&gt;"",ISNUMBER(SEARCH($A1642,'算罪台'!$B$6))),1,0)</f>
        <v/>
      </c>
    </row>
    <row r="1644">
      <c r="A1644" s="38" t="inlineStr">
        <is>
          <t>冒充警衔</t>
        </is>
      </c>
      <c r="B1644" s="38" t="inlineStr">
        <is>
          <t>越权/虚报职务</t>
        </is>
      </c>
      <c r="C1644" s="38">
        <f>IF(AND($A1643&lt;&gt;"",'算罪台'!$B$4&lt;&gt;"",ISNUMBER(SEARCH($A1643,'算罪台'!$B$4))),1,0)</f>
        <v/>
      </c>
      <c r="D1644" s="38">
        <f>IF(AND($A1643&lt;&gt;"",'算罪台'!$B$5&lt;&gt;"",ISNUMBER(SEARCH($A1643,'算罪台'!$B$5))),1,0)</f>
        <v/>
      </c>
      <c r="E1644" s="38">
        <f>IF(AND($A1643&lt;&gt;"",'算罪台'!$B$6&lt;&gt;"",ISNUMBER(SEARCH($A1643,'算罪台'!$B$6))),1,0)</f>
        <v/>
      </c>
    </row>
    <row r="1645">
      <c r="A1645" s="38" t="inlineStr">
        <is>
          <t>谎报警衔</t>
        </is>
      </c>
      <c r="B1645" s="38" t="inlineStr">
        <is>
          <t>越权/虚报职务</t>
        </is>
      </c>
      <c r="C1645" s="38">
        <f>IF(AND($A1644&lt;&gt;"",'算罪台'!$B$4&lt;&gt;"",ISNUMBER(SEARCH($A1644,'算罪台'!$B$4))),1,0)</f>
        <v/>
      </c>
      <c r="D1645" s="38">
        <f>IF(AND($A1644&lt;&gt;"",'算罪台'!$B$5&lt;&gt;"",ISNUMBER(SEARCH($A1644,'算罪台'!$B$5))),1,0)</f>
        <v/>
      </c>
      <c r="E1645" s="38">
        <f>IF(AND($A1644&lt;&gt;"",'算罪台'!$B$6&lt;&gt;"",ISNUMBER(SEARCH($A1644,'算罪台'!$B$6))),1,0)</f>
        <v/>
      </c>
    </row>
    <row r="1646">
      <c r="A1646" s="38" t="inlineStr">
        <is>
          <t>虚报职务</t>
        </is>
      </c>
      <c r="B1646" s="38" t="inlineStr">
        <is>
          <t>越权/虚报职务</t>
        </is>
      </c>
      <c r="C1646" s="38">
        <f>IF(AND($A1645&lt;&gt;"",'算罪台'!$B$4&lt;&gt;"",ISNUMBER(SEARCH($A1645,'算罪台'!$B$4))),1,0)</f>
        <v/>
      </c>
      <c r="D1646" s="38">
        <f>IF(AND($A1645&lt;&gt;"",'算罪台'!$B$5&lt;&gt;"",ISNUMBER(SEARCH($A1645,'算罪台'!$B$5))),1,0)</f>
        <v/>
      </c>
      <c r="E1646" s="38">
        <f>IF(AND($A1645&lt;&gt;"",'算罪台'!$B$6&lt;&gt;"",ISNUMBER(SEARCH($A1645,'算罪台'!$B$6))),1,0)</f>
        <v/>
      </c>
    </row>
    <row r="1647">
      <c r="A1647" s="38" t="inlineStr">
        <is>
          <t>越权执法</t>
        </is>
      </c>
      <c r="B1647" s="38" t="inlineStr">
        <is>
          <t>越权/虚报职务</t>
        </is>
      </c>
      <c r="C1647" s="38">
        <f>IF(AND($A1646&lt;&gt;"",'算罪台'!$B$4&lt;&gt;"",ISNUMBER(SEARCH($A1646,'算罪台'!$B$4))),1,0)</f>
        <v/>
      </c>
      <c r="D1647" s="38">
        <f>IF(AND($A1646&lt;&gt;"",'算罪台'!$B$5&lt;&gt;"",ISNUMBER(SEARCH($A1646,'算罪台'!$B$5))),1,0)</f>
        <v/>
      </c>
      <c r="E1647" s="38">
        <f>IF(AND($A1646&lt;&gt;"",'算罪台'!$B$6&lt;&gt;"",ISNUMBER(SEARCH($A1646,'算罪台'!$B$6))),1,0)</f>
        <v/>
      </c>
    </row>
    <row r="1648">
      <c r="A1648" s="38" t="inlineStr">
        <is>
          <t>假传命令</t>
        </is>
      </c>
      <c r="B1648" s="38" t="inlineStr">
        <is>
          <t>越权/虚报职务</t>
        </is>
      </c>
      <c r="C1648" s="38">
        <f>IF(AND($A1647&lt;&gt;"",'算罪台'!$B$4&lt;&gt;"",ISNUMBER(SEARCH($A1647,'算罪台'!$B$4))),1,0)</f>
        <v/>
      </c>
      <c r="D1648" s="38">
        <f>IF(AND($A1647&lt;&gt;"",'算罪台'!$B$5&lt;&gt;"",ISNUMBER(SEARCH($A1647,'算罪台'!$B$5))),1,0)</f>
        <v/>
      </c>
      <c r="E1648" s="38">
        <f>IF(AND($A1647&lt;&gt;"",'算罪台'!$B$6&lt;&gt;"",ISNUMBER(SEARCH($A1647,'算罪台'!$B$6))),1,0)</f>
        <v/>
      </c>
    </row>
    <row r="1649">
      <c r="A1649" s="38" t="inlineStr">
        <is>
          <t>假冒长官</t>
        </is>
      </c>
      <c r="B1649" s="38" t="inlineStr">
        <is>
          <t>越权/虚报职务</t>
        </is>
      </c>
      <c r="C1649" s="38">
        <f>IF(AND($A1648&lt;&gt;"",'算罪台'!$B$4&lt;&gt;"",ISNUMBER(SEARCH($A1648,'算罪台'!$B$4))),1,0)</f>
        <v/>
      </c>
      <c r="D1649" s="38">
        <f>IF(AND($A1648&lt;&gt;"",'算罪台'!$B$5&lt;&gt;"",ISNUMBER(SEARCH($A1648,'算罪台'!$B$5))),1,0)</f>
        <v/>
      </c>
      <c r="E1649" s="38">
        <f>IF(AND($A1648&lt;&gt;"",'算罪台'!$B$6&lt;&gt;"",ISNUMBER(SEARCH($A1648,'算罪台'!$B$6))),1,0)</f>
        <v/>
      </c>
    </row>
    <row r="1650">
      <c r="A1650" s="38" t="inlineStr">
        <is>
          <t>冒充上级</t>
        </is>
      </c>
      <c r="B1650" s="38" t="inlineStr">
        <is>
          <t>越权/虚报职务</t>
        </is>
      </c>
      <c r="C1650" s="38">
        <f>IF(AND($A1649&lt;&gt;"",'算罪台'!$B$4&lt;&gt;"",ISNUMBER(SEARCH($A1649,'算罪台'!$B$4))),1,0)</f>
        <v/>
      </c>
      <c r="D1650" s="38">
        <f>IF(AND($A1649&lt;&gt;"",'算罪台'!$B$5&lt;&gt;"",ISNUMBER(SEARCH($A1649,'算罪台'!$B$5))),1,0)</f>
        <v/>
      </c>
      <c r="E1650" s="38">
        <f>IF(AND($A1649&lt;&gt;"",'算罪台'!$B$6&lt;&gt;"",ISNUMBER(SEARCH($A1649,'算罪台'!$B$6))),1,0)</f>
        <v/>
      </c>
    </row>
    <row r="1651">
      <c r="A1651" s="38" t="inlineStr">
        <is>
          <t>假传指令</t>
        </is>
      </c>
      <c r="B1651" s="38" t="inlineStr">
        <is>
          <t>越权/虚报职务</t>
        </is>
      </c>
      <c r="C1651" s="38">
        <f>IF(AND($A1650&lt;&gt;"",'算罪台'!$B$4&lt;&gt;"",ISNUMBER(SEARCH($A1650,'算罪台'!$B$4))),1,0)</f>
        <v/>
      </c>
      <c r="D1651" s="38">
        <f>IF(AND($A1650&lt;&gt;"",'算罪台'!$B$5&lt;&gt;"",ISNUMBER(SEARCH($A1650,'算罪台'!$B$5))),1,0)</f>
        <v/>
      </c>
      <c r="E1651" s="38">
        <f>IF(AND($A1650&lt;&gt;"",'算罪台'!$B$6&lt;&gt;"",ISNUMBER(SEARCH($A1650,'算罪台'!$B$6))),1,0)</f>
        <v/>
      </c>
    </row>
    <row r="1652">
      <c r="A1652" s="38" t="inlineStr">
        <is>
          <t>越权指挥</t>
        </is>
      </c>
      <c r="B1652" s="38" t="inlineStr">
        <is>
          <t>越权/虚报职务</t>
        </is>
      </c>
      <c r="C1652" s="38">
        <f>IF(AND($A1651&lt;&gt;"",'算罪台'!$B$4&lt;&gt;"",ISNUMBER(SEARCH($A1651,'算罪台'!$B$4))),1,0)</f>
        <v/>
      </c>
      <c r="D1652" s="38">
        <f>IF(AND($A1651&lt;&gt;"",'算罪台'!$B$5&lt;&gt;"",ISNUMBER(SEARCH($A1651,'算罪台'!$B$5))),1,0)</f>
        <v/>
      </c>
      <c r="E1652" s="38">
        <f>IF(AND($A1651&lt;&gt;"",'算罪台'!$B$6&lt;&gt;"",ISNUMBER(SEARCH($A1651,'算罪台'!$B$6))),1,0)</f>
        <v/>
      </c>
    </row>
    <row r="1653">
      <c r="A1653" s="38" t="inlineStr">
        <is>
          <t>虚报警衔</t>
        </is>
      </c>
      <c r="B1653" s="38" t="inlineStr">
        <is>
          <t>越权/虚报职务</t>
        </is>
      </c>
      <c r="C1653" s="38">
        <f>IF(AND($A1652&lt;&gt;"",'算罪台'!$B$4&lt;&gt;"",ISNUMBER(SEARCH($A1652,'算罪台'!$B$4))),1,0)</f>
        <v/>
      </c>
      <c r="D1653" s="38">
        <f>IF(AND($A1652&lt;&gt;"",'算罪台'!$B$5&lt;&gt;"",ISNUMBER(SEARCH($A1652,'算罪台'!$B$5))),1,0)</f>
        <v/>
      </c>
      <c r="E1653" s="38">
        <f>IF(AND($A1652&lt;&gt;"",'算罪台'!$B$6&lt;&gt;"",ISNUMBER(SEARCH($A1652,'算罪台'!$B$6))),1,0)</f>
        <v/>
      </c>
    </row>
    <row r="1654">
      <c r="A1654" s="38" t="inlineStr">
        <is>
          <t>谎称职务</t>
        </is>
      </c>
      <c r="B1654" s="38" t="inlineStr">
        <is>
          <t>越权/虚报职务</t>
        </is>
      </c>
      <c r="C1654" s="38">
        <f>IF(AND($A1653&lt;&gt;"",'算罪台'!$B$4&lt;&gt;"",ISNUMBER(SEARCH($A1653,'算罪台'!$B$4))),1,0)</f>
        <v/>
      </c>
      <c r="D1654" s="38">
        <f>IF(AND($A1653&lt;&gt;"",'算罪台'!$B$5&lt;&gt;"",ISNUMBER(SEARCH($A1653,'算罪台'!$B$5))),1,0)</f>
        <v/>
      </c>
      <c r="E1654" s="38">
        <f>IF(AND($A1653&lt;&gt;"",'算罪台'!$B$6&lt;&gt;"",ISNUMBER(SEARCH($A1653,'算罪台'!$B$6))),1,0)</f>
        <v/>
      </c>
    </row>
    <row r="1655">
      <c r="A1655" s="38" t="inlineStr">
        <is>
          <t>冒充警官身份</t>
        </is>
      </c>
      <c r="B1655" s="38" t="inlineStr">
        <is>
          <t>越权/虚报职务</t>
        </is>
      </c>
      <c r="C1655" s="38">
        <f>IF(AND($A1654&lt;&gt;"",'算罪台'!$B$4&lt;&gt;"",ISNUMBER(SEARCH($A1654,'算罪台'!$B$4))),1,0)</f>
        <v/>
      </c>
      <c r="D1655" s="38">
        <f>IF(AND($A1654&lt;&gt;"",'算罪台'!$B$5&lt;&gt;"",ISNUMBER(SEARCH($A1654,'算罪台'!$B$5))),1,0)</f>
        <v/>
      </c>
      <c r="E1655" s="38">
        <f>IF(AND($A1654&lt;&gt;"",'算罪台'!$B$6&lt;&gt;"",ISNUMBER(SEARCH($A1654,'算罪台'!$B$6))),1,0)</f>
        <v/>
      </c>
    </row>
    <row r="1656">
      <c r="A1656" s="38" t="inlineStr">
        <is>
          <t>假扮长官</t>
        </is>
      </c>
      <c r="B1656" s="38" t="inlineStr">
        <is>
          <t>越权/虚报职务</t>
        </is>
      </c>
      <c r="C1656" s="38">
        <f>IF(AND($A1655&lt;&gt;"",'算罪台'!$B$4&lt;&gt;"",ISNUMBER(SEARCH($A1655,'算罪台'!$B$4))),1,0)</f>
        <v/>
      </c>
      <c r="D1656" s="38">
        <f>IF(AND($A1655&lt;&gt;"",'算罪台'!$B$5&lt;&gt;"",ISNUMBER(SEARCH($A1655,'算罪台'!$B$5))),1,0)</f>
        <v/>
      </c>
      <c r="E1656" s="38">
        <f>IF(AND($A1655&lt;&gt;"",'算罪台'!$B$6&lt;&gt;"",ISNUMBER(SEARCH($A1655,'算罪台'!$B$6))),1,0)</f>
        <v/>
      </c>
    </row>
    <row r="1657">
      <c r="A1657" s="38" t="inlineStr">
        <is>
          <t>越级指挥</t>
        </is>
      </c>
      <c r="B1657" s="38" t="inlineStr">
        <is>
          <t>越权/虚报职务</t>
        </is>
      </c>
      <c r="C1657" s="38">
        <f>IF(AND($A1656&lt;&gt;"",'算罪台'!$B$4&lt;&gt;"",ISNUMBER(SEARCH($A1656,'算罪台'!$B$4))),1,0)</f>
        <v/>
      </c>
      <c r="D1657" s="38">
        <f>IF(AND($A1656&lt;&gt;"",'算罪台'!$B$5&lt;&gt;"",ISNUMBER(SEARCH($A1656,'算罪台'!$B$5))),1,0)</f>
        <v/>
      </c>
      <c r="E1657" s="38">
        <f>IF(AND($A1656&lt;&gt;"",'算罪台'!$B$6&lt;&gt;"",ISNUMBER(SEARCH($A1656,'算罪台'!$B$6))),1,0)</f>
        <v/>
      </c>
    </row>
    <row r="1658">
      <c r="A1658" s="38" t="inlineStr">
        <is>
          <t>谎报职务</t>
        </is>
      </c>
      <c r="B1658" s="38" t="inlineStr">
        <is>
          <t>越权/虚报职务</t>
        </is>
      </c>
      <c r="C1658" s="38">
        <f>IF(AND($A1657&lt;&gt;"",'算罪台'!$B$4&lt;&gt;"",ISNUMBER(SEARCH($A1657,'算罪台'!$B$4))),1,0)</f>
        <v/>
      </c>
      <c r="D1658" s="38">
        <f>IF(AND($A1657&lt;&gt;"",'算罪台'!$B$5&lt;&gt;"",ISNUMBER(SEARCH($A1657,'算罪台'!$B$5))),1,0)</f>
        <v/>
      </c>
      <c r="E1658" s="38">
        <f>IF(AND($A1657&lt;&gt;"",'算罪台'!$B$6&lt;&gt;"",ISNUMBER(SEARCH($A1657,'算罪台'!$B$6))),1,0)</f>
        <v/>
      </c>
    </row>
    <row r="1659">
      <c r="A1659" s="38" t="inlineStr">
        <is>
          <t>冒充指挥官</t>
        </is>
      </c>
      <c r="B1659" s="38" t="inlineStr">
        <is>
          <t>越权/虚报职务</t>
        </is>
      </c>
      <c r="C1659" s="38">
        <f>IF(AND($A1658&lt;&gt;"",'算罪台'!$B$4&lt;&gt;"",ISNUMBER(SEARCH($A1658,'算罪台'!$B$4))),1,0)</f>
        <v/>
      </c>
      <c r="D1659" s="38">
        <f>IF(AND($A1658&lt;&gt;"",'算罪台'!$B$5&lt;&gt;"",ISNUMBER(SEARCH($A1658,'算罪台'!$B$5))),1,0)</f>
        <v/>
      </c>
      <c r="E1659" s="38">
        <f>IF(AND($A1658&lt;&gt;"",'算罪台'!$B$6&lt;&gt;"",ISNUMBER(SEARCH($A1658,'算罪台'!$B$6))),1,0)</f>
        <v/>
      </c>
    </row>
    <row r="1660">
      <c r="A1660" s="38" t="inlineStr">
        <is>
          <t>医护打人</t>
        </is>
      </c>
      <c r="B1660" s="38" t="inlineStr">
        <is>
          <t>医护违法乱纪/伤害公民</t>
        </is>
      </c>
      <c r="C1660" s="38">
        <f>IF(AND($A1659&lt;&gt;"",'算罪台'!$B$4&lt;&gt;"",ISNUMBER(SEARCH($A1659,'算罪台'!$B$4))),1,0)</f>
        <v/>
      </c>
      <c r="D1660" s="38">
        <f>IF(AND($A1659&lt;&gt;"",'算罪台'!$B$5&lt;&gt;"",ISNUMBER(SEARCH($A1659,'算罪台'!$B$5))),1,0)</f>
        <v/>
      </c>
      <c r="E1660" s="38">
        <f>IF(AND($A1659&lt;&gt;"",'算罪台'!$B$6&lt;&gt;"",ISNUMBER(SEARCH($A1659,'算罪台'!$B$6))),1,0)</f>
        <v/>
      </c>
    </row>
    <row r="1661">
      <c r="A1661" s="38" t="inlineStr">
        <is>
          <t>医护殴打</t>
        </is>
      </c>
      <c r="B1661" s="38" t="inlineStr">
        <is>
          <t>医护违法乱纪/伤害公民</t>
        </is>
      </c>
      <c r="C1661" s="38">
        <f>IF(AND($A1660&lt;&gt;"",'算罪台'!$B$4&lt;&gt;"",ISNUMBER(SEARCH($A1660,'算罪台'!$B$4))),1,0)</f>
        <v/>
      </c>
      <c r="D1661" s="38">
        <f>IF(AND($A1660&lt;&gt;"",'算罪台'!$B$5&lt;&gt;"",ISNUMBER(SEARCH($A1660,'算罪台'!$B$5))),1,0)</f>
        <v/>
      </c>
      <c r="E1661" s="38">
        <f>IF(AND($A1660&lt;&gt;"",'算罪台'!$B$6&lt;&gt;"",ISNUMBER(SEARCH($A1660,'算罪台'!$B$6))),1,0)</f>
        <v/>
      </c>
    </row>
    <row r="1662">
      <c r="A1662" s="38" t="inlineStr">
        <is>
          <t>医护抢劫</t>
        </is>
      </c>
      <c r="B1662" s="38" t="inlineStr">
        <is>
          <t>医护违法乱纪/伤害公民</t>
        </is>
      </c>
      <c r="C1662" s="38">
        <f>IF(AND($A1661&lt;&gt;"",'算罪台'!$B$4&lt;&gt;"",ISNUMBER(SEARCH($A1661,'算罪台'!$B$4))),1,0)</f>
        <v/>
      </c>
      <c r="D1662" s="38">
        <f>IF(AND($A1661&lt;&gt;"",'算罪台'!$B$5&lt;&gt;"",ISNUMBER(SEARCH($A1661,'算罪台'!$B$5))),1,0)</f>
        <v/>
      </c>
      <c r="E1662" s="38">
        <f>IF(AND($A1661&lt;&gt;"",'算罪台'!$B$6&lt;&gt;"",ISNUMBER(SEARCH($A1661,'算罪台'!$B$6))),1,0)</f>
        <v/>
      </c>
    </row>
    <row r="1663">
      <c r="A1663" s="38" t="inlineStr">
        <is>
          <t>医护采毒</t>
        </is>
      </c>
      <c r="B1663" s="38" t="inlineStr">
        <is>
          <t>医护违法乱纪/伤害公民</t>
        </is>
      </c>
      <c r="C1663" s="38">
        <f>IF(AND($A1662&lt;&gt;"",'算罪台'!$B$4&lt;&gt;"",ISNUMBER(SEARCH($A1662,'算罪台'!$B$4))),1,0)</f>
        <v/>
      </c>
      <c r="D1663" s="38">
        <f>IF(AND($A1662&lt;&gt;"",'算罪台'!$B$5&lt;&gt;"",ISNUMBER(SEARCH($A1662,'算罪台'!$B$5))),1,0)</f>
        <v/>
      </c>
      <c r="E1663" s="38">
        <f>IF(AND($A1662&lt;&gt;"",'算罪台'!$B$6&lt;&gt;"",ISNUMBER(SEARCH($A1662,'算罪台'!$B$6))),1,0)</f>
        <v/>
      </c>
    </row>
    <row r="1664">
      <c r="A1664" s="38" t="inlineStr">
        <is>
          <t>医护伤人</t>
        </is>
      </c>
      <c r="B1664" s="38" t="inlineStr">
        <is>
          <t>医护违法乱纪/伤害公民</t>
        </is>
      </c>
      <c r="C1664" s="38">
        <f>IF(AND($A1663&lt;&gt;"",'算罪台'!$B$4&lt;&gt;"",ISNUMBER(SEARCH($A1663,'算罪台'!$B$4))),1,0)</f>
        <v/>
      </c>
      <c r="D1664" s="38">
        <f>IF(AND($A1663&lt;&gt;"",'算罪台'!$B$5&lt;&gt;"",ISNUMBER(SEARCH($A1663,'算罪台'!$B$5))),1,0)</f>
        <v/>
      </c>
      <c r="E1664" s="38">
        <f>IF(AND($A1663&lt;&gt;"",'算罪台'!$B$6&lt;&gt;"",ISNUMBER(SEARCH($A1663,'算罪台'!$B$6))),1,0)</f>
        <v/>
      </c>
    </row>
    <row r="1665">
      <c r="A1665" s="38" t="inlineStr">
        <is>
          <t>医护开枪</t>
        </is>
      </c>
      <c r="B1665" s="38" t="inlineStr">
        <is>
          <t>医护违法乱纪/伤害公民</t>
        </is>
      </c>
      <c r="C1665" s="38">
        <f>IF(AND($A1664&lt;&gt;"",'算罪台'!$B$4&lt;&gt;"",ISNUMBER(SEARCH($A1664,'算罪台'!$B$4))),1,0)</f>
        <v/>
      </c>
      <c r="D1665" s="38">
        <f>IF(AND($A1664&lt;&gt;"",'算罪台'!$B$5&lt;&gt;"",ISNUMBER(SEARCH($A1664,'算罪台'!$B$5))),1,0)</f>
        <v/>
      </c>
      <c r="E1665" s="38">
        <f>IF(AND($A1664&lt;&gt;"",'算罪台'!$B$6&lt;&gt;"",ISNUMBER(SEARCH($A1664,'算罪台'!$B$6))),1,0)</f>
        <v/>
      </c>
    </row>
    <row r="1666">
      <c r="A1666" s="38" t="inlineStr">
        <is>
          <t>医护参与犯罪</t>
        </is>
      </c>
      <c r="B1666" s="38" t="inlineStr">
        <is>
          <t>医护违法乱纪/伤害公民</t>
        </is>
      </c>
      <c r="C1666" s="38">
        <f>IF(AND($A1665&lt;&gt;"",'算罪台'!$B$4&lt;&gt;"",ISNUMBER(SEARCH($A1665,'算罪台'!$B$4))),1,0)</f>
        <v/>
      </c>
      <c r="D1666" s="38">
        <f>IF(AND($A1665&lt;&gt;"",'算罪台'!$B$5&lt;&gt;"",ISNUMBER(SEARCH($A1665,'算罪台'!$B$5))),1,0)</f>
        <v/>
      </c>
      <c r="E1666" s="38">
        <f>IF(AND($A1665&lt;&gt;"",'算罪台'!$B$6&lt;&gt;"",ISNUMBER(SEARCH($A1665,'算罪台'!$B$6))),1,0)</f>
        <v/>
      </c>
    </row>
    <row r="1667">
      <c r="A1667" s="38" t="inlineStr">
        <is>
          <t>医护打玩家</t>
        </is>
      </c>
      <c r="B1667" s="38" t="inlineStr">
        <is>
          <t>医护违法乱纪/伤害公民</t>
        </is>
      </c>
      <c r="C1667" s="38">
        <f>IF(AND($A1666&lt;&gt;"",'算罪台'!$B$4&lt;&gt;"",ISNUMBER(SEARCH($A1666,'算罪台'!$B$4))),1,0)</f>
        <v/>
      </c>
      <c r="D1667" s="38">
        <f>IF(AND($A1666&lt;&gt;"",'算罪台'!$B$5&lt;&gt;"",ISNUMBER(SEARCH($A1666,'算罪台'!$B$5))),1,0)</f>
        <v/>
      </c>
      <c r="E1667" s="38">
        <f>IF(AND($A1666&lt;&gt;"",'算罪台'!$B$6&lt;&gt;"",ISNUMBER(SEARCH($A1666,'算罪台'!$B$6))),1,0)</f>
        <v/>
      </c>
    </row>
    <row r="1668">
      <c r="A1668" s="38" t="inlineStr">
        <is>
          <t>有损医护形象</t>
        </is>
      </c>
      <c r="B1668" s="38" t="inlineStr">
        <is>
          <t>医护违法乱纪/伤害公民</t>
        </is>
      </c>
      <c r="C1668" s="38">
        <f>IF(AND($A1667&lt;&gt;"",'算罪台'!$B$4&lt;&gt;"",ISNUMBER(SEARCH($A1667,'算罪台'!$B$4))),1,0)</f>
        <v/>
      </c>
      <c r="D1668" s="38">
        <f>IF(AND($A1667&lt;&gt;"",'算罪台'!$B$5&lt;&gt;"",ISNUMBER(SEARCH($A1667,'算罪台'!$B$5))),1,0)</f>
        <v/>
      </c>
      <c r="E1668" s="38">
        <f>IF(AND($A1667&lt;&gt;"",'算罪台'!$B$6&lt;&gt;"",ISNUMBER(SEARCH($A1667,'算罪台'!$B$6))),1,0)</f>
        <v/>
      </c>
    </row>
    <row r="1669">
      <c r="A1669" s="38" t="inlineStr">
        <is>
          <t>医护违法乱纪</t>
        </is>
      </c>
      <c r="B1669" s="38" t="inlineStr">
        <is>
          <t>医护违法乱纪/伤害公民</t>
        </is>
      </c>
      <c r="C1669" s="38">
        <f>IF(AND($A1668&lt;&gt;"",'算罪台'!$B$4&lt;&gt;"",ISNUMBER(SEARCH($A1668,'算罪台'!$B$4))),1,0)</f>
        <v/>
      </c>
      <c r="D1669" s="38">
        <f>IF(AND($A1668&lt;&gt;"",'算罪台'!$B$5&lt;&gt;"",ISNUMBER(SEARCH($A1668,'算罪台'!$B$5))),1,0)</f>
        <v/>
      </c>
      <c r="E1669" s="38">
        <f>IF(AND($A1668&lt;&gt;"",'算罪台'!$B$6&lt;&gt;"",ISNUMBER(SEARCH($A1668,'算罪台'!$B$6))),1,0)</f>
        <v/>
      </c>
    </row>
    <row r="1670">
      <c r="A1670" s="38" t="inlineStr">
        <is>
          <t>医护干违法</t>
        </is>
      </c>
      <c r="B1670" s="38" t="inlineStr">
        <is>
          <t>医护违法乱纪/伤害公民</t>
        </is>
      </c>
      <c r="C1670" s="38">
        <f>IF(AND($A1669&lt;&gt;"",'算罪台'!$B$4&lt;&gt;"",ISNUMBER(SEARCH($A1669,'算罪台'!$B$4))),1,0)</f>
        <v/>
      </c>
      <c r="D1670" s="38">
        <f>IF(AND($A1669&lt;&gt;"",'算罪台'!$B$5&lt;&gt;"",ISNUMBER(SEARCH($A1669,'算罪台'!$B$5))),1,0)</f>
        <v/>
      </c>
      <c r="E1670" s="38">
        <f>IF(AND($A1669&lt;&gt;"",'算罪台'!$B$6&lt;&gt;"",ISNUMBER(SEARCH($A1669,'算罪台'!$B$6))),1,0)</f>
        <v/>
      </c>
    </row>
    <row r="1671">
      <c r="A1671" s="38" t="inlineStr">
        <is>
          <t>非法搜查</t>
        </is>
      </c>
      <c r="B1671" s="38" t="inlineStr">
        <is>
          <t>非法搜查/错误扣留(警)</t>
        </is>
      </c>
      <c r="C1671" s="38">
        <f>IF(AND($A1670&lt;&gt;"",'算罪台'!$B$4&lt;&gt;"",ISNUMBER(SEARCH($A1670,'算罪台'!$B$4))),1,0)</f>
        <v/>
      </c>
      <c r="D1671" s="38">
        <f>IF(AND($A1670&lt;&gt;"",'算罪台'!$B$5&lt;&gt;"",ISNUMBER(SEARCH($A1670,'算罪台'!$B$5))),1,0)</f>
        <v/>
      </c>
      <c r="E1671" s="38">
        <f>IF(AND($A1670&lt;&gt;"",'算罪台'!$B$6&lt;&gt;"",ISNUMBER(SEARCH($A1670,'算罪台'!$B$6))),1,0)</f>
        <v/>
      </c>
    </row>
    <row r="1672">
      <c r="A1672" s="38" t="inlineStr">
        <is>
          <t>无证搜查</t>
        </is>
      </c>
      <c r="B1672" s="38" t="inlineStr">
        <is>
          <t>非法搜查/错误扣留(警)</t>
        </is>
      </c>
      <c r="C1672" s="38">
        <f>IF(AND($A1671&lt;&gt;"",'算罪台'!$B$4&lt;&gt;"",ISNUMBER(SEARCH($A1671,'算罪台'!$B$4))),1,0)</f>
        <v/>
      </c>
      <c r="D1672" s="38">
        <f>IF(AND($A1671&lt;&gt;"",'算罪台'!$B$5&lt;&gt;"",ISNUMBER(SEARCH($A1671,'算罪台'!$B$5))),1,0)</f>
        <v/>
      </c>
      <c r="E1672" s="38">
        <f>IF(AND($A1671&lt;&gt;"",'算罪台'!$B$6&lt;&gt;"",ISNUMBER(SEARCH($A1671,'算罪台'!$B$6))),1,0)</f>
        <v/>
      </c>
    </row>
    <row r="1673">
      <c r="A1673" s="38" t="inlineStr">
        <is>
          <t>未经同意搜身</t>
        </is>
      </c>
      <c r="B1673" s="38" t="inlineStr">
        <is>
          <t>非法搜查/错误扣留(警)</t>
        </is>
      </c>
      <c r="C1673" s="38">
        <f>IF(AND($A1672&lt;&gt;"",'算罪台'!$B$4&lt;&gt;"",ISNUMBER(SEARCH($A1672,'算罪台'!$B$4))),1,0)</f>
        <v/>
      </c>
      <c r="D1673" s="38">
        <f>IF(AND($A1672&lt;&gt;"",'算罪台'!$B$5&lt;&gt;"",ISNUMBER(SEARCH($A1672,'算罪台'!$B$5))),1,0)</f>
        <v/>
      </c>
      <c r="E1673" s="38">
        <f>IF(AND($A1672&lt;&gt;"",'算罪台'!$B$6&lt;&gt;"",ISNUMBER(SEARCH($A1672,'算罪台'!$B$6))),1,0)</f>
        <v/>
      </c>
    </row>
    <row r="1674">
      <c r="A1674" s="38" t="inlineStr">
        <is>
          <t>非法搜身</t>
        </is>
      </c>
      <c r="B1674" s="38" t="inlineStr">
        <is>
          <t>非法搜查/错误扣留(警)</t>
        </is>
      </c>
      <c r="C1674" s="38">
        <f>IF(AND($A1673&lt;&gt;"",'算罪台'!$B$4&lt;&gt;"",ISNUMBER(SEARCH($A1673,'算罪台'!$B$4))),1,0)</f>
        <v/>
      </c>
      <c r="D1674" s="38">
        <f>IF(AND($A1673&lt;&gt;"",'算罪台'!$B$5&lt;&gt;"",ISNUMBER(SEARCH($A1673,'算罪台'!$B$5))),1,0)</f>
        <v/>
      </c>
      <c r="E1674" s="38">
        <f>IF(AND($A1673&lt;&gt;"",'算罪台'!$B$6&lt;&gt;"",ISNUMBER(SEARCH($A1673,'算罪台'!$B$6))),1,0)</f>
        <v/>
      </c>
    </row>
    <row r="1675">
      <c r="A1675" s="38" t="inlineStr">
        <is>
          <t>违规搜查</t>
        </is>
      </c>
      <c r="B1675" s="38" t="inlineStr">
        <is>
          <t>非法搜查/错误扣留(警)</t>
        </is>
      </c>
      <c r="C1675" s="38">
        <f>IF(AND($A1674&lt;&gt;"",'算罪台'!$B$4&lt;&gt;"",ISNUMBER(SEARCH($A1674,'算罪台'!$B$4))),1,0)</f>
        <v/>
      </c>
      <c r="D1675" s="38">
        <f>IF(AND($A1674&lt;&gt;"",'算罪台'!$B$5&lt;&gt;"",ISNUMBER(SEARCH($A1674,'算罪台'!$B$5))),1,0)</f>
        <v/>
      </c>
      <c r="E1675" s="38">
        <f>IF(AND($A1674&lt;&gt;"",'算罪台'!$B$6&lt;&gt;"",ISNUMBER(SEARCH($A1674,'算罪台'!$B$6))),1,0)</f>
        <v/>
      </c>
    </row>
    <row r="1676">
      <c r="A1676" s="38" t="inlineStr">
        <is>
          <t>非法扣押市民</t>
        </is>
      </c>
      <c r="B1676" s="38" t="inlineStr">
        <is>
          <t>非法搜查/错误扣留(警)</t>
        </is>
      </c>
      <c r="C1676" s="38">
        <f>IF(AND($A1675&lt;&gt;"",'算罪台'!$B$4&lt;&gt;"",ISNUMBER(SEARCH($A1675,'算罪台'!$B$4))),1,0)</f>
        <v/>
      </c>
      <c r="D1676" s="38">
        <f>IF(AND($A1675&lt;&gt;"",'算罪台'!$B$5&lt;&gt;"",ISNUMBER(SEARCH($A1675,'算罪台'!$B$5))),1,0)</f>
        <v/>
      </c>
      <c r="E1676" s="38">
        <f>IF(AND($A1675&lt;&gt;"",'算罪台'!$B$6&lt;&gt;"",ISNUMBER(SEARCH($A1675,'算罪台'!$B$6))),1,0)</f>
        <v/>
      </c>
    </row>
    <row r="1677">
      <c r="A1677" s="38" t="inlineStr">
        <is>
          <t>错误扣留</t>
        </is>
      </c>
      <c r="B1677" s="38" t="inlineStr">
        <is>
          <t>非法搜查/错误扣留(警)</t>
        </is>
      </c>
      <c r="C1677" s="38">
        <f>IF(AND($A1676&lt;&gt;"",'算罪台'!$B$4&lt;&gt;"",ISNUMBER(SEARCH($A1676,'算罪台'!$B$4))),1,0)</f>
        <v/>
      </c>
      <c r="D1677" s="38">
        <f>IF(AND($A1676&lt;&gt;"",'算罪台'!$B$5&lt;&gt;"",ISNUMBER(SEARCH($A1676,'算罪台'!$B$5))),1,0)</f>
        <v/>
      </c>
      <c r="E1677" s="38">
        <f>IF(AND($A1676&lt;&gt;"",'算罪台'!$B$6&lt;&gt;"",ISNUMBER(SEARCH($A1676,'算罪台'!$B$6))),1,0)</f>
        <v/>
      </c>
    </row>
    <row r="1678">
      <c r="A1678" s="38" t="inlineStr">
        <is>
          <t>乱搜身</t>
        </is>
      </c>
      <c r="B1678" s="38" t="inlineStr">
        <is>
          <t>非法搜查/错误扣留(警)</t>
        </is>
      </c>
      <c r="C1678" s="38">
        <f>IF(AND($A1677&lt;&gt;"",'算罪台'!$B$4&lt;&gt;"",ISNUMBER(SEARCH($A1677,'算罪台'!$B$4))),1,0)</f>
        <v/>
      </c>
      <c r="D1678" s="38">
        <f>IF(AND($A1677&lt;&gt;"",'算罪台'!$B$5&lt;&gt;"",ISNUMBER(SEARCH($A1677,'算罪台'!$B$5))),1,0)</f>
        <v/>
      </c>
      <c r="E1678" s="38">
        <f>IF(AND($A1677&lt;&gt;"",'算罪台'!$B$6&lt;&gt;"",ISNUMBER(SEARCH($A1677,'算罪台'!$B$6))),1,0)</f>
        <v/>
      </c>
    </row>
    <row r="1679">
      <c r="A1679" s="38" t="inlineStr">
        <is>
          <t>随意搜查市民</t>
        </is>
      </c>
      <c r="B1679" s="38" t="inlineStr">
        <is>
          <t>非法搜查/错误扣留(警)</t>
        </is>
      </c>
      <c r="C1679" s="38">
        <f>IF(AND($A1678&lt;&gt;"",'算罪台'!$B$4&lt;&gt;"",ISNUMBER(SEARCH($A1678,'算罪台'!$B$4))),1,0)</f>
        <v/>
      </c>
      <c r="D1679" s="38">
        <f>IF(AND($A1678&lt;&gt;"",'算罪台'!$B$5&lt;&gt;"",ISNUMBER(SEARCH($A1678,'算罪台'!$B$5))),1,0)</f>
        <v/>
      </c>
      <c r="E1679" s="38">
        <f>IF(AND($A1678&lt;&gt;"",'算罪台'!$B$6&lt;&gt;"",ISNUMBER(SEARCH($A1678,'算罪台'!$B$6))),1,0)</f>
        <v/>
      </c>
    </row>
    <row r="1680">
      <c r="A1680" s="38" t="inlineStr">
        <is>
          <t>无故扣留</t>
        </is>
      </c>
      <c r="B1680" s="38" t="inlineStr">
        <is>
          <t>非法搜查/错误扣留(警)</t>
        </is>
      </c>
      <c r="C1680" s="38">
        <f>IF(AND($A1679&lt;&gt;"",'算罪台'!$B$4&lt;&gt;"",ISNUMBER(SEARCH($A1679,'算罪台'!$B$4))),1,0)</f>
        <v/>
      </c>
      <c r="D1680" s="38">
        <f>IF(AND($A1679&lt;&gt;"",'算罪台'!$B$5&lt;&gt;"",ISNUMBER(SEARCH($A1679,'算罪台'!$B$5))),1,0)</f>
        <v/>
      </c>
      <c r="E1680" s="38">
        <f>IF(AND($A1679&lt;&gt;"",'算罪台'!$B$6&lt;&gt;"",ISNUMBER(SEARCH($A1679,'算罪台'!$B$6))),1,0)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3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4" t="inlineStr">
        <is>
          <t>💴 本次合计 ($)</t>
        </is>
      </c>
      <c r="B3" s="45" t="n"/>
      <c r="C3" s="46" t="n"/>
      <c r="D3" s="47">
        <f>SUM(D5:D30)</f>
        <v/>
      </c>
      <c r="E3" s="48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49" t="inlineStr">
        <is>
          <t>▍ 物品</t>
        </is>
      </c>
      <c r="B5" s="2" t="n"/>
      <c r="C5" s="2" t="n"/>
      <c r="D5" s="2" t="n"/>
      <c r="E5" s="2" t="n"/>
    </row>
    <row r="6" ht="22" customHeight="1">
      <c r="A6" s="50" t="inlineStr">
        <is>
          <t>民用医疗包</t>
        </is>
      </c>
      <c r="B6" s="51" t="n">
        <v>2000</v>
      </c>
      <c r="C6" s="52" t="n">
        <v>0</v>
      </c>
      <c r="D6" s="51">
        <f>B6*C6</f>
        <v/>
      </c>
      <c r="E6" s="53" t="inlineStr">
        <is>
          <t>对外出售</t>
        </is>
      </c>
    </row>
    <row r="7" ht="22" customHeight="1">
      <c r="A7" s="50" t="inlineStr">
        <is>
          <t>感冒药</t>
        </is>
      </c>
      <c r="B7" s="51" t="n">
        <v>3000</v>
      </c>
      <c r="C7" s="52" t="n">
        <v>0</v>
      </c>
      <c r="D7" s="51">
        <f>B7*C7</f>
        <v/>
      </c>
      <c r="E7" s="53" t="inlineStr">
        <is>
          <t>病人感冒使用</t>
        </is>
      </c>
    </row>
    <row r="8" ht="22" customHeight="1">
      <c r="A8" s="50" t="inlineStr">
        <is>
          <t>退烧药</t>
        </is>
      </c>
      <c r="B8" s="51" t="n">
        <v>3000</v>
      </c>
      <c r="C8" s="52" t="n">
        <v>0</v>
      </c>
      <c r="D8" s="51">
        <f>B8*C8</f>
        <v/>
      </c>
      <c r="E8" s="53" t="inlineStr">
        <is>
          <t>感冒药</t>
        </is>
      </c>
    </row>
    <row r="9" ht="22" customHeight="1">
      <c r="A9" s="50" t="inlineStr">
        <is>
          <t>肺炎特效药</t>
        </is>
      </c>
      <c r="B9" s="51" t="n">
        <v>5000</v>
      </c>
      <c r="C9" s="52" t="n">
        <v>0</v>
      </c>
      <c r="D9" s="51">
        <f>B9*C9</f>
        <v/>
      </c>
      <c r="E9" s="53" t="inlineStr">
        <is>
          <t>病人肺炎使用</t>
        </is>
      </c>
    </row>
    <row r="10" ht="22" customHeight="1">
      <c r="A10" s="50" t="inlineStr">
        <is>
          <t>口罩</t>
        </is>
      </c>
      <c r="B10" s="51" t="n">
        <v>600</v>
      </c>
      <c r="C10" s="52" t="n">
        <v>0</v>
      </c>
      <c r="D10" s="51">
        <f>B10*C10</f>
        <v/>
      </c>
      <c r="E10" s="53" t="inlineStr">
        <is>
          <t>预防病毒</t>
        </is>
      </c>
    </row>
    <row r="11" ht="22" customHeight="1">
      <c r="A11" s="50" t="inlineStr">
        <is>
          <t>拐杖</t>
        </is>
      </c>
      <c r="B11" s="51" t="n">
        <v>1000</v>
      </c>
      <c r="C11" s="52" t="n">
        <v>0</v>
      </c>
      <c r="D11" s="51">
        <f>B11*C11</f>
        <v/>
      </c>
      <c r="E11" s="53" t="inlineStr">
        <is>
          <t>单腿骨折 / 断裂式骨折</t>
        </is>
      </c>
    </row>
    <row r="12" ht="22" customHeight="1">
      <c r="A12" s="50" t="inlineStr">
        <is>
          <t>轮椅</t>
        </is>
      </c>
      <c r="B12" s="51" t="n">
        <v>2000</v>
      </c>
      <c r="C12" s="52" t="n">
        <v>0</v>
      </c>
      <c r="D12" s="51">
        <f>B12*C12</f>
        <v/>
      </c>
      <c r="E12" s="53" t="inlineStr">
        <is>
          <t>双腿骨折 / 断裂式骨折</t>
        </is>
      </c>
    </row>
    <row r="13" ht="22" customHeight="1">
      <c r="A13" s="50" t="inlineStr">
        <is>
          <t>整容</t>
        </is>
      </c>
      <c r="B13" s="51" t="n">
        <v>50000</v>
      </c>
      <c r="C13" s="52" t="n">
        <v>0</v>
      </c>
      <c r="D13" s="51">
        <f>B13*C13</f>
        <v/>
      </c>
      <c r="E13" s="53" t="inlineStr">
        <is>
          <t>新市民第一次不收费</t>
        </is>
      </c>
    </row>
    <row r="14" ht="18" customHeight="1">
      <c r="A14" s="49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50" t="inlineStr">
        <is>
          <t>轻伤手术</t>
        </is>
      </c>
      <c r="B15" s="51" t="n">
        <v>3000</v>
      </c>
      <c r="C15" s="52" t="n">
        <v>0</v>
      </c>
      <c r="D15" s="51">
        <f>B15*C15</f>
        <v/>
      </c>
      <c r="E15" s="53" t="inlineStr">
        <is>
          <t>挫伤 / 轻微刀伤 / 击打伤</t>
        </is>
      </c>
    </row>
    <row r="16" ht="22" customHeight="1">
      <c r="A16" s="50" t="inlineStr">
        <is>
          <t>中伤手术</t>
        </is>
      </c>
      <c r="B16" s="51" t="n">
        <v>4000</v>
      </c>
      <c r="C16" s="52" t="n">
        <v>0</v>
      </c>
      <c r="D16" s="51">
        <f>B16*C16</f>
        <v/>
      </c>
      <c r="E16" s="53" t="inlineStr">
        <is>
          <t>脑震荡 / 昏厥 / 中度刀伤</t>
        </is>
      </c>
    </row>
    <row r="17" ht="22" customHeight="1">
      <c r="A17" s="50" t="inlineStr">
        <is>
          <t>重伤手术</t>
        </is>
      </c>
      <c r="B17" s="51" t="n">
        <v>5000</v>
      </c>
      <c r="C17" s="52" t="n">
        <v>0</v>
      </c>
      <c r="D17" s="51">
        <f>B17*C17</f>
        <v/>
      </c>
      <c r="E17" s="53" t="inlineStr">
        <is>
          <t>骨折 / 枪伤 / 大出血</t>
        </is>
      </c>
    </row>
    <row r="18" ht="22" customHeight="1">
      <c r="A18" s="50" t="inlineStr">
        <is>
          <t>死亡火化</t>
        </is>
      </c>
      <c r="B18" s="51" t="n">
        <v>0</v>
      </c>
      <c r="C18" s="52" t="n">
        <v>0</v>
      </c>
      <c r="D18" s="51">
        <f>B18*C18</f>
        <v/>
      </c>
      <c r="E18" s="53" t="inlineStr">
        <is>
          <t>现场验伤</t>
        </is>
      </c>
    </row>
    <row r="19" ht="18" customHeight="1">
      <c r="A19" s="49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50" t="inlineStr">
        <is>
          <t>普通病房</t>
        </is>
      </c>
      <c r="B20" s="51" t="n">
        <v>1000</v>
      </c>
      <c r="C20" s="52" t="n">
        <v>0</v>
      </c>
      <c r="D20" s="51">
        <f>B20*C20</f>
        <v/>
      </c>
      <c r="E20" s="53" t="inlineStr">
        <is>
          <t>脑震荡 / 轻微刀伤</t>
        </is>
      </c>
    </row>
    <row r="21" ht="22" customHeight="1">
      <c r="A21" s="50" t="inlineStr">
        <is>
          <t>重症病房</t>
        </is>
      </c>
      <c r="B21" s="51" t="n">
        <v>2000</v>
      </c>
      <c r="C21" s="52" t="n">
        <v>0</v>
      </c>
      <c r="D21" s="51">
        <f>B21*C21</f>
        <v/>
      </c>
      <c r="E21" s="53" t="inlineStr">
        <is>
          <t>枪伤 / 骨折 / 大出血</t>
        </is>
      </c>
    </row>
    <row r="22" ht="22" customHeight="1">
      <c r="A22" s="50" t="inlineStr">
        <is>
          <t>ICU 病房</t>
        </is>
      </c>
      <c r="B22" s="51" t="n">
        <v>3000</v>
      </c>
      <c r="C22" s="52" t="n">
        <v>0</v>
      </c>
      <c r="D22" s="51">
        <f>B22*C22</f>
        <v/>
      </c>
      <c r="E22" s="53" t="inlineStr">
        <is>
          <t>重度枪伤 / 刀伤 / 头部重创</t>
        </is>
      </c>
    </row>
    <row r="23" ht="18" customHeight="1">
      <c r="A23" s="49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50" t="inlineStr">
        <is>
          <t>市内出车</t>
        </is>
      </c>
      <c r="B24" s="51" t="n">
        <v>300</v>
      </c>
      <c r="C24" s="52" t="n">
        <v>0</v>
      </c>
      <c r="D24" s="51">
        <f>B24*C24</f>
        <v/>
      </c>
      <c r="E24" s="53" t="inlineStr">
        <is>
          <t>大探 / 萨博班 / 道奇战马</t>
        </is>
      </c>
    </row>
    <row r="25" ht="22" customHeight="1">
      <c r="A25" s="50" t="inlineStr">
        <is>
          <t>中部出车</t>
        </is>
      </c>
      <c r="B25" s="51" t="n">
        <v>500</v>
      </c>
      <c r="C25" s="52" t="n">
        <v>0</v>
      </c>
      <c r="D25" s="51">
        <f>B25*C25</f>
        <v/>
      </c>
      <c r="E25" s="53" t="inlineStr"/>
    </row>
    <row r="26" ht="22" customHeight="1">
      <c r="A26" s="50" t="inlineStr">
        <is>
          <t>北部出车</t>
        </is>
      </c>
      <c r="B26" s="51" t="n">
        <v>700</v>
      </c>
      <c r="C26" s="52" t="n">
        <v>0</v>
      </c>
      <c r="D26" s="51">
        <f>B26*C26</f>
        <v/>
      </c>
      <c r="E26" s="53" t="inlineStr">
        <is>
          <t>可开越野车</t>
        </is>
      </c>
    </row>
    <row r="27" ht="18" customHeight="1">
      <c r="A27" s="49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50" t="inlineStr">
        <is>
          <t>市内直升机</t>
        </is>
      </c>
      <c r="B28" s="51" t="n">
        <v>600</v>
      </c>
      <c r="C28" s="52" t="n">
        <v>0</v>
      </c>
      <c r="D28" s="51">
        <f>B28*C28</f>
        <v/>
      </c>
      <c r="E28" s="53" t="inlineStr">
        <is>
          <t>仅港口区域可用</t>
        </is>
      </c>
    </row>
    <row r="29" ht="22" customHeight="1">
      <c r="A29" s="50" t="inlineStr">
        <is>
          <t>中部直升机</t>
        </is>
      </c>
      <c r="B29" s="51" t="n">
        <v>800</v>
      </c>
      <c r="C29" s="52" t="n">
        <v>0</v>
      </c>
      <c r="D29" s="51">
        <f>B29*C29</f>
        <v/>
      </c>
      <c r="E29" s="53" t="inlineStr"/>
    </row>
    <row r="30" ht="22" customHeight="1">
      <c r="A30" s="50" t="inlineStr">
        <is>
          <t>北部直升机</t>
        </is>
      </c>
      <c r="B30" s="51" t="n">
        <v>1000</v>
      </c>
      <c r="C30" s="52" t="n">
        <v>0</v>
      </c>
      <c r="D30" s="51">
        <f>B30*C30</f>
        <v/>
      </c>
      <c r="E30" s="53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4" t="inlineStr">
        <is>
          <t xml:space="preserve">　⚠ 开车救援单人最高收 $6,700；直升机救援单人最高 $7,000（出售其他药品另计）。</t>
        </is>
      </c>
      <c r="B32" s="55" t="n"/>
      <c r="C32" s="55" t="n"/>
      <c r="D32" s="55" t="n"/>
      <c r="E32" s="55" t="n"/>
    </row>
    <row r="33" ht="18" customHeight="1">
      <c r="A33" s="54" t="inlineStr">
        <is>
          <t xml:space="preserve">　⚠ 手术费如由医护车辆带回，需额外加收出车费（PD 免出车费）。</t>
        </is>
      </c>
      <c r="B33" s="55" t="n"/>
      <c r="C33" s="55" t="n"/>
      <c r="D33" s="55" t="n"/>
      <c r="E33" s="55" t="n"/>
    </row>
    <row r="34" ht="18" customHeight="1">
      <c r="A34" s="54" t="inlineStr">
        <is>
          <t xml:space="preserve">　⚠ 不得以任何理由拒绝住院；乱收费 / 不开账单 / 收私钱 → 核实降级，多次开除。</t>
        </is>
      </c>
      <c r="B34" s="55" t="n"/>
      <c r="C34" s="55" t="n"/>
      <c r="D34" s="55" t="n"/>
      <c r="E34" s="55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3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6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6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6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6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6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6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6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6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6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6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6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6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6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6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6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6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6" ht="24" customHeight="1">
      <c r="A26" s="8" t="inlineStr">
        <is>
          <t xml:space="preserve">　🚑 医护 · 伤害公民相关</t>
        </is>
      </c>
      <c r="B26" s="9" t="n"/>
    </row>
    <row r="27" ht="30" customHeight="1">
      <c r="A27" s="56" t="inlineStr">
        <is>
          <t>意外撞伤/撞死玩家</t>
        </is>
      </c>
      <c r="B27" s="37" t="inlineStr">
        <is>
          <t>非任务、未开警灯警笛时撞伤/撞死玩家：免收一切费用，并须优先救治被撞者。</t>
        </is>
      </c>
    </row>
    <row r="28" ht="30" customHeight="1">
      <c r="A28" s="56" t="inlineStr">
        <is>
          <t>违法乱纪伤人</t>
        </is>
      </c>
      <c r="B28" s="37" t="inlineStr">
        <is>
          <t>医护采毒/抢劫/殴打玩家等：视情节，严重者直接开除；违规累计警告 3 次自动劝退。</t>
        </is>
      </c>
    </row>
    <row r="29" ht="30" customHeight="1">
      <c r="A29" s="56" t="inlineStr">
        <is>
          <t>妨碍医护(对市民)</t>
        </is>
      </c>
      <c r="B29" s="37" t="inlineStr">
        <is>
          <t>阻挠医护执行任务、搜查医护车辆/人员：构成「妨碍政府雇员执行公务罪」（已在算罪台刑事层）。</t>
        </is>
      </c>
    </row>
    <row r="30" ht="24" customHeight="1">
      <c r="A30" s="8" t="inlineStr">
        <is>
          <t xml:space="preserve">　⚖ 警务 · 执法过当与赔偿</t>
        </is>
      </c>
      <c r="B30" s="9" t="n"/>
    </row>
    <row r="31" ht="46" customHeight="1">
      <c r="A31" s="56" t="inlineStr">
        <is>
          <t>武力致伤亡</t>
        </is>
      </c>
      <c r="B31" s="37" t="inlineStr">
        <is>
          <t>警械使用导致伤亡：须立即处置伤者、呼叫巡逻部门主管到场，必要时呼叫部外调查单位；错误使用致命武器受内务组调查。</t>
        </is>
      </c>
    </row>
    <row r="32" ht="30" customHeight="1">
      <c r="A32" s="56" t="inlineStr">
        <is>
          <t>非法搜查</t>
        </is>
      </c>
      <c r="B32" s="37" t="inlineStr">
        <is>
          <t>未经同意/无搜查令的搜查＝非法搜查：证据不被法庭采纳，警员可能受「非法搜查」指控。</t>
        </is>
      </c>
    </row>
    <row r="33" ht="30" customHeight="1">
      <c r="A33" s="56" t="inlineStr">
        <is>
          <t>错误扣留赔偿</t>
        </is>
      </c>
      <c r="B33" s="37" t="inlineStr">
        <is>
          <t>警局错误扣留造成的赔偿为 1 分钟（国际时间）＝ $500。</t>
        </is>
      </c>
    </row>
    <row r="34" ht="46" customHeight="1">
      <c r="A34" s="56" t="inlineStr">
        <is>
          <t>警车撞伤/撞死公民</t>
        </is>
      </c>
      <c r="B34" s="37" t="inlineStr">
        <is>
          <t>刑事按《刑法典》：撞伤=故意袭击罪、撞死=三级谋杀罪（与平民一视同仁）。内务：警车肇事/违规驾驶须上报监督员、呼叫高一级警员、按交通法定责，必要时部外调查；任务期间也须确保无人受伤、严禁酒驾。</t>
        </is>
      </c>
    </row>
    <row r="35" ht="46" customHeight="1">
      <c r="A35" s="56" t="inlineStr">
        <is>
          <t>虚假逮捕/非法没收</t>
        </is>
      </c>
      <c r="B35" s="37" t="inlineStr">
        <is>
          <t>无依据以执法名义扣留/逮捕/没收财物：构成「虚假逮捕罪」（重罪，已在算罪台刑事层，仅部门主管可起诉）。</t>
        </is>
      </c>
    </row>
    <row r="36" ht="24" customHeight="1">
      <c r="A36" s="8" t="inlineStr">
        <is>
          <t xml:space="preserve">　❗ 总则 · 职务人员伤害公民</t>
        </is>
      </c>
      <c r="B36" s="9" t="n"/>
    </row>
    <row r="37" ht="46" customHeight="1">
      <c r="A37" s="56" t="inlineStr">
        <is>
          <t>两层并罚</t>
        </is>
      </c>
      <c r="B37" s="37" t="inlineStr">
        <is>
          <t>职务人员（警员/医护）伤害公民时：① 刑事按《圣安地列斯州刑法典》照常追责（与平民一视同仁，如袭击/谋杀/虚假逮捕）；② 另叠加内务处分（调查/停职/降级/开除/FBI）。两者并行，不因身份免刑。</t>
        </is>
      </c>
    </row>
    <row r="39">
      <c r="A39" s="32" t="inlineStr">
        <is>
          <t xml:space="preserve">原创整理：袁尘　</t>
        </is>
      </c>
      <c r="B39" s="15" t="n"/>
    </row>
  </sheetData>
  <mergeCells count="13">
    <mergeCell ref="A20:B20"/>
    <mergeCell ref="A26:B26"/>
    <mergeCell ref="A2:B2"/>
    <mergeCell ref="A30:B30"/>
    <mergeCell ref="A7:B7"/>
    <mergeCell ref="A11:B11"/>
    <mergeCell ref="A36:B36"/>
    <mergeCell ref="A14:B14"/>
    <mergeCell ref="A39:B39"/>
    <mergeCell ref="A1:B1"/>
    <mergeCell ref="A18:B18"/>
    <mergeCell ref="A3:B3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2026-06-27T13:54:11Z</dcterms:created>
  <dcterms:modified xsi:type="dcterms:W3CDTF">2026-06-27T13:54:11Z</dcterms:modified>
  <cp:lastModifiedBy>袁尘</cp:lastModifiedBy>
  <cp:keywords>袁尘 原创</cp:keywords>
</cp:coreProperties>
</file>