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算罪台" sheetId="2" state="visible" r:id="rId2"/>
    <sheet name="罪名表" sheetId="3" state="visible" r:id="rId3"/>
    <sheet name="关键词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2243B"/>
      <sz val="10"/>
    </font>
    <font>
      <b val="1"/>
      <color rgb="00FFFFFF"/>
      <sz val="18"/>
    </font>
    <font>
      <i val="1"/>
      <color rgb="00F3E6BE"/>
      <sz val="10"/>
    </font>
    <font>
      <b val="1"/>
      <color rgb="0012243B"/>
      <sz val="11"/>
    </font>
    <font>
      <b val="1"/>
      <color rgb="00FFFFFF"/>
      <sz val="11"/>
    </font>
    <font>
      <color rgb="001B2A41"/>
      <sz val="10"/>
    </font>
    <font>
      <b val="1"/>
      <color rgb="001B2A41"/>
      <sz val="12"/>
    </font>
    <font>
      <b val="1"/>
      <color rgb="00C0392B"/>
      <sz val="12"/>
    </font>
    <font>
      <b val="1"/>
      <color rgb="00FFFFFF"/>
      <sz val="12"/>
    </font>
    <font>
      <i val="1"/>
      <color rgb="006B7280"/>
      <sz val="9"/>
    </font>
    <font>
      <b val="1"/>
      <color rgb="00FFFFFF"/>
      <sz val="15"/>
    </font>
    <font>
      <b val="1"/>
      <color rgb="001F3A5F"/>
      <sz val="11"/>
    </font>
  </fonts>
  <fills count="1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BE3CC"/>
      </patternFill>
    </fill>
    <fill>
      <patternFill patternType="solid">
        <fgColor rgb="00F6D4CE"/>
      </patternFill>
    </fill>
    <fill>
      <patternFill patternType="solid">
        <fgColor rgb="00F3E6BE"/>
      </patternFill>
    </fill>
    <fill>
      <patternFill patternType="solid">
        <fgColor rgb="00F4F6FA"/>
      </patternFill>
    </fill>
    <fill>
      <patternFill patternType="solid">
        <fgColor rgb="0012243B"/>
      </patternFill>
    </fill>
    <fill>
      <patternFill patternType="solid">
        <fgColor rgb="002C4A7C"/>
      </patternFill>
    </fill>
    <fill>
      <patternFill patternType="solid">
        <fgColor rgb="00FFFDF5"/>
      </patternFill>
    </fill>
    <fill>
      <patternFill patternType="solid">
        <fgColor rgb="001E6B5C"/>
      </patternFill>
    </fill>
    <fill>
      <patternFill patternType="solid">
        <fgColor rgb="005E4B8B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bottom style="medium">
        <color rgb="00C9A227"/>
      </bottom>
    </border>
    <border>
      <left style="thick">
        <color rgb="00C9A227"/>
      </left>
    </border>
    <border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3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5" fillId="7" borderId="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top" wrapText="1"/>
    </xf>
    <xf numFmtId="0" fontId="0" fillId="9" borderId="1" pivotButton="0" quotePrefix="0" xfId="0"/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3" fontId="9" fillId="13" borderId="1" applyAlignment="1" pivotButton="0" quotePrefix="0" xfId="0">
      <alignment horizontal="center" vertical="center" wrapText="1"/>
    </xf>
    <xf numFmtId="3" fontId="10" fillId="13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0" fillId="7" borderId="4" pivotButton="0" quotePrefix="0" xfId="0"/>
    <xf numFmtId="0" fontId="12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CDE8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案件罪名分析器 — 使用说明（原创制作：袁尘）</t>
        </is>
      </c>
      <c r="B1" s="2" t="n"/>
    </row>
    <row r="3">
      <c r="A3" s="3" t="inlineStr">
        <is>
          <t>① 怎么用（全自动）</t>
        </is>
      </c>
    </row>
    <row r="4">
      <c r="B4" s="4" t="inlineStr">
        <is>
          <t>打开「算罪台」，把某人做了什么用一句话（或一段话）写进黄色框里。</t>
        </is>
      </c>
    </row>
    <row r="5">
      <c r="B5" s="4" t="inlineStr">
        <is>
          <t>下面「自动分析结果」会立刻列出他犯的所有罪名，并合计刑期、罚款、保释金。</t>
        </is>
      </c>
    </row>
    <row r="6">
      <c r="B6" s="4" t="inlineStr">
        <is>
          <t>只算一个人 → 只填「当事人甲」；要对比多人 → 分别填甲/乙/丙，底部会指出谁责任最大。</t>
        </is>
      </c>
    </row>
    <row r="7">
      <c r="A7" s="3" t="inlineStr">
        <is>
          <t>② 识别原理</t>
        </is>
      </c>
    </row>
    <row r="8">
      <c r="B8" s="4" t="inlineStr">
        <is>
          <t>离线关键词识别：句子里出现某条罪的关键词（含常见口语/黑话），就判定该罪，不需联网、免费。</t>
        </is>
      </c>
    </row>
    <row r="9">
      <c r="B9" s="4" t="inlineStr">
        <is>
          <t>写得越具体越准，比如「持枪抢劫」「拒捕」「开枪」「驾车逃跑」「贩毒」「袭警」这些词都能认。</t>
        </is>
      </c>
    </row>
    <row r="10">
      <c r="B10" s="4" t="inlineStr">
        <is>
          <t>如果某种说法没被识别 → 打开「关键词库」页，A 列加上你的说法、B 列写对应罪名即可，立即生效。</t>
        </is>
      </c>
    </row>
    <row r="11">
      <c r="A11" s="3" t="inlineStr">
        <is>
          <t>③ 计算规则（依法典）</t>
        </is>
      </c>
    </row>
    <row r="12">
      <c r="B12" s="4" t="inlineStr">
        <is>
          <t>时间换算：1 年 = 12 个月 = 12 分钟（游戏内监禁时间）。</t>
        </is>
      </c>
    </row>
    <row r="13">
      <c r="B13" s="4" t="inlineStr">
        <is>
          <t>数罪叠加、罚款累计；总刑期最高 5 年(60 个月)，同一罪名不重复并罚。</t>
        </is>
      </c>
    </row>
    <row r="14">
      <c r="B14" s="4" t="inlineStr">
        <is>
          <t>建议保释金 = 刑期(月) × 罚款 ÷ 6（法典第九章·保释）。</t>
        </is>
      </c>
    </row>
    <row r="15">
      <c r="B15" s="4" t="inlineStr">
        <is>
          <t>抢劫/盗窃/破坏等另需按价值赔偿，本表未自动计算。</t>
        </is>
      </c>
    </row>
    <row r="16">
      <c r="A16" s="3" t="inlineStr">
        <is>
          <t>④ 需人工复核</t>
        </is>
      </c>
    </row>
    <row r="17">
      <c r="B17" s="4" t="inlineStr">
        <is>
          <t>正当防卫 / 堡垒原则可减免；未遂/同谋/教唆/从犯按主罪同罪；包庇按主犯≤50%。</t>
        </is>
      </c>
    </row>
    <row r="18">
      <c r="B18" s="4" t="inlineStr">
        <is>
          <t>分级罪名(收受赃物、盗窃车辆、大量管制物品等)取常见档位，请按实际情节核对。</t>
        </is>
      </c>
    </row>
    <row r="19">
      <c r="A19" s="3" t="inlineStr">
        <is>
          <t>⑤ 三张表</t>
        </is>
      </c>
    </row>
    <row r="20">
      <c r="B20" s="4" t="inlineStr">
        <is>
          <t>算罪台 = 你用的主界面；罪名表 = 全部罪名速查；关键词库 = 教它认新词的地方。</t>
        </is>
      </c>
    </row>
    <row r="21">
      <c r="A21" s="3" t="inlineStr">
        <is>
          <t>⑥ 免责声明</t>
        </is>
      </c>
    </row>
    <row r="22">
      <c r="B22" s="4" t="inlineStr">
        <is>
          <t>本工具仅为辅助参考，最终定罪与量刑以服务器法官 / 司法部裁量为准。</t>
        </is>
      </c>
    </row>
    <row r="24">
      <c r="A24" s="3" t="inlineStr">
        <is>
          <t>原创制作</t>
        </is>
      </c>
      <c r="B24" s="4" t="inlineStr">
        <is>
          <t>袁尘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12" customWidth="1" min="4" max="4"/>
    <col width="13" customWidth="1" min="5" max="5"/>
    <col width="15" customWidth="1" min="6" max="6"/>
  </cols>
  <sheetData>
    <row r="1" ht="38" customHeight="1">
      <c r="A1" s="5" t="inlineStr">
        <is>
          <t>⚖   圣 安 地 列 斯 州 · 案 件 罪 名 分 析 器   🦅</t>
        </is>
      </c>
      <c r="B1" s="6" t="n"/>
      <c r="C1" s="6" t="n"/>
      <c r="D1" s="6" t="n"/>
      <c r="E1" s="6" t="n"/>
      <c r="F1" s="6" t="n"/>
    </row>
    <row r="2" ht="18" customHeight="1">
      <c r="A2" s="7" t="inlineStr">
        <is>
          <t>把每个人做了什么，用一句话写进框里 → 自动算出他犯了哪些罪</t>
        </is>
      </c>
      <c r="B2" s="2" t="n"/>
      <c r="C2" s="2" t="n"/>
      <c r="D2" s="2" t="n"/>
      <c r="E2" s="2" t="n"/>
      <c r="F2" s="2" t="n"/>
    </row>
    <row r="3" ht="24" customHeight="1">
      <c r="A3" s="8" t="inlineStr">
        <is>
          <t xml:space="preserve">　① 一句话案情　—　每个人一句（只算一人就只填甲；可写一长段，命中越多越准）</t>
        </is>
      </c>
      <c r="B3" s="9" t="n"/>
      <c r="C3" s="9" t="n"/>
      <c r="D3" s="9" t="n"/>
      <c r="E3" s="9" t="n"/>
      <c r="F3" s="9" t="n"/>
    </row>
    <row r="4" ht="50" customHeight="1">
      <c r="A4" s="10" t="inlineStr">
        <is>
          <t>👤
当事人甲</t>
        </is>
      </c>
      <c r="B4" s="11" t="inlineStr">
        <is>
          <t>嫌疑人持枪抢劫便利店，被警察拦下后拒捕并开枪，然后驾车逃跑还撞坏了路边的车。</t>
        </is>
      </c>
      <c r="C4" s="12" t="n"/>
      <c r="D4" s="12" t="n"/>
      <c r="E4" s="12" t="n"/>
      <c r="F4" s="12" t="n"/>
    </row>
    <row r="5" ht="50" customHeight="1">
      <c r="A5" s="13" t="inlineStr">
        <is>
          <t>👤
当事人乙</t>
        </is>
      </c>
      <c r="B5" s="11" t="inlineStr"/>
      <c r="C5" s="12" t="n"/>
      <c r="D5" s="12" t="n"/>
      <c r="E5" s="12" t="n"/>
      <c r="F5" s="12" t="n"/>
    </row>
    <row r="6" ht="50" customHeight="1">
      <c r="A6" s="14" t="inlineStr">
        <is>
          <t>👤
当事人丙</t>
        </is>
      </c>
      <c r="B6" s="11" t="inlineStr"/>
      <c r="C6" s="12" t="n"/>
      <c r="D6" s="12" t="n"/>
      <c r="E6" s="12" t="n"/>
      <c r="F6" s="12" t="n"/>
    </row>
    <row r="7" ht="6" customHeight="1">
      <c r="A7" s="15" t="n"/>
      <c r="B7" s="15" t="n"/>
      <c r="C7" s="15" t="n"/>
      <c r="D7" s="15" t="n"/>
      <c r="E7" s="15" t="n"/>
      <c r="F7" s="15" t="n"/>
    </row>
    <row r="8" ht="24" customHeight="1">
      <c r="A8" s="8" t="inlineStr">
        <is>
          <t xml:space="preserve">　② 自动分析结果　—　识别到的罪名会即时列出（刑期已封顶 5 年）</t>
        </is>
      </c>
      <c r="B8" s="9" t="n"/>
      <c r="C8" s="9" t="n"/>
      <c r="D8" s="9" t="n"/>
      <c r="E8" s="9" t="n"/>
      <c r="F8" s="9" t="n"/>
    </row>
    <row r="9" ht="22" customHeight="1">
      <c r="A9" s="16" t="inlineStr">
        <is>
          <t>当事人</t>
        </is>
      </c>
      <c r="B9" s="16" t="inlineStr">
        <is>
          <t>犯下的罪名</t>
        </is>
      </c>
      <c r="C9" s="16" t="inlineStr">
        <is>
          <t>罪名数</t>
        </is>
      </c>
      <c r="D9" s="16" t="inlineStr">
        <is>
          <t>合计刑期(月)</t>
        </is>
      </c>
      <c r="E9" s="16" t="inlineStr">
        <is>
          <t>合计罚款($)</t>
        </is>
      </c>
      <c r="F9" s="16" t="inlineStr">
        <is>
          <t>建议保释金($)</t>
        </is>
      </c>
    </row>
    <row r="10" ht="46" customHeight="1">
      <c r="A10" s="17" t="inlineStr">
        <is>
          <t>当事人甲</t>
        </is>
      </c>
      <c r="B10" s="18">
        <f>IF('罪名表'!$J$62="","（这句话没识别到罪名，请补充细节或去「关键词库」加词）",'罪名表'!$J$62)</f>
        <v/>
      </c>
      <c r="C10" s="19">
        <f>SUM('罪名表'!$G$2:$G$62)</f>
        <v/>
      </c>
      <c r="D10" s="20">
        <f>MIN(60,SUMIF('罪名表'!$G$2:$G$62,1,'罪名表'!$D$2:$D$62))</f>
        <v/>
      </c>
      <c r="E10" s="21">
        <f>SUMIF('罪名表'!$G$2:$G$62,1,'罪名表'!$E$2:$E$62)</f>
        <v/>
      </c>
      <c r="F10" s="22">
        <f>ROUND(D10*E10/6,0)</f>
        <v/>
      </c>
    </row>
    <row r="11" ht="46" customHeight="1">
      <c r="A11" s="23" t="inlineStr">
        <is>
          <t>当事人乙</t>
        </is>
      </c>
      <c r="B11" s="18">
        <f>IF('罪名表'!$K$62="","（这句话没识别到罪名，请补充细节或去「关键词库」加词）",'罪名表'!$K$62)</f>
        <v/>
      </c>
      <c r="C11" s="19">
        <f>SUM('罪名表'!$H$2:$H$62)</f>
        <v/>
      </c>
      <c r="D11" s="20">
        <f>MIN(60,SUMIF('罪名表'!$H$2:$H$62,1,'罪名表'!$D$2:$D$62))</f>
        <v/>
      </c>
      <c r="E11" s="21">
        <f>SUMIF('罪名表'!$H$2:$H$62,1,'罪名表'!$E$2:$E$62)</f>
        <v/>
      </c>
      <c r="F11" s="22">
        <f>ROUND(D11*E11/6,0)</f>
        <v/>
      </c>
    </row>
    <row r="12" ht="46" customHeight="1">
      <c r="A12" s="24" t="inlineStr">
        <is>
          <t>当事人丙</t>
        </is>
      </c>
      <c r="B12" s="18">
        <f>IF('罪名表'!$L$62="","（这句话没识别到罪名，请补充细节或去「关键词库」加词）",'罪名表'!$L$62)</f>
        <v/>
      </c>
      <c r="C12" s="19">
        <f>SUM('罪名表'!$I$2:$I$62)</f>
        <v/>
      </c>
      <c r="D12" s="20">
        <f>MIN(60,SUMIF('罪名表'!$I$2:$I$62,1,'罪名表'!$D$2:$D$62))</f>
        <v/>
      </c>
      <c r="E12" s="21">
        <f>SUMIF('罪名表'!$I$2:$I$62,1,'罪名表'!$E$2:$E$62)</f>
        <v/>
      </c>
      <c r="F12" s="22">
        <f>ROUND(D12*E12/6,0)</f>
        <v/>
      </c>
    </row>
    <row r="13">
      <c r="A13" s="15" t="n"/>
      <c r="B13" s="15" t="n"/>
      <c r="C13" s="15" t="n"/>
      <c r="D13" s="15" t="n"/>
      <c r="E13" s="15" t="n"/>
      <c r="F13" s="15" t="n"/>
    </row>
    <row r="14" ht="36" customHeight="1">
      <c r="A14" s="25">
        <f>IF(MAX(D10,D11,D12)=0,"⚠ 还没识别到罪名：在上面把案情写得更具体些，或去「关键词库」补充说法。","🔨 主要责任方：当事人"&amp;IF(D10=MAX(D10,D11,D12),"甲",IF(D11=MAX(D10,D11,D12),"乙","丙"))&amp;"　|　合计刑期 "&amp;MAX(D10,D11,D12)&amp;" 个月（"&amp;ROUND(MAX(D10,D11,D12)/12,1)&amp;" 年）"&amp;"　|　仅供参考，正当防卫 / 堡垒原则 / 同类不并罚等请人工复核")</f>
        <v/>
      </c>
      <c r="B14" s="26" t="n"/>
      <c r="C14" s="26" t="n"/>
      <c r="D14" s="26" t="n"/>
      <c r="E14" s="26" t="n"/>
      <c r="F14" s="26" t="n"/>
    </row>
    <row r="15" ht="6" customHeight="1">
      <c r="A15" s="15" t="n"/>
      <c r="B15" s="15" t="n"/>
      <c r="C15" s="15" t="n"/>
      <c r="D15" s="15" t="n"/>
      <c r="E15" s="15" t="n"/>
      <c r="F15" s="15" t="n"/>
    </row>
    <row r="16" ht="32" customHeight="1">
      <c r="A16" s="27" t="inlineStr">
        <is>
          <t>提示 · 写得越具体识别越准（如「持枪、拒捕、开枪、逃跑、贩毒」这些词）；保释金 = 刑期(月)×罚款÷6；识别不到的说法，去「关键词库」加一行即可。</t>
        </is>
      </c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28" t="inlineStr">
        <is>
          <t xml:space="preserve">原创制作：袁尘　</t>
        </is>
      </c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</sheetData>
  <mergeCells count="13">
    <mergeCell ref="B4:F4"/>
    <mergeCell ref="A2:F2"/>
    <mergeCell ref="A16:F16"/>
    <mergeCell ref="A6"/>
    <mergeCell ref="B6:F6"/>
    <mergeCell ref="A4"/>
    <mergeCell ref="A14:F14"/>
    <mergeCell ref="A1:F1"/>
    <mergeCell ref="B5:F5"/>
    <mergeCell ref="A8:F8"/>
    <mergeCell ref="A18:F18"/>
    <mergeCell ref="A3:F3"/>
    <mergeCell ref="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11" customWidth="1" min="5" max="5"/>
    <col width="50" customWidth="1" min="6" max="6"/>
    <col hidden="1" width="7" customWidth="1" min="7" max="7"/>
    <col hidden="1" width="7" customWidth="1" min="8" max="8"/>
    <col hidden="1" width="7" customWidth="1" min="9" max="9"/>
    <col hidden="1" width="26" customWidth="1" min="10" max="10"/>
    <col hidden="1" width="26" customWidth="1" min="11" max="11"/>
    <col hidden="1" width="26" customWidth="1" min="12" max="12"/>
  </cols>
  <sheetData>
    <row r="1">
      <c r="A1" s="16" t="inlineStr">
        <is>
          <t>章节</t>
        </is>
      </c>
      <c r="B1" s="16" t="inlineStr">
        <is>
          <t>罪名</t>
        </is>
      </c>
      <c r="C1" s="16" t="inlineStr">
        <is>
          <t>定性</t>
        </is>
      </c>
      <c r="D1" s="16" t="inlineStr">
        <is>
          <t>刑期(月)</t>
        </is>
      </c>
      <c r="E1" s="16" t="inlineStr">
        <is>
          <t>罚款($)</t>
        </is>
      </c>
      <c r="F1" s="16" t="inlineStr">
        <is>
          <t>说明 / 量刑要点</t>
        </is>
      </c>
      <c r="G1" s="16" t="inlineStr">
        <is>
          <t>甲命中</t>
        </is>
      </c>
      <c r="H1" s="16" t="inlineStr">
        <is>
          <t>乙命中</t>
        </is>
      </c>
      <c r="I1" s="16" t="inlineStr">
        <is>
          <t>丙命中</t>
        </is>
      </c>
      <c r="J1" s="16" t="inlineStr">
        <is>
          <t>甲累积</t>
        </is>
      </c>
      <c r="K1" s="16" t="inlineStr">
        <is>
          <t>乙累积</t>
        </is>
      </c>
      <c r="L1" s="16" t="inlineStr">
        <is>
          <t>丙累积</t>
        </is>
      </c>
    </row>
    <row r="2" ht="26" customHeight="1">
      <c r="A2" s="29" t="inlineStr">
        <is>
          <t>二·人身</t>
        </is>
      </c>
      <c r="B2" s="30" t="inlineStr">
        <is>
          <t>威胁罪</t>
        </is>
      </c>
      <c r="C2" s="31" t="inlineStr">
        <is>
          <t>轻罪</t>
        </is>
      </c>
      <c r="D2" s="29" t="n">
        <v>12</v>
      </c>
      <c r="E2" s="32" t="n">
        <v>8000</v>
      </c>
      <c r="F2" s="33" t="inlineStr">
        <is>
          <t>口头/书面/网络威胁他人或其亲友</t>
        </is>
      </c>
      <c r="G2" s="34">
        <f>IF(SUMIFS('关键词库'!$C$2:$C$1281,'关键词库'!$B$2:$B$1281,$B2)&gt;0,1,0)</f>
        <v/>
      </c>
      <c r="H2" s="34">
        <f>IF(SUMIFS('关键词库'!$D$2:$D$1281,'关键词库'!$B$2:$B$1281,$B2)&gt;0,1,0)</f>
        <v/>
      </c>
      <c r="I2" s="34">
        <f>IF(SUMIFS('关键词库'!$E$2:$E$1281,'关键词库'!$B$2:$B$1281,$B2)&gt;0,1,0)</f>
        <v/>
      </c>
      <c r="J2" s="34">
        <f>IF($G2=1,$B2,"")</f>
        <v/>
      </c>
      <c r="K2" s="34">
        <f>IF($H2=1,$B2,"")</f>
        <v/>
      </c>
      <c r="L2" s="34">
        <f>IF($I2=1,$B2,"")</f>
        <v/>
      </c>
    </row>
    <row r="3" ht="26" customHeight="1">
      <c r="A3" s="29" t="inlineStr">
        <is>
          <t>二·人身</t>
        </is>
      </c>
      <c r="B3" s="30" t="inlineStr">
        <is>
          <t>持有危险武器人身攻击罪</t>
        </is>
      </c>
      <c r="C3" s="35" t="inlineStr">
        <is>
          <t>重罪</t>
        </is>
      </c>
      <c r="D3" s="29" t="n">
        <v>48</v>
      </c>
      <c r="E3" s="32" t="n">
        <v>20000</v>
      </c>
      <c r="F3" s="33" t="inlineStr">
        <is>
          <t>用武器/工具威胁或伤害他人</t>
        </is>
      </c>
      <c r="G3" s="34">
        <f>IF(SUMIFS('关键词库'!$C$2:$C$1281,'关键词库'!$B$2:$B$1281,$B3)&gt;0,1,0)</f>
        <v/>
      </c>
      <c r="H3" s="34">
        <f>IF(SUMIFS('关键词库'!$D$2:$D$1281,'关键词库'!$B$2:$B$1281,$B3)&gt;0,1,0)</f>
        <v/>
      </c>
      <c r="I3" s="34">
        <f>IF(SUMIFS('关键词库'!$E$2:$E$1281,'关键词库'!$B$2:$B$1281,$B3)&gt;0,1,0)</f>
        <v/>
      </c>
      <c r="J3" s="34">
        <f>IF($G3=1,IF($J2="",$B3,$J2&amp;"、"&amp;$B3),$J2)</f>
        <v/>
      </c>
      <c r="K3" s="34">
        <f>IF($H3=1,IF($K2="",$B3,$K2&amp;"、"&amp;$B3),$K2)</f>
        <v/>
      </c>
      <c r="L3" s="34">
        <f>IF($I3=1,IF($L2="",$B3,$L2&amp;"、"&amp;$B3),$L2)</f>
        <v/>
      </c>
    </row>
    <row r="4" ht="26" customHeight="1">
      <c r="A4" s="29" t="inlineStr">
        <is>
          <t>二·人身</t>
        </is>
      </c>
      <c r="B4" s="30" t="inlineStr">
        <is>
          <t>一级谋杀罪</t>
        </is>
      </c>
      <c r="C4" s="35" t="inlineStr">
        <is>
          <t>重罪</t>
        </is>
      </c>
      <c r="D4" s="29" t="n">
        <v>60</v>
      </c>
      <c r="E4" s="32" t="n">
        <v>30000</v>
      </c>
      <c r="F4" s="33" t="inlineStr">
        <is>
          <t>预谋故意杀人 / 重罪过程中杀人</t>
        </is>
      </c>
      <c r="G4" s="34">
        <f>IF(SUMIFS('关键词库'!$C$2:$C$1281,'关键词库'!$B$2:$B$1281,$B4)&gt;0,1,0)</f>
        <v/>
      </c>
      <c r="H4" s="34">
        <f>IF(SUMIFS('关键词库'!$D$2:$D$1281,'关键词库'!$B$2:$B$1281,$B4)&gt;0,1,0)</f>
        <v/>
      </c>
      <c r="I4" s="34">
        <f>IF(SUMIFS('关键词库'!$E$2:$E$1281,'关键词库'!$B$2:$B$1281,$B4)&gt;0,1,0)</f>
        <v/>
      </c>
      <c r="J4" s="34">
        <f>IF($G4=1,IF($J3="",$B4,$J3&amp;"、"&amp;$B4),$J3)</f>
        <v/>
      </c>
      <c r="K4" s="34">
        <f>IF($H4=1,IF($K3="",$B4,$K3&amp;"、"&amp;$B4),$K3)</f>
        <v/>
      </c>
      <c r="L4" s="34">
        <f>IF($I4=1,IF($L3="",$B4,$L3&amp;"、"&amp;$B4),$L3)</f>
        <v/>
      </c>
    </row>
    <row r="5" ht="26" customHeight="1">
      <c r="A5" s="29" t="inlineStr">
        <is>
          <t>二·人身</t>
        </is>
      </c>
      <c r="B5" s="30" t="inlineStr">
        <is>
          <t>二级谋杀罪</t>
        </is>
      </c>
      <c r="C5" s="35" t="inlineStr">
        <is>
          <t>重罪</t>
        </is>
      </c>
      <c r="D5" s="29" t="n">
        <v>60</v>
      </c>
      <c r="E5" s="32" t="n">
        <v>20000</v>
      </c>
      <c r="F5" s="33" t="inlineStr">
        <is>
          <t>非预谋的故意杀人 (3至5年)</t>
        </is>
      </c>
      <c r="G5" s="34">
        <f>IF(SUMIFS('关键词库'!$C$2:$C$1281,'关键词库'!$B$2:$B$1281,$B5)&gt;0,1,0)</f>
        <v/>
      </c>
      <c r="H5" s="34">
        <f>IF(SUMIFS('关键词库'!$D$2:$D$1281,'关键词库'!$B$2:$B$1281,$B5)&gt;0,1,0)</f>
        <v/>
      </c>
      <c r="I5" s="34">
        <f>IF(SUMIFS('关键词库'!$E$2:$E$1281,'关键词库'!$B$2:$B$1281,$B5)&gt;0,1,0)</f>
        <v/>
      </c>
      <c r="J5" s="34">
        <f>IF($G5=1,IF($J4="",$B5,$J4&amp;"、"&amp;$B5),$J4)</f>
        <v/>
      </c>
      <c r="K5" s="34">
        <f>IF($H5=1,IF($K4="",$B5,$K4&amp;"、"&amp;$B5),$K4)</f>
        <v/>
      </c>
      <c r="L5" s="34">
        <f>IF($I5=1,IF($L4="",$B5,$L4&amp;"、"&amp;$B5),$L4)</f>
        <v/>
      </c>
    </row>
    <row r="6" ht="26" customHeight="1">
      <c r="A6" s="29" t="inlineStr">
        <is>
          <t>二·人身</t>
        </is>
      </c>
      <c r="B6" s="30" t="inlineStr">
        <is>
          <t>三级谋杀罪</t>
        </is>
      </c>
      <c r="C6" s="35" t="inlineStr">
        <is>
          <t>重罪</t>
        </is>
      </c>
      <c r="D6" s="29" t="n">
        <v>60</v>
      </c>
      <c r="E6" s="32" t="n">
        <v>15000</v>
      </c>
      <c r="F6" s="33" t="inlineStr">
        <is>
          <t>无意致死/鲁莽过失致死 (3至5年, 不含正当防卫)</t>
        </is>
      </c>
      <c r="G6" s="34">
        <f>IF(SUMIFS('关键词库'!$C$2:$C$1281,'关键词库'!$B$2:$B$1281,$B6)&gt;0,1,0)</f>
        <v/>
      </c>
      <c r="H6" s="34">
        <f>IF(SUMIFS('关键词库'!$D$2:$D$1281,'关键词库'!$B$2:$B$1281,$B6)&gt;0,1,0)</f>
        <v/>
      </c>
      <c r="I6" s="34">
        <f>IF(SUMIFS('关键词库'!$E$2:$E$1281,'关键词库'!$B$2:$B$1281,$B6)&gt;0,1,0)</f>
        <v/>
      </c>
      <c r="J6" s="34">
        <f>IF($G6=1,IF($J5="",$B6,$J5&amp;"、"&amp;$B6),$J5)</f>
        <v/>
      </c>
      <c r="K6" s="34">
        <f>IF($H6=1,IF($K5="",$B6,$K5&amp;"、"&amp;$B6),$K5)</f>
        <v/>
      </c>
      <c r="L6" s="34">
        <f>IF($I6=1,IF($L5="",$B6,$L5&amp;"、"&amp;$B6),$L5)</f>
        <v/>
      </c>
    </row>
    <row r="7" ht="26" customHeight="1">
      <c r="A7" s="29" t="inlineStr">
        <is>
          <t>二·人身</t>
        </is>
      </c>
      <c r="B7" s="30" t="inlineStr">
        <is>
          <t>非法拘禁罪</t>
        </is>
      </c>
      <c r="C7" s="35" t="inlineStr">
        <is>
          <t>重罪</t>
        </is>
      </c>
      <c r="D7" s="29" t="n">
        <v>36</v>
      </c>
      <c r="E7" s="32" t="n">
        <v>15000</v>
      </c>
      <c r="F7" s="33" t="inlineStr">
        <is>
          <t>违背意愿约束/扣押/拘禁他人</t>
        </is>
      </c>
      <c r="G7" s="34">
        <f>IF(SUMIFS('关键词库'!$C$2:$C$1281,'关键词库'!$B$2:$B$1281,$B7)&gt;0,1,0)</f>
        <v/>
      </c>
      <c r="H7" s="34">
        <f>IF(SUMIFS('关键词库'!$D$2:$D$1281,'关键词库'!$B$2:$B$1281,$B7)&gt;0,1,0)</f>
        <v/>
      </c>
      <c r="I7" s="34">
        <f>IF(SUMIFS('关键词库'!$E$2:$E$1281,'关键词库'!$B$2:$B$1281,$B7)&gt;0,1,0)</f>
        <v/>
      </c>
      <c r="J7" s="34">
        <f>IF($G7=1,IF($J6="",$B7,$J6&amp;"、"&amp;$B7),$J6)</f>
        <v/>
      </c>
      <c r="K7" s="34">
        <f>IF($H7=1,IF($K6="",$B7,$K6&amp;"、"&amp;$B7),$K6)</f>
        <v/>
      </c>
      <c r="L7" s="34">
        <f>IF($I7=1,IF($L6="",$B7,$L6&amp;"、"&amp;$B7),$L6)</f>
        <v/>
      </c>
    </row>
    <row r="8" ht="26" customHeight="1">
      <c r="A8" s="29" t="inlineStr">
        <is>
          <t>二·人身</t>
        </is>
      </c>
      <c r="B8" s="30" t="inlineStr">
        <is>
          <t>故意袭击罪</t>
        </is>
      </c>
      <c r="C8" s="35" t="inlineStr">
        <is>
          <t>重罪</t>
        </is>
      </c>
      <c r="D8" s="29" t="n">
        <v>36</v>
      </c>
      <c r="E8" s="32" t="n">
        <v>15000</v>
      </c>
      <c r="F8" s="33" t="inlineStr">
        <is>
          <t>蓄意暴力致他人身体受伤</t>
        </is>
      </c>
      <c r="G8" s="34">
        <f>IF(SUMIFS('关键词库'!$C$2:$C$1281,'关键词库'!$B$2:$B$1281,$B8)&gt;0,1,0)</f>
        <v/>
      </c>
      <c r="H8" s="34">
        <f>IF(SUMIFS('关键词库'!$D$2:$D$1281,'关键词库'!$B$2:$B$1281,$B8)&gt;0,1,0)</f>
        <v/>
      </c>
      <c r="I8" s="34">
        <f>IF(SUMIFS('关键词库'!$E$2:$E$1281,'关键词库'!$B$2:$B$1281,$B8)&gt;0,1,0)</f>
        <v/>
      </c>
      <c r="J8" s="34">
        <f>IF($G8=1,IF($J7="",$B8,$J7&amp;"、"&amp;$B8),$J7)</f>
        <v/>
      </c>
      <c r="K8" s="34">
        <f>IF($H8=1,IF($K7="",$B8,$K7&amp;"、"&amp;$B8),$K7)</f>
        <v/>
      </c>
      <c r="L8" s="34">
        <f>IF($I8=1,IF($L7="",$B8,$L7&amp;"、"&amp;$B8),$L7)</f>
        <v/>
      </c>
    </row>
    <row r="9" ht="26" customHeight="1">
      <c r="A9" s="29" t="inlineStr">
        <is>
          <t>二·人身</t>
        </is>
      </c>
      <c r="B9" s="30" t="inlineStr">
        <is>
          <t>绑架罪</t>
        </is>
      </c>
      <c r="C9" s="35" t="inlineStr">
        <is>
          <t>重罪</t>
        </is>
      </c>
      <c r="D9" s="29" t="n">
        <v>60</v>
      </c>
      <c r="E9" s="32" t="n">
        <v>25000</v>
      </c>
      <c r="F9" s="33" t="inlineStr">
        <is>
          <t>侵占/羁押/控制他人意图恐吓</t>
        </is>
      </c>
      <c r="G9" s="34">
        <f>IF(SUMIFS('关键词库'!$C$2:$C$1281,'关键词库'!$B$2:$B$1281,$B9)&gt;0,1,0)</f>
        <v/>
      </c>
      <c r="H9" s="34">
        <f>IF(SUMIFS('关键词库'!$D$2:$D$1281,'关键词库'!$B$2:$B$1281,$B9)&gt;0,1,0)</f>
        <v/>
      </c>
      <c r="I9" s="34">
        <f>IF(SUMIFS('关键词库'!$E$2:$E$1281,'关键词库'!$B$2:$B$1281,$B9)&gt;0,1,0)</f>
        <v/>
      </c>
      <c r="J9" s="34">
        <f>IF($G9=1,IF($J8="",$B9,$J8&amp;"、"&amp;$B9),$J8)</f>
        <v/>
      </c>
      <c r="K9" s="34">
        <f>IF($H9=1,IF($K8="",$B9,$K8&amp;"、"&amp;$B9),$K8)</f>
        <v/>
      </c>
      <c r="L9" s="34">
        <f>IF($I9=1,IF($L8="",$B9,$L8&amp;"、"&amp;$B9),$L8)</f>
        <v/>
      </c>
    </row>
    <row r="10" ht="26" customHeight="1">
      <c r="A10" s="29" t="inlineStr">
        <is>
          <t>二·人身</t>
        </is>
      </c>
      <c r="B10" s="30" t="inlineStr">
        <is>
          <t>亵渎尸体罪</t>
        </is>
      </c>
      <c r="C10" s="35" t="inlineStr">
        <is>
          <t>重罪</t>
        </is>
      </c>
      <c r="D10" s="29" t="n">
        <v>24</v>
      </c>
      <c r="E10" s="32" t="n">
        <v>20000</v>
      </c>
      <c r="F10" s="33" t="inlineStr">
        <is>
          <t>毁损/处置尸体掩盖犯罪</t>
        </is>
      </c>
      <c r="G10" s="34">
        <f>IF(SUMIFS('关键词库'!$C$2:$C$1281,'关键词库'!$B$2:$B$1281,$B10)&gt;0,1,0)</f>
        <v/>
      </c>
      <c r="H10" s="34">
        <f>IF(SUMIFS('关键词库'!$D$2:$D$1281,'关键词库'!$B$2:$B$1281,$B10)&gt;0,1,0)</f>
        <v/>
      </c>
      <c r="I10" s="34">
        <f>IF(SUMIFS('关键词库'!$E$2:$E$1281,'关键词库'!$B$2:$B$1281,$B10)&gt;0,1,0)</f>
        <v/>
      </c>
      <c r="J10" s="34">
        <f>IF($G10=1,IF($J9="",$B10,$J9&amp;"、"&amp;$B10),$J9)</f>
        <v/>
      </c>
      <c r="K10" s="34">
        <f>IF($H10=1,IF($K9="",$B10,$K9&amp;"、"&amp;$B10),$K9)</f>
        <v/>
      </c>
      <c r="L10" s="34">
        <f>IF($I10=1,IF($L9="",$B10,$L9&amp;"、"&amp;$B10),$L9)</f>
        <v/>
      </c>
    </row>
    <row r="11" ht="26" customHeight="1">
      <c r="A11" s="29" t="inlineStr">
        <is>
          <t>二·人身</t>
        </is>
      </c>
      <c r="B11" s="30" t="inlineStr">
        <is>
          <t>诈骗罪</t>
        </is>
      </c>
      <c r="C11" s="35" t="inlineStr">
        <is>
          <t>重罪</t>
        </is>
      </c>
      <c r="D11" s="29" t="n">
        <v>60</v>
      </c>
      <c r="E11" s="32" t="n">
        <v>5000</v>
      </c>
      <c r="F11" s="33" t="inlineStr">
        <is>
          <t>以欺诈欺瞒获取他人财物 (1-5年)</t>
        </is>
      </c>
      <c r="G11" s="34">
        <f>IF(SUMIFS('关键词库'!$C$2:$C$1281,'关键词库'!$B$2:$B$1281,$B11)&gt;0,1,0)</f>
        <v/>
      </c>
      <c r="H11" s="34">
        <f>IF(SUMIFS('关键词库'!$D$2:$D$1281,'关键词库'!$B$2:$B$1281,$B11)&gt;0,1,0)</f>
        <v/>
      </c>
      <c r="I11" s="34">
        <f>IF(SUMIFS('关键词库'!$E$2:$E$1281,'关键词库'!$B$2:$B$1281,$B11)&gt;0,1,0)</f>
        <v/>
      </c>
      <c r="J11" s="34">
        <f>IF($G11=1,IF($J10="",$B11,$J10&amp;"、"&amp;$B11),$J10)</f>
        <v/>
      </c>
      <c r="K11" s="34">
        <f>IF($H11=1,IF($K10="",$B11,$K10&amp;"、"&amp;$B11),$K10)</f>
        <v/>
      </c>
      <c r="L11" s="34">
        <f>IF($I11=1,IF($L10="",$B11,$L10&amp;"、"&amp;$B11),$L10)</f>
        <v/>
      </c>
    </row>
    <row r="12" ht="26" customHeight="1">
      <c r="A12" s="29" t="inlineStr">
        <is>
          <t>三·财产</t>
        </is>
      </c>
      <c r="B12" s="30" t="inlineStr">
        <is>
          <t>非法入侵罪</t>
        </is>
      </c>
      <c r="C12" s="31" t="inlineStr">
        <is>
          <t>轻罪</t>
        </is>
      </c>
      <c r="D12" s="29" t="n">
        <v>24</v>
      </c>
      <c r="E12" s="32" t="n">
        <v>8000</v>
      </c>
      <c r="F12" s="33" t="inlineStr">
        <is>
          <t>被要求离开后仍拒绝离开</t>
        </is>
      </c>
      <c r="G12" s="34">
        <f>IF(SUMIFS('关键词库'!$C$2:$C$1281,'关键词库'!$B$2:$B$1281,$B12)&gt;0,1,0)</f>
        <v/>
      </c>
      <c r="H12" s="34">
        <f>IF(SUMIFS('关键词库'!$D$2:$D$1281,'关键词库'!$B$2:$B$1281,$B12)&gt;0,1,0)</f>
        <v/>
      </c>
      <c r="I12" s="34">
        <f>IF(SUMIFS('关键词库'!$E$2:$E$1281,'关键词库'!$B$2:$B$1281,$B12)&gt;0,1,0)</f>
        <v/>
      </c>
      <c r="J12" s="34">
        <f>IF($G12=1,IF($J11="",$B12,$J11&amp;"、"&amp;$B12),$J11)</f>
        <v/>
      </c>
      <c r="K12" s="34">
        <f>IF($H12=1,IF($K11="",$B12,$K11&amp;"、"&amp;$B12),$K11)</f>
        <v/>
      </c>
      <c r="L12" s="34">
        <f>IF($I12=1,IF($L11="",$B12,$L11&amp;"、"&amp;$B12),$L11)</f>
        <v/>
      </c>
    </row>
    <row r="13" ht="26" customHeight="1">
      <c r="A13" s="29" t="inlineStr">
        <is>
          <t>三·财产</t>
        </is>
      </c>
      <c r="B13" s="30" t="inlineStr">
        <is>
          <t>非法入侵禁区罪</t>
        </is>
      </c>
      <c r="C13" s="31" t="inlineStr">
        <is>
          <t>轻罪</t>
        </is>
      </c>
      <c r="D13" s="29" t="n">
        <v>36</v>
      </c>
      <c r="E13" s="32" t="n">
        <v>10000</v>
      </c>
      <c r="F13" s="33" t="inlineStr">
        <is>
          <t>未经授权进入警局/机场/军事基地等限制区</t>
        </is>
      </c>
      <c r="G13" s="34">
        <f>IF(SUMIFS('关键词库'!$C$2:$C$1281,'关键词库'!$B$2:$B$1281,$B13)&gt;0,1,0)</f>
        <v/>
      </c>
      <c r="H13" s="34">
        <f>IF(SUMIFS('关键词库'!$D$2:$D$1281,'关键词库'!$B$2:$B$1281,$B13)&gt;0,1,0)</f>
        <v/>
      </c>
      <c r="I13" s="34">
        <f>IF(SUMIFS('关键词库'!$E$2:$E$1281,'关键词库'!$B$2:$B$1281,$B13)&gt;0,1,0)</f>
        <v/>
      </c>
      <c r="J13" s="34">
        <f>IF($G13=1,IF($J12="",$B13,$J12&amp;"、"&amp;$B13),$J12)</f>
        <v/>
      </c>
      <c r="K13" s="34">
        <f>IF($H13=1,IF($K12="",$B13,$K12&amp;"、"&amp;$B13),$K12)</f>
        <v/>
      </c>
      <c r="L13" s="34">
        <f>IF($I13=1,IF($L12="",$B13,$L12&amp;"、"&amp;$B13),$L12)</f>
        <v/>
      </c>
    </row>
    <row r="14" ht="26" customHeight="1">
      <c r="A14" s="29" t="inlineStr">
        <is>
          <t>三·财产</t>
        </is>
      </c>
      <c r="B14" s="30" t="inlineStr">
        <is>
          <t>入室盗窃罪</t>
        </is>
      </c>
      <c r="C14" s="35" t="inlineStr">
        <is>
          <t>重罪</t>
        </is>
      </c>
      <c r="D14" s="29" t="n">
        <v>36</v>
      </c>
      <c r="E14" s="32" t="n">
        <v>25000</v>
      </c>
      <c r="F14" s="33" t="inlineStr">
        <is>
          <t>擅入住宅/办公室/仓库盗窃, 另需赔偿</t>
        </is>
      </c>
      <c r="G14" s="34">
        <f>IF(SUMIFS('关键词库'!$C$2:$C$1281,'关键词库'!$B$2:$B$1281,$B14)&gt;0,1,0)</f>
        <v/>
      </c>
      <c r="H14" s="34">
        <f>IF(SUMIFS('关键词库'!$D$2:$D$1281,'关键词库'!$B$2:$B$1281,$B14)&gt;0,1,0)</f>
        <v/>
      </c>
      <c r="I14" s="34">
        <f>IF(SUMIFS('关键词库'!$E$2:$E$1281,'关键词库'!$B$2:$B$1281,$B14)&gt;0,1,0)</f>
        <v/>
      </c>
      <c r="J14" s="34">
        <f>IF($G14=1,IF($J13="",$B14,$J13&amp;"、"&amp;$B14),$J13)</f>
        <v/>
      </c>
      <c r="K14" s="34">
        <f>IF($H14=1,IF($K13="",$B14,$K13&amp;"、"&amp;$B14),$K13)</f>
        <v/>
      </c>
      <c r="L14" s="34">
        <f>IF($I14=1,IF($L13="",$B14,$L13&amp;"、"&amp;$B14),$L13)</f>
        <v/>
      </c>
    </row>
    <row r="15" ht="26" customHeight="1">
      <c r="A15" s="29" t="inlineStr">
        <is>
          <t>三·财产</t>
        </is>
      </c>
      <c r="B15" s="30" t="inlineStr">
        <is>
          <t>抢劫罪</t>
        </is>
      </c>
      <c r="C15" s="35" t="inlineStr">
        <is>
          <t>重罪</t>
        </is>
      </c>
      <c r="D15" s="29" t="n">
        <v>60</v>
      </c>
      <c r="E15" s="32" t="n">
        <v>20000</v>
      </c>
      <c r="F15" s="33" t="inlineStr">
        <is>
          <t>以武力/威胁强夺他人财产, 另需赔偿</t>
        </is>
      </c>
      <c r="G15" s="34">
        <f>IF(SUMIFS('关键词库'!$C$2:$C$1281,'关键词库'!$B$2:$B$1281,$B15)&gt;0,1,0)</f>
        <v/>
      </c>
      <c r="H15" s="34">
        <f>IF(SUMIFS('关键词库'!$D$2:$D$1281,'关键词库'!$B$2:$B$1281,$B15)&gt;0,1,0)</f>
        <v/>
      </c>
      <c r="I15" s="34">
        <f>IF(SUMIFS('关键词库'!$E$2:$E$1281,'关键词库'!$B$2:$B$1281,$B15)&gt;0,1,0)</f>
        <v/>
      </c>
      <c r="J15" s="34">
        <f>IF($G15=1,IF($J14="",$B15,$J14&amp;"、"&amp;$B15),$J14)</f>
        <v/>
      </c>
      <c r="K15" s="34">
        <f>IF($H15=1,IF($K14="",$B15,$K14&amp;"、"&amp;$B15),$K14)</f>
        <v/>
      </c>
      <c r="L15" s="34">
        <f>IF($I15=1,IF($L14="",$B15,$L14&amp;"、"&amp;$B15),$L14)</f>
        <v/>
      </c>
    </row>
    <row r="16" ht="26" customHeight="1">
      <c r="A16" s="29" t="inlineStr">
        <is>
          <t>三·财产</t>
        </is>
      </c>
      <c r="B16" s="30" t="inlineStr">
        <is>
          <t>盗窃罪</t>
        </is>
      </c>
      <c r="C16" s="35" t="inlineStr">
        <is>
          <t>重罪</t>
        </is>
      </c>
      <c r="D16" s="29" t="n">
        <v>48</v>
      </c>
      <c r="E16" s="32" t="n">
        <v>20000</v>
      </c>
      <c r="F16" s="33" t="inlineStr">
        <is>
          <t>盗窃/占用他人财物, 另需赔偿</t>
        </is>
      </c>
      <c r="G16" s="34">
        <f>IF(SUMIFS('关键词库'!$C$2:$C$1281,'关键词库'!$B$2:$B$1281,$B16)&gt;0,1,0)</f>
        <v/>
      </c>
      <c r="H16" s="34">
        <f>IF(SUMIFS('关键词库'!$D$2:$D$1281,'关键词库'!$B$2:$B$1281,$B16)&gt;0,1,0)</f>
        <v/>
      </c>
      <c r="I16" s="34">
        <f>IF(SUMIFS('关键词库'!$E$2:$E$1281,'关键词库'!$B$2:$B$1281,$B16)&gt;0,1,0)</f>
        <v/>
      </c>
      <c r="J16" s="34">
        <f>IF($G16=1,IF($J15="",$B16,$J15&amp;"、"&amp;$B16),$J15)</f>
        <v/>
      </c>
      <c r="K16" s="34">
        <f>IF($H16=1,IF($K15="",$B16,$K15&amp;"、"&amp;$B16),$K15)</f>
        <v/>
      </c>
      <c r="L16" s="34">
        <f>IF($I16=1,IF($L15="",$B16,$L15&amp;"、"&amp;$B16),$L15)</f>
        <v/>
      </c>
    </row>
    <row r="17" ht="26" customHeight="1">
      <c r="A17" s="29" t="inlineStr">
        <is>
          <t>三·财产</t>
        </is>
      </c>
      <c r="B17" s="30" t="inlineStr">
        <is>
          <t>盗窃车辆罪</t>
        </is>
      </c>
      <c r="C17" s="31" t="inlineStr">
        <is>
          <t>轻罪</t>
        </is>
      </c>
      <c r="D17" s="29" t="n">
        <v>12</v>
      </c>
      <c r="E17" s="32" t="n">
        <v>5000</v>
      </c>
      <c r="F17" s="33" t="inlineStr">
        <is>
          <t>默认未造成严重后果(轻罪1年$5000); 严重后果=重罪4年$15000, 均赔偿</t>
        </is>
      </c>
      <c r="G17" s="34">
        <f>IF(SUMIFS('关键词库'!$C$2:$C$1281,'关键词库'!$B$2:$B$1281,$B17)&gt;0,1,0)</f>
        <v/>
      </c>
      <c r="H17" s="34">
        <f>IF(SUMIFS('关键词库'!$D$2:$D$1281,'关键词库'!$B$2:$B$1281,$B17)&gt;0,1,0)</f>
        <v/>
      </c>
      <c r="I17" s="34">
        <f>IF(SUMIFS('关键词库'!$E$2:$E$1281,'关键词库'!$B$2:$B$1281,$B17)&gt;0,1,0)</f>
        <v/>
      </c>
      <c r="J17" s="34">
        <f>IF($G17=1,IF($J16="",$B17,$J16&amp;"、"&amp;$B17),$J16)</f>
        <v/>
      </c>
      <c r="K17" s="34">
        <f>IF($H17=1,IF($K16="",$B17,$K16&amp;"、"&amp;$B17),$K16)</f>
        <v/>
      </c>
      <c r="L17" s="34">
        <f>IF($I17=1,IF($L16="",$B17,$L16&amp;"、"&amp;$B17),$L16)</f>
        <v/>
      </c>
    </row>
    <row r="18" ht="26" customHeight="1">
      <c r="A18" s="29" t="inlineStr">
        <is>
          <t>三·财产</t>
        </is>
      </c>
      <c r="B18" s="30" t="inlineStr">
        <is>
          <t>收受赃物罪</t>
        </is>
      </c>
      <c r="C18" s="31" t="inlineStr">
        <is>
          <t>轻罪</t>
        </is>
      </c>
      <c r="D18" s="29" t="n">
        <v>24</v>
      </c>
      <c r="E18" s="32" t="n">
        <v>10000</v>
      </c>
      <c r="F18" s="33" t="inlineStr">
        <is>
          <t>默认赃值&lt;$5000(轻罪2年$10000); ≥$5000=重罪4年$20000</t>
        </is>
      </c>
      <c r="G18" s="34">
        <f>IF(SUMIFS('关键词库'!$C$2:$C$1281,'关键词库'!$B$2:$B$1281,$B18)&gt;0,1,0)</f>
        <v/>
      </c>
      <c r="H18" s="34">
        <f>IF(SUMIFS('关键词库'!$D$2:$D$1281,'关键词库'!$B$2:$B$1281,$B18)&gt;0,1,0)</f>
        <v/>
      </c>
      <c r="I18" s="34">
        <f>IF(SUMIFS('关键词库'!$E$2:$E$1281,'关键词库'!$B$2:$B$1281,$B18)&gt;0,1,0)</f>
        <v/>
      </c>
      <c r="J18" s="34">
        <f>IF($G18=1,IF($J17="",$B18,$J17&amp;"、"&amp;$B18),$J17)</f>
        <v/>
      </c>
      <c r="K18" s="34">
        <f>IF($H18=1,IF($K17="",$B18,$K17&amp;"、"&amp;$B18),$K17)</f>
        <v/>
      </c>
      <c r="L18" s="34">
        <f>IF($I18=1,IF($L17="",$B18,$L17&amp;"、"&amp;$B18),$L17)</f>
        <v/>
      </c>
    </row>
    <row r="19" ht="26" customHeight="1">
      <c r="A19" s="29" t="inlineStr">
        <is>
          <t>三·财产</t>
        </is>
      </c>
      <c r="B19" s="30" t="inlineStr">
        <is>
          <t>敲诈勒索罪</t>
        </is>
      </c>
      <c r="C19" s="35" t="inlineStr">
        <is>
          <t>重罪</t>
        </is>
      </c>
      <c r="D19" s="29" t="n">
        <v>24</v>
      </c>
      <c r="E19" s="32" t="n">
        <v>20000</v>
      </c>
      <c r="F19" s="33" t="inlineStr">
        <is>
          <t>以威胁/恐吓/滥权强迫他人交付财物</t>
        </is>
      </c>
      <c r="G19" s="34">
        <f>IF(SUMIFS('关键词库'!$C$2:$C$1281,'关键词库'!$B$2:$B$1281,$B19)&gt;0,1,0)</f>
        <v/>
      </c>
      <c r="H19" s="34">
        <f>IF(SUMIFS('关键词库'!$D$2:$D$1281,'关键词库'!$B$2:$B$1281,$B19)&gt;0,1,0)</f>
        <v/>
      </c>
      <c r="I19" s="34">
        <f>IF(SUMIFS('关键词库'!$E$2:$E$1281,'关键词库'!$B$2:$B$1281,$B19)&gt;0,1,0)</f>
        <v/>
      </c>
      <c r="J19" s="34">
        <f>IF($G19=1,IF($J18="",$B19,$J18&amp;"、"&amp;$B19),$J18)</f>
        <v/>
      </c>
      <c r="K19" s="34">
        <f>IF($H19=1,IF($K18="",$B19,$K18&amp;"、"&amp;$B19),$K18)</f>
        <v/>
      </c>
      <c r="L19" s="34">
        <f>IF($I19=1,IF($L18="",$B19,$L18&amp;"、"&amp;$B19),$L18)</f>
        <v/>
      </c>
    </row>
    <row r="20" ht="26" customHeight="1">
      <c r="A20" s="29" t="inlineStr">
        <is>
          <t>三·财产</t>
        </is>
      </c>
      <c r="B20" s="30" t="inlineStr">
        <is>
          <t>蓄意破坏罪</t>
        </is>
      </c>
      <c r="C20" s="31" t="inlineStr">
        <is>
          <t>轻罪</t>
        </is>
      </c>
      <c r="D20" s="29" t="n">
        <v>24</v>
      </c>
      <c r="E20" s="32" t="n">
        <v>25000</v>
      </c>
      <c r="F20" s="33" t="inlineStr">
        <is>
          <t>蓄意破坏他人财产/车辆, 另需赔偿</t>
        </is>
      </c>
      <c r="G20" s="34">
        <f>IF(SUMIFS('关键词库'!$C$2:$C$1281,'关键词库'!$B$2:$B$1281,$B20)&gt;0,1,0)</f>
        <v/>
      </c>
      <c r="H20" s="34">
        <f>IF(SUMIFS('关键词库'!$D$2:$D$1281,'关键词库'!$B$2:$B$1281,$B20)&gt;0,1,0)</f>
        <v/>
      </c>
      <c r="I20" s="34">
        <f>IF(SUMIFS('关键词库'!$E$2:$E$1281,'关键词库'!$B$2:$B$1281,$B20)&gt;0,1,0)</f>
        <v/>
      </c>
      <c r="J20" s="34">
        <f>IF($G20=1,IF($J19="",$B20,$J19&amp;"、"&amp;$B20),$J19)</f>
        <v/>
      </c>
      <c r="K20" s="34">
        <f>IF($H20=1,IF($K19="",$B20,$K19&amp;"、"&amp;$B20),$K19)</f>
        <v/>
      </c>
      <c r="L20" s="34">
        <f>IF($I20=1,IF($L19="",$B20,$L19&amp;"、"&amp;$B20),$L19)</f>
        <v/>
      </c>
    </row>
    <row r="21" ht="26" customHeight="1">
      <c r="A21" s="29" t="inlineStr">
        <is>
          <t>三·财产</t>
        </is>
      </c>
      <c r="B21" s="30" t="inlineStr">
        <is>
          <t>挪用公款公物罪</t>
        </is>
      </c>
      <c r="C21" s="31" t="inlineStr">
        <is>
          <t>轻罪</t>
        </is>
      </c>
      <c r="D21" s="29" t="n">
        <v>48</v>
      </c>
      <c r="E21" s="32" t="n">
        <v>80000</v>
      </c>
      <c r="F21" s="33" t="inlineStr">
        <is>
          <t>擅自挪用受托管理的财物, 另需赔偿</t>
        </is>
      </c>
      <c r="G21" s="34">
        <f>IF(SUMIFS('关键词库'!$C$2:$C$1281,'关键词库'!$B$2:$B$1281,$B21)&gt;0,1,0)</f>
        <v/>
      </c>
      <c r="H21" s="34">
        <f>IF(SUMIFS('关键词库'!$D$2:$D$1281,'关键词库'!$B$2:$B$1281,$B21)&gt;0,1,0)</f>
        <v/>
      </c>
      <c r="I21" s="34">
        <f>IF(SUMIFS('关键词库'!$E$2:$E$1281,'关键词库'!$B$2:$B$1281,$B21)&gt;0,1,0)</f>
        <v/>
      </c>
      <c r="J21" s="34">
        <f>IF($G21=1,IF($J20="",$B21,$J20&amp;"、"&amp;$B21),$J20)</f>
        <v/>
      </c>
      <c r="K21" s="34">
        <f>IF($H21=1,IF($K20="",$B21,$K20&amp;"、"&amp;$B21),$K20)</f>
        <v/>
      </c>
      <c r="L21" s="34">
        <f>IF($I21=1,IF($L20="",$B21,$L20&amp;"、"&amp;$B21),$L20)</f>
        <v/>
      </c>
    </row>
    <row r="22" ht="26" customHeight="1">
      <c r="A22" s="29" t="inlineStr">
        <is>
          <t>三·财产</t>
        </is>
      </c>
      <c r="B22" s="30" t="inlineStr">
        <is>
          <t>持有失窃物品罪</t>
        </is>
      </c>
      <c r="C22" s="31" t="inlineStr">
        <is>
          <t>轻罪</t>
        </is>
      </c>
      <c r="D22" s="29" t="n">
        <v>24</v>
      </c>
      <c r="E22" s="32" t="n">
        <v>2000</v>
      </c>
      <c r="F22" s="33" t="inlineStr">
        <is>
          <t>非法占有他人遗失/失窃财物 (1-2年), 另需赔偿</t>
        </is>
      </c>
      <c r="G22" s="34">
        <f>IF(SUMIFS('关键词库'!$C$2:$C$1281,'关键词库'!$B$2:$B$1281,$B22)&gt;0,1,0)</f>
        <v/>
      </c>
      <c r="H22" s="34">
        <f>IF(SUMIFS('关键词库'!$D$2:$D$1281,'关键词库'!$B$2:$B$1281,$B22)&gt;0,1,0)</f>
        <v/>
      </c>
      <c r="I22" s="34">
        <f>IF(SUMIFS('关键词库'!$E$2:$E$1281,'关键词库'!$B$2:$B$1281,$B22)&gt;0,1,0)</f>
        <v/>
      </c>
      <c r="J22" s="34">
        <f>IF($G22=1,IF($J21="",$B22,$J21&amp;"、"&amp;$B22),$J21)</f>
        <v/>
      </c>
      <c r="K22" s="34">
        <f>IF($H22=1,IF($K21="",$B22,$K21&amp;"、"&amp;$B22),$K21)</f>
        <v/>
      </c>
      <c r="L22" s="34">
        <f>IF($I22=1,IF($L21="",$B22,$L21&amp;"、"&amp;$B22),$L21)</f>
        <v/>
      </c>
    </row>
    <row r="23" ht="26" customHeight="1">
      <c r="A23" s="29" t="inlineStr">
        <is>
          <t>四·公德</t>
        </is>
      </c>
      <c r="B23" s="30" t="inlineStr">
        <is>
          <t>在公共场合从事淫秽行为罪</t>
        </is>
      </c>
      <c r="C23" s="31" t="inlineStr">
        <is>
          <t>轻罪</t>
        </is>
      </c>
      <c r="D23" s="29" t="n">
        <v>24</v>
      </c>
      <c r="E23" s="32" t="n">
        <v>10000</v>
      </c>
      <c r="F23" s="33" t="inlineStr">
        <is>
          <t>公开场所性行为/猥亵/招嫖 (1-2年)</t>
        </is>
      </c>
      <c r="G23" s="34">
        <f>IF(SUMIFS('关键词库'!$C$2:$C$1281,'关键词库'!$B$2:$B$1281,$B23)&gt;0,1,0)</f>
        <v/>
      </c>
      <c r="H23" s="34">
        <f>IF(SUMIFS('关键词库'!$D$2:$D$1281,'关键词库'!$B$2:$B$1281,$B23)&gt;0,1,0)</f>
        <v/>
      </c>
      <c r="I23" s="34">
        <f>IF(SUMIFS('关键词库'!$E$2:$E$1281,'关键词库'!$B$2:$B$1281,$B23)&gt;0,1,0)</f>
        <v/>
      </c>
      <c r="J23" s="34">
        <f>IF($G23=1,IF($J22="",$B23,$J22&amp;"、"&amp;$B23),$J22)</f>
        <v/>
      </c>
      <c r="K23" s="34">
        <f>IF($H23=1,IF($K22="",$B23,$K22&amp;"、"&amp;$B23),$K22)</f>
        <v/>
      </c>
      <c r="L23" s="34">
        <f>IF($I23=1,IF($L22="",$B23,$L22&amp;"、"&amp;$B23),$L22)</f>
        <v/>
      </c>
    </row>
    <row r="24" ht="26" customHeight="1">
      <c r="A24" s="29" t="inlineStr">
        <is>
          <t>四·公德</t>
        </is>
      </c>
      <c r="B24" s="30" t="inlineStr">
        <is>
          <t>组织卖淫罪</t>
        </is>
      </c>
      <c r="C24" s="35" t="inlineStr">
        <is>
          <t>重罪</t>
        </is>
      </c>
      <c r="D24" s="29" t="n">
        <v>36</v>
      </c>
      <c r="E24" s="32" t="n">
        <v>15000</v>
      </c>
      <c r="F24" s="33" t="inlineStr">
        <is>
          <t>支持/介绍/强迫他人卖淫牟利</t>
        </is>
      </c>
      <c r="G24" s="34">
        <f>IF(SUMIFS('关键词库'!$C$2:$C$1281,'关键词库'!$B$2:$B$1281,$B24)&gt;0,1,0)</f>
        <v/>
      </c>
      <c r="H24" s="34">
        <f>IF(SUMIFS('关键词库'!$D$2:$D$1281,'关键词库'!$B$2:$B$1281,$B24)&gt;0,1,0)</f>
        <v/>
      </c>
      <c r="I24" s="34">
        <f>IF(SUMIFS('关键词库'!$E$2:$E$1281,'关键词库'!$B$2:$B$1281,$B24)&gt;0,1,0)</f>
        <v/>
      </c>
      <c r="J24" s="34">
        <f>IF($G24=1,IF($J23="",$B24,$J23&amp;"、"&amp;$B24),$J23)</f>
        <v/>
      </c>
      <c r="K24" s="34">
        <f>IF($H24=1,IF($K23="",$B24,$K23&amp;"、"&amp;$B24),$K23)</f>
        <v/>
      </c>
      <c r="L24" s="34">
        <f>IF($I24=1,IF($L23="",$B24,$L23&amp;"、"&amp;$B24),$L23)</f>
        <v/>
      </c>
    </row>
    <row r="25" ht="26" customHeight="1">
      <c r="A25" s="29" t="inlineStr">
        <is>
          <t>四·公德</t>
        </is>
      </c>
      <c r="B25" s="30" t="inlineStr">
        <is>
          <t>卖淫罪</t>
        </is>
      </c>
      <c r="C25" s="31" t="inlineStr">
        <is>
          <t>轻罪</t>
        </is>
      </c>
      <c r="D25" s="29" t="n">
        <v>24</v>
      </c>
      <c r="E25" s="32" t="n">
        <v>15000</v>
      </c>
      <c r="F25" s="33" t="inlineStr">
        <is>
          <t>以性服务换取财物</t>
        </is>
      </c>
      <c r="G25" s="34">
        <f>IF(SUMIFS('关键词库'!$C$2:$C$1281,'关键词库'!$B$2:$B$1281,$B25)&gt;0,1,0)</f>
        <v/>
      </c>
      <c r="H25" s="34">
        <f>IF(SUMIFS('关键词库'!$D$2:$D$1281,'关键词库'!$B$2:$B$1281,$B25)&gt;0,1,0)</f>
        <v/>
      </c>
      <c r="I25" s="34">
        <f>IF(SUMIFS('关键词库'!$E$2:$E$1281,'关键词库'!$B$2:$B$1281,$B25)&gt;0,1,0)</f>
        <v/>
      </c>
      <c r="J25" s="34">
        <f>IF($G25=1,IF($J24="",$B25,$J24&amp;"、"&amp;$B25),$J24)</f>
        <v/>
      </c>
      <c r="K25" s="34">
        <f>IF($H25=1,IF($K24="",$B25,$K24&amp;"、"&amp;$B25),$K24)</f>
        <v/>
      </c>
      <c r="L25" s="34">
        <f>IF($I25=1,IF($L24="",$B25,$L24&amp;"、"&amp;$B25),$L24)</f>
        <v/>
      </c>
    </row>
    <row r="26" ht="26" customHeight="1">
      <c r="A26" s="29" t="inlineStr">
        <is>
          <t>四·公德</t>
        </is>
      </c>
      <c r="B26" s="30" t="inlineStr">
        <is>
          <t>强奸罪</t>
        </is>
      </c>
      <c r="C26" s="35" t="inlineStr">
        <is>
          <t>重罪</t>
        </is>
      </c>
      <c r="D26" s="29" t="n">
        <v>60</v>
      </c>
      <c r="E26" s="32" t="n">
        <v>30000</v>
      </c>
      <c r="F26" s="33" t="inlineStr">
        <is>
          <t>违背意愿强迫性行为 / 与未满18岁者发生关系</t>
        </is>
      </c>
      <c r="G26" s="34">
        <f>IF(SUMIFS('关键词库'!$C$2:$C$1281,'关键词库'!$B$2:$B$1281,$B26)&gt;0,1,0)</f>
        <v/>
      </c>
      <c r="H26" s="34">
        <f>IF(SUMIFS('关键词库'!$D$2:$D$1281,'关键词库'!$B$2:$B$1281,$B26)&gt;0,1,0)</f>
        <v/>
      </c>
      <c r="I26" s="34">
        <f>IF(SUMIFS('关键词库'!$E$2:$E$1281,'关键词库'!$B$2:$B$1281,$B26)&gt;0,1,0)</f>
        <v/>
      </c>
      <c r="J26" s="34">
        <f>IF($G26=1,IF($J25="",$B26,$J25&amp;"、"&amp;$B26),$J25)</f>
        <v/>
      </c>
      <c r="K26" s="34">
        <f>IF($H26=1,IF($K25="",$B26,$K25&amp;"、"&amp;$B26),$K25)</f>
        <v/>
      </c>
      <c r="L26" s="34">
        <f>IF($I26=1,IF($L25="",$B26,$L25&amp;"、"&amp;$B26),$L25)</f>
        <v/>
      </c>
    </row>
    <row r="27" ht="26" customHeight="1">
      <c r="A27" s="29" t="inlineStr">
        <is>
          <t>四·公德</t>
        </is>
      </c>
      <c r="B27" s="30" t="inlineStr">
        <is>
          <t>传播淫秽色情罪</t>
        </is>
      </c>
      <c r="C27" s="31" t="inlineStr">
        <is>
          <t>轻罪</t>
        </is>
      </c>
      <c r="D27" s="29" t="n">
        <v>12</v>
      </c>
      <c r="E27" s="32" t="n">
        <v>8000</v>
      </c>
      <c r="F27" s="33" t="inlineStr">
        <is>
          <t>制作/传播/贩卖淫秽色情内容</t>
        </is>
      </c>
      <c r="G27" s="34">
        <f>IF(SUMIFS('关键词库'!$C$2:$C$1281,'关键词库'!$B$2:$B$1281,$B27)&gt;0,1,0)</f>
        <v/>
      </c>
      <c r="H27" s="34">
        <f>IF(SUMIFS('关键词库'!$D$2:$D$1281,'关键词库'!$B$2:$B$1281,$B27)&gt;0,1,0)</f>
        <v/>
      </c>
      <c r="I27" s="34">
        <f>IF(SUMIFS('关键词库'!$E$2:$E$1281,'关键词库'!$B$2:$B$1281,$B27)&gt;0,1,0)</f>
        <v/>
      </c>
      <c r="J27" s="34">
        <f>IF($G27=1,IF($J26="",$B27,$J26&amp;"、"&amp;$B27),$J26)</f>
        <v/>
      </c>
      <c r="K27" s="34">
        <f>IF($H27=1,IF($K26="",$B27,$K26&amp;"、"&amp;$B27),$K26)</f>
        <v/>
      </c>
      <c r="L27" s="34">
        <f>IF($I27=1,IF($L26="",$B27,$L26&amp;"、"&amp;$B27),$L26)</f>
        <v/>
      </c>
    </row>
    <row r="28" ht="26" customHeight="1">
      <c r="A28" s="29" t="inlineStr">
        <is>
          <t>四·公德</t>
        </is>
      </c>
      <c r="B28" s="30" t="inlineStr">
        <is>
          <t>歧视罪</t>
        </is>
      </c>
      <c r="C28" s="31" t="inlineStr">
        <is>
          <t>轻罪</t>
        </is>
      </c>
      <c r="D28" s="29" t="n">
        <v>36</v>
      </c>
      <c r="E28" s="32" t="n">
        <v>30000</v>
      </c>
      <c r="F28" s="33" t="inlineStr">
        <is>
          <t>因受保护特征贬低/辱骂/歧视他人</t>
        </is>
      </c>
      <c r="G28" s="34">
        <f>IF(SUMIFS('关键词库'!$C$2:$C$1281,'关键词库'!$B$2:$B$1281,$B28)&gt;0,1,0)</f>
        <v/>
      </c>
      <c r="H28" s="34">
        <f>IF(SUMIFS('关键词库'!$D$2:$D$1281,'关键词库'!$B$2:$B$1281,$B28)&gt;0,1,0)</f>
        <v/>
      </c>
      <c r="I28" s="34">
        <f>IF(SUMIFS('关键词库'!$E$2:$E$1281,'关键词库'!$B$2:$B$1281,$B28)&gt;0,1,0)</f>
        <v/>
      </c>
      <c r="J28" s="34">
        <f>IF($G28=1,IF($J27="",$B28,$J27&amp;"、"&amp;$B28),$J27)</f>
        <v/>
      </c>
      <c r="K28" s="34">
        <f>IF($H28=1,IF($K27="",$B28,$K27&amp;"、"&amp;$B28),$K27)</f>
        <v/>
      </c>
      <c r="L28" s="34">
        <f>IF($I28=1,IF($L27="",$B28,$L27&amp;"、"&amp;$B28),$L27)</f>
        <v/>
      </c>
    </row>
    <row r="29" ht="26" customHeight="1">
      <c r="A29" s="29" t="inlineStr">
        <is>
          <t>四·公德</t>
        </is>
      </c>
      <c r="B29" s="30" t="inlineStr">
        <is>
          <t>诽谤罪</t>
        </is>
      </c>
      <c r="C29" s="31" t="inlineStr">
        <is>
          <t>轻罪</t>
        </is>
      </c>
      <c r="D29" s="29" t="n">
        <v>24</v>
      </c>
      <c r="E29" s="32" t="n">
        <v>15000</v>
      </c>
      <c r="F29" s="33" t="inlineStr">
        <is>
          <t>捏造/传播虚假信息损害名誉</t>
        </is>
      </c>
      <c r="G29" s="34">
        <f>IF(SUMIFS('关键词库'!$C$2:$C$1281,'关键词库'!$B$2:$B$1281,$B29)&gt;0,1,0)</f>
        <v/>
      </c>
      <c r="H29" s="34">
        <f>IF(SUMIFS('关键词库'!$D$2:$D$1281,'关键词库'!$B$2:$B$1281,$B29)&gt;0,1,0)</f>
        <v/>
      </c>
      <c r="I29" s="34">
        <f>IF(SUMIFS('关键词库'!$E$2:$E$1281,'关键词库'!$B$2:$B$1281,$B29)&gt;0,1,0)</f>
        <v/>
      </c>
      <c r="J29" s="34">
        <f>IF($G29=1,IF($J28="",$B29,$J28&amp;"、"&amp;$B29),$J28)</f>
        <v/>
      </c>
      <c r="K29" s="34">
        <f>IF($H29=1,IF($K28="",$B29,$K28&amp;"、"&amp;$B29),$K28)</f>
        <v/>
      </c>
      <c r="L29" s="34">
        <f>IF($I29=1,IF($L28="",$B29,$L28&amp;"、"&amp;$B29),$L28)</f>
        <v/>
      </c>
    </row>
    <row r="30" ht="26" customHeight="1">
      <c r="A30" s="29" t="inlineStr">
        <is>
          <t>五·司法</t>
        </is>
      </c>
      <c r="B30" s="30" t="inlineStr">
        <is>
          <t>行贿罪</t>
        </is>
      </c>
      <c r="C30" s="35" t="inlineStr">
        <is>
          <t>重罪</t>
        </is>
      </c>
      <c r="D30" s="29" t="n">
        <v>24</v>
      </c>
      <c r="E30" s="32" t="n">
        <v>20000</v>
      </c>
      <c r="F30" s="33" t="inlineStr">
        <is>
          <t>向政府雇员提供财物/利益以影响其职责</t>
        </is>
      </c>
      <c r="G30" s="34">
        <f>IF(SUMIFS('关键词库'!$C$2:$C$1281,'关键词库'!$B$2:$B$1281,$B30)&gt;0,1,0)</f>
        <v/>
      </c>
      <c r="H30" s="34">
        <f>IF(SUMIFS('关键词库'!$D$2:$D$1281,'关键词库'!$B$2:$B$1281,$B30)&gt;0,1,0)</f>
        <v/>
      </c>
      <c r="I30" s="34">
        <f>IF(SUMIFS('关键词库'!$E$2:$E$1281,'关键词库'!$B$2:$B$1281,$B30)&gt;0,1,0)</f>
        <v/>
      </c>
      <c r="J30" s="34">
        <f>IF($G30=1,IF($J29="",$B30,$J29&amp;"、"&amp;$B30),$J29)</f>
        <v/>
      </c>
      <c r="K30" s="34">
        <f>IF($H30=1,IF($K29="",$B30,$K29&amp;"、"&amp;$B30),$K29)</f>
        <v/>
      </c>
      <c r="L30" s="34">
        <f>IF($I30=1,IF($L29="",$B30,$L29&amp;"、"&amp;$B30),$L29)</f>
        <v/>
      </c>
    </row>
    <row r="31" ht="26" customHeight="1">
      <c r="A31" s="29" t="inlineStr">
        <is>
          <t>五·司法</t>
        </is>
      </c>
      <c r="B31" s="30" t="inlineStr">
        <is>
          <t>妨碍司法罪</t>
        </is>
      </c>
      <c r="C31" s="35" t="inlineStr">
        <is>
          <t>重罪</t>
        </is>
      </c>
      <c r="D31" s="29" t="n">
        <v>36</v>
      </c>
      <c r="E31" s="32" t="n">
        <v>15000</v>
      </c>
      <c r="F31" s="33" t="inlineStr">
        <is>
          <t>阻碍法律文书签署/分发/执行</t>
        </is>
      </c>
      <c r="G31" s="34">
        <f>IF(SUMIFS('关键词库'!$C$2:$C$1281,'关键词库'!$B$2:$B$1281,$B31)&gt;0,1,0)</f>
        <v/>
      </c>
      <c r="H31" s="34">
        <f>IF(SUMIFS('关键词库'!$D$2:$D$1281,'关键词库'!$B$2:$B$1281,$B31)&gt;0,1,0)</f>
        <v/>
      </c>
      <c r="I31" s="34">
        <f>IF(SUMIFS('关键词库'!$E$2:$E$1281,'关键词库'!$B$2:$B$1281,$B31)&gt;0,1,0)</f>
        <v/>
      </c>
      <c r="J31" s="34">
        <f>IF($G31=1,IF($J30="",$B31,$J30&amp;"、"&amp;$B31),$J30)</f>
        <v/>
      </c>
      <c r="K31" s="34">
        <f>IF($H31=1,IF($K30="",$B31,$K30&amp;"、"&amp;$B31),$K30)</f>
        <v/>
      </c>
      <c r="L31" s="34">
        <f>IF($I31=1,IF($L30="",$B31,$L30&amp;"、"&amp;$B31),$L30)</f>
        <v/>
      </c>
    </row>
    <row r="32" ht="26" customHeight="1">
      <c r="A32" s="29" t="inlineStr">
        <is>
          <t>五·司法</t>
        </is>
      </c>
      <c r="B32" s="30" t="inlineStr">
        <is>
          <t>拒绝听从执法人员命令与检查罪</t>
        </is>
      </c>
      <c r="C32" s="31" t="inlineStr">
        <is>
          <t>轻罪</t>
        </is>
      </c>
      <c r="D32" s="29" t="n">
        <v>36</v>
      </c>
      <c r="E32" s="32" t="n">
        <v>15000</v>
      </c>
      <c r="F32" s="33" t="inlineStr">
        <is>
          <t>拒绝执法人员合法命令/检查</t>
        </is>
      </c>
      <c r="G32" s="34">
        <f>IF(SUMIFS('关键词库'!$C$2:$C$1281,'关键词库'!$B$2:$B$1281,$B32)&gt;0,1,0)</f>
        <v/>
      </c>
      <c r="H32" s="34">
        <f>IF(SUMIFS('关键词库'!$D$2:$D$1281,'关键词库'!$B$2:$B$1281,$B32)&gt;0,1,0)</f>
        <v/>
      </c>
      <c r="I32" s="34">
        <f>IF(SUMIFS('关键词库'!$E$2:$E$1281,'关键词库'!$B$2:$B$1281,$B32)&gt;0,1,0)</f>
        <v/>
      </c>
      <c r="J32" s="34">
        <f>IF($G32=1,IF($J31="",$B32,$J31&amp;"、"&amp;$B32),$J31)</f>
        <v/>
      </c>
      <c r="K32" s="34">
        <f>IF($H32=1,IF($K31="",$B32,$K31&amp;"、"&amp;$B32),$K31)</f>
        <v/>
      </c>
      <c r="L32" s="34">
        <f>IF($I32=1,IF($L31="",$B32,$L31&amp;"、"&amp;$B32),$L31)</f>
        <v/>
      </c>
    </row>
    <row r="33" ht="26" customHeight="1">
      <c r="A33" s="29" t="inlineStr">
        <is>
          <t>五·司法</t>
        </is>
      </c>
      <c r="B33" s="30" t="inlineStr">
        <is>
          <t>拒绝提供身份罪</t>
        </is>
      </c>
      <c r="C33" s="31" t="inlineStr">
        <is>
          <t>轻罪</t>
        </is>
      </c>
      <c r="D33" s="29" t="n">
        <v>12</v>
      </c>
      <c r="E33" s="32" t="n">
        <v>10000</v>
      </c>
      <c r="F33" s="33" t="inlineStr">
        <is>
          <t>被扣留/逮捕后拒绝提供身份信息</t>
        </is>
      </c>
      <c r="G33" s="34">
        <f>IF(SUMIFS('关键词库'!$C$2:$C$1281,'关键词库'!$B$2:$B$1281,$B33)&gt;0,1,0)</f>
        <v/>
      </c>
      <c r="H33" s="34">
        <f>IF(SUMIFS('关键词库'!$D$2:$D$1281,'关键词库'!$B$2:$B$1281,$B33)&gt;0,1,0)</f>
        <v/>
      </c>
      <c r="I33" s="34">
        <f>IF(SUMIFS('关键词库'!$E$2:$E$1281,'关键词库'!$B$2:$B$1281,$B33)&gt;0,1,0)</f>
        <v/>
      </c>
      <c r="J33" s="34">
        <f>IF($G33=1,IF($J32="",$B33,$J32&amp;"、"&amp;$B33),$J32)</f>
        <v/>
      </c>
      <c r="K33" s="34">
        <f>IF($H33=1,IF($K32="",$B33,$K32&amp;"、"&amp;$B33),$K32)</f>
        <v/>
      </c>
      <c r="L33" s="34">
        <f>IF($I33=1,IF($L32="",$B33,$L32&amp;"、"&amp;$B33),$L32)</f>
        <v/>
      </c>
    </row>
    <row r="34" ht="26" customHeight="1">
      <c r="A34" s="29" t="inlineStr">
        <is>
          <t>五·司法</t>
        </is>
      </c>
      <c r="B34" s="30" t="inlineStr">
        <is>
          <t>破坏证据罪</t>
        </is>
      </c>
      <c r="C34" s="31" t="inlineStr">
        <is>
          <t>轻罪</t>
        </is>
      </c>
      <c r="D34" s="29" t="n">
        <v>36</v>
      </c>
      <c r="E34" s="32" t="n">
        <v>20000</v>
      </c>
      <c r="F34" s="33" t="inlineStr">
        <is>
          <t>隐瞒/销毁/篡改/伪造证据</t>
        </is>
      </c>
      <c r="G34" s="34">
        <f>IF(SUMIFS('关键词库'!$C$2:$C$1281,'关键词库'!$B$2:$B$1281,$B34)&gt;0,1,0)</f>
        <v/>
      </c>
      <c r="H34" s="34">
        <f>IF(SUMIFS('关键词库'!$D$2:$D$1281,'关键词库'!$B$2:$B$1281,$B34)&gt;0,1,0)</f>
        <v/>
      </c>
      <c r="I34" s="34">
        <f>IF(SUMIFS('关键词库'!$E$2:$E$1281,'关键词库'!$B$2:$B$1281,$B34)&gt;0,1,0)</f>
        <v/>
      </c>
      <c r="J34" s="34">
        <f>IF($G34=1,IF($J33="",$B34,$J33&amp;"、"&amp;$B34),$J33)</f>
        <v/>
      </c>
      <c r="K34" s="34">
        <f>IF($H34=1,IF($K33="",$B34,$K33&amp;"、"&amp;$B34),$K33)</f>
        <v/>
      </c>
      <c r="L34" s="34">
        <f>IF($I34=1,IF($L33="",$B34,$L33&amp;"、"&amp;$B34),$L33)</f>
        <v/>
      </c>
    </row>
    <row r="35" ht="26" customHeight="1">
      <c r="A35" s="29" t="inlineStr">
        <is>
          <t>五·司法</t>
        </is>
      </c>
      <c r="B35" s="30" t="inlineStr">
        <is>
          <t>冒充政府雇员罪</t>
        </is>
      </c>
      <c r="C35" s="35" t="inlineStr">
        <is>
          <t>重罪</t>
        </is>
      </c>
      <c r="D35" s="29" t="n">
        <v>24</v>
      </c>
      <c r="E35" s="32" t="n">
        <v>15000</v>
      </c>
      <c r="F35" s="33" t="inlineStr">
        <is>
          <t>假冒政府雇员身份(穿制服/佩戴徽章等)</t>
        </is>
      </c>
      <c r="G35" s="34">
        <f>IF(SUMIFS('关键词库'!$C$2:$C$1281,'关键词库'!$B$2:$B$1281,$B35)&gt;0,1,0)</f>
        <v/>
      </c>
      <c r="H35" s="34">
        <f>IF(SUMIFS('关键词库'!$D$2:$D$1281,'关键词库'!$B$2:$B$1281,$B35)&gt;0,1,0)</f>
        <v/>
      </c>
      <c r="I35" s="34">
        <f>IF(SUMIFS('关键词库'!$E$2:$E$1281,'关键词库'!$B$2:$B$1281,$B35)&gt;0,1,0)</f>
        <v/>
      </c>
      <c r="J35" s="34">
        <f>IF($G35=1,IF($J34="",$B35,$J34&amp;"、"&amp;$B35),$J34)</f>
        <v/>
      </c>
      <c r="K35" s="34">
        <f>IF($H35=1,IF($K34="",$B35,$K34&amp;"、"&amp;$B35),$K34)</f>
        <v/>
      </c>
      <c r="L35" s="34">
        <f>IF($I35=1,IF($L34="",$B35,$L34&amp;"、"&amp;$B35),$L34)</f>
        <v/>
      </c>
    </row>
    <row r="36" ht="26" customHeight="1">
      <c r="A36" s="29" t="inlineStr">
        <is>
          <t>五·司法</t>
        </is>
      </c>
      <c r="B36" s="30" t="inlineStr">
        <is>
          <t>虚假逮捕罪</t>
        </is>
      </c>
      <c r="C36" s="35" t="inlineStr">
        <is>
          <t>重罪</t>
        </is>
      </c>
      <c r="D36" s="29" t="n">
        <v>48</v>
      </c>
      <c r="E36" s="32" t="n">
        <v>20000</v>
      </c>
      <c r="F36" s="33" t="inlineStr">
        <is>
          <t>无法律依据以执法名义扣留/逮捕/没收(仅主管可起诉)</t>
        </is>
      </c>
      <c r="G36" s="34">
        <f>IF(SUMIFS('关键词库'!$C$2:$C$1281,'关键词库'!$B$2:$B$1281,$B36)&gt;0,1,0)</f>
        <v/>
      </c>
      <c r="H36" s="34">
        <f>IF(SUMIFS('关键词库'!$D$2:$D$1281,'关键词库'!$B$2:$B$1281,$B36)&gt;0,1,0)</f>
        <v/>
      </c>
      <c r="I36" s="34">
        <f>IF(SUMIFS('关键词库'!$E$2:$E$1281,'关键词库'!$B$2:$B$1281,$B36)&gt;0,1,0)</f>
        <v/>
      </c>
      <c r="J36" s="34">
        <f>IF($G36=1,IF($J35="",$B36,$J35&amp;"、"&amp;$B36),$J35)</f>
        <v/>
      </c>
      <c r="K36" s="34">
        <f>IF($H36=1,IF($K35="",$B36,$K35&amp;"、"&amp;$B36),$K35)</f>
        <v/>
      </c>
      <c r="L36" s="34">
        <f>IF($I36=1,IF($L35="",$B36,$L35&amp;"、"&amp;$B36),$L35)</f>
        <v/>
      </c>
    </row>
    <row r="37" ht="26" customHeight="1">
      <c r="A37" s="29" t="inlineStr">
        <is>
          <t>五·司法</t>
        </is>
      </c>
      <c r="B37" s="30" t="inlineStr">
        <is>
          <t>伪证罪</t>
        </is>
      </c>
      <c r="C37" s="35" t="inlineStr">
        <is>
          <t>重罪</t>
        </is>
      </c>
      <c r="D37" s="29" t="n">
        <v>48</v>
      </c>
      <c r="E37" s="32" t="n">
        <v>25000</v>
      </c>
      <c r="F37" s="33" t="inlineStr">
        <is>
          <t>司法程序中提供虚假证言/信息</t>
        </is>
      </c>
      <c r="G37" s="34">
        <f>IF(SUMIFS('关键词库'!$C$2:$C$1281,'关键词库'!$B$2:$B$1281,$B37)&gt;0,1,0)</f>
        <v/>
      </c>
      <c r="H37" s="34">
        <f>IF(SUMIFS('关键词库'!$D$2:$D$1281,'关键词库'!$B$2:$B$1281,$B37)&gt;0,1,0)</f>
        <v/>
      </c>
      <c r="I37" s="34">
        <f>IF(SUMIFS('关键词库'!$E$2:$E$1281,'关键词库'!$B$2:$B$1281,$B37)&gt;0,1,0)</f>
        <v/>
      </c>
      <c r="J37" s="34">
        <f>IF($G37=1,IF($J36="",$B37,$J36&amp;"、"&amp;$B37),$J36)</f>
        <v/>
      </c>
      <c r="K37" s="34">
        <f>IF($H37=1,IF($K36="",$B37,$K36&amp;"、"&amp;$B37),$K36)</f>
        <v/>
      </c>
      <c r="L37" s="34">
        <f>IF($I37=1,IF($L36="",$B37,$L36&amp;"、"&amp;$B37),$L36)</f>
        <v/>
      </c>
    </row>
    <row r="38" ht="26" customHeight="1">
      <c r="A38" s="29" t="inlineStr">
        <is>
          <t>五·司法</t>
        </is>
      </c>
      <c r="B38" s="30" t="inlineStr">
        <is>
          <t>冒充律师罪</t>
        </is>
      </c>
      <c r="C38" s="31" t="inlineStr">
        <is>
          <t>轻罪</t>
        </is>
      </c>
      <c r="D38" s="29" t="n">
        <v>36</v>
      </c>
      <c r="E38" s="32" t="n">
        <v>15000</v>
      </c>
      <c r="F38" s="33" t="inlineStr">
        <is>
          <t>未经认证从事律师业务/假扮律师</t>
        </is>
      </c>
      <c r="G38" s="34">
        <f>IF(SUMIFS('关键词库'!$C$2:$C$1281,'关键词库'!$B$2:$B$1281,$B38)&gt;0,1,0)</f>
        <v/>
      </c>
      <c r="H38" s="34">
        <f>IF(SUMIFS('关键词库'!$D$2:$D$1281,'关键词库'!$B$2:$B$1281,$B38)&gt;0,1,0)</f>
        <v/>
      </c>
      <c r="I38" s="34">
        <f>IF(SUMIFS('关键词库'!$E$2:$E$1281,'关键词库'!$B$2:$B$1281,$B38)&gt;0,1,0)</f>
        <v/>
      </c>
      <c r="J38" s="34">
        <f>IF($G38=1,IF($J37="",$B38,$J37&amp;"、"&amp;$B38),$J37)</f>
        <v/>
      </c>
      <c r="K38" s="34">
        <f>IF($H38=1,IF($K37="",$B38,$K37&amp;"、"&amp;$B38),$K37)</f>
        <v/>
      </c>
      <c r="L38" s="34">
        <f>IF($I38=1,IF($L37="",$B38,$L37&amp;"、"&amp;$B38),$L37)</f>
        <v/>
      </c>
    </row>
    <row r="39" ht="26" customHeight="1">
      <c r="A39" s="29" t="inlineStr">
        <is>
          <t>五·司法</t>
        </is>
      </c>
      <c r="B39" s="30" t="inlineStr">
        <is>
          <t>妨碍政府雇员执行公务罪</t>
        </is>
      </c>
      <c r="C39" s="35" t="inlineStr">
        <is>
          <t>重罪</t>
        </is>
      </c>
      <c r="D39" s="29" t="n">
        <v>36</v>
      </c>
      <c r="E39" s="32" t="n">
        <v>15000</v>
      </c>
      <c r="F39" s="33" t="inlineStr">
        <is>
          <t>抵抗/延误/阻碍执法/消防/急救/司法人员执行职责</t>
        </is>
      </c>
      <c r="G39" s="34">
        <f>IF(SUMIFS('关键词库'!$C$2:$C$1281,'关键词库'!$B$2:$B$1281,$B39)&gt;0,1,0)</f>
        <v/>
      </c>
      <c r="H39" s="34">
        <f>IF(SUMIFS('关键词库'!$D$2:$D$1281,'关键词库'!$B$2:$B$1281,$B39)&gt;0,1,0)</f>
        <v/>
      </c>
      <c r="I39" s="34">
        <f>IF(SUMIFS('关键词库'!$E$2:$E$1281,'关键词库'!$B$2:$B$1281,$B39)&gt;0,1,0)</f>
        <v/>
      </c>
      <c r="J39" s="34">
        <f>IF($G39=1,IF($J38="",$B39,$J38&amp;"、"&amp;$B39),$J38)</f>
        <v/>
      </c>
      <c r="K39" s="34">
        <f>IF($H39=1,IF($K38="",$B39,$K38&amp;"、"&amp;$B39),$K38)</f>
        <v/>
      </c>
      <c r="L39" s="34">
        <f>IF($I39=1,IF($L38="",$B39,$L38&amp;"、"&amp;$B39),$L38)</f>
        <v/>
      </c>
    </row>
    <row r="40" ht="26" customHeight="1">
      <c r="A40" s="29" t="inlineStr">
        <is>
          <t>五·司法</t>
        </is>
      </c>
      <c r="B40" s="30" t="inlineStr">
        <is>
          <t>拒捕罪</t>
        </is>
      </c>
      <c r="C40" s="35" t="inlineStr">
        <is>
          <t>重罪</t>
        </is>
      </c>
      <c r="D40" s="29" t="n">
        <v>36</v>
      </c>
      <c r="E40" s="32" t="n">
        <v>15000</v>
      </c>
      <c r="F40" s="33" t="inlineStr">
        <is>
          <t>逮捕/追捕时以任何方式拒绝、抗拒或逃避逮捕（人尚未被捕）</t>
        </is>
      </c>
      <c r="G40" s="34">
        <f>IF(SUMIFS('关键词库'!$C$2:$C$1281,'关键词库'!$B$2:$B$1281,$B40)&gt;0,1,0)</f>
        <v/>
      </c>
      <c r="H40" s="34">
        <f>IF(SUMIFS('关键词库'!$D$2:$D$1281,'关键词库'!$B$2:$B$1281,$B40)&gt;0,1,0)</f>
        <v/>
      </c>
      <c r="I40" s="34">
        <f>IF(SUMIFS('关键词库'!$E$2:$E$1281,'关键词库'!$B$2:$B$1281,$B40)&gt;0,1,0)</f>
        <v/>
      </c>
      <c r="J40" s="34">
        <f>IF($G40=1,IF($J39="",$B40,$J39&amp;"、"&amp;$B40),$J39)</f>
        <v/>
      </c>
      <c r="K40" s="34">
        <f>IF($H40=1,IF($K39="",$B40,$K39&amp;"、"&amp;$B40),$K39)</f>
        <v/>
      </c>
      <c r="L40" s="34">
        <f>IF($I40=1,IF($L39="",$B40,$L39&amp;"、"&amp;$B40),$L39)</f>
        <v/>
      </c>
    </row>
    <row r="41" ht="26" customHeight="1">
      <c r="A41" s="29" t="inlineStr">
        <is>
          <t>五·司法</t>
        </is>
      </c>
      <c r="B41" s="30" t="inlineStr">
        <is>
          <t>逃避羁押罪</t>
        </is>
      </c>
      <c r="C41" s="35" t="inlineStr">
        <is>
          <t>重罪</t>
        </is>
      </c>
      <c r="D41" s="29" t="n">
        <v>36</v>
      </c>
      <c r="E41" s="32" t="n">
        <v>10000</v>
      </c>
      <c r="F41" s="33" t="inlineStr">
        <is>
          <t>★须先被抓到(已逮捕/拘留)后再从监护中逃脱才算；当场逃跑、没抓到不算(那是拒捕罪)</t>
        </is>
      </c>
      <c r="G41" s="34">
        <f>IF(SUMIFS('关键词库'!$C$2:$C$1281,'关键词库'!$B$2:$B$1281,$B41)&gt;0,1,0)</f>
        <v/>
      </c>
      <c r="H41" s="34">
        <f>IF(SUMIFS('关键词库'!$D$2:$D$1281,'关键词库'!$B$2:$B$1281,$B41)&gt;0,1,0)</f>
        <v/>
      </c>
      <c r="I41" s="34">
        <f>IF(SUMIFS('关键词库'!$E$2:$E$1281,'关键词库'!$B$2:$B$1281,$B41)&gt;0,1,0)</f>
        <v/>
      </c>
      <c r="J41" s="34">
        <f>IF($G41=1,IF($J40="",$B41,$J40&amp;"、"&amp;$B41),$J40)</f>
        <v/>
      </c>
      <c r="K41" s="34">
        <f>IF($H41=1,IF($K40="",$B41,$K40&amp;"、"&amp;$B41),$K40)</f>
        <v/>
      </c>
      <c r="L41" s="34">
        <f>IF($I41=1,IF($L40="",$B41,$L40&amp;"、"&amp;$B41),$L40)</f>
        <v/>
      </c>
    </row>
    <row r="42" ht="26" customHeight="1">
      <c r="A42" s="29" t="inlineStr">
        <is>
          <t>五·司法</t>
        </is>
      </c>
      <c r="B42" s="30" t="inlineStr">
        <is>
          <t>藐视法庭罪</t>
        </is>
      </c>
      <c r="C42" s="35" t="inlineStr">
        <is>
          <t>重罪</t>
        </is>
      </c>
      <c r="D42" s="29" t="n">
        <v>48</v>
      </c>
      <c r="E42" s="32" t="n">
        <v>25000</v>
      </c>
      <c r="F42" s="33" t="inlineStr">
        <is>
          <t>扰乱法庭秩序/无视法庭命令(须法官当庭宣布)</t>
        </is>
      </c>
      <c r="G42" s="34">
        <f>IF(SUMIFS('关键词库'!$C$2:$C$1281,'关键词库'!$B$2:$B$1281,$B42)&gt;0,1,0)</f>
        <v/>
      </c>
      <c r="H42" s="34">
        <f>IF(SUMIFS('关键词库'!$D$2:$D$1281,'关键词库'!$B$2:$B$1281,$B42)&gt;0,1,0)</f>
        <v/>
      </c>
      <c r="I42" s="34">
        <f>IF(SUMIFS('关键词库'!$E$2:$E$1281,'关键词库'!$B$2:$B$1281,$B42)&gt;0,1,0)</f>
        <v/>
      </c>
      <c r="J42" s="34">
        <f>IF($G42=1,IF($J41="",$B42,$J41&amp;"、"&amp;$B42),$J41)</f>
        <v/>
      </c>
      <c r="K42" s="34">
        <f>IF($H42=1,IF($K41="",$B42,$K41&amp;"、"&amp;$B42),$K41)</f>
        <v/>
      </c>
      <c r="L42" s="34">
        <f>IF($I42=1,IF($L41="",$B42,$L41&amp;"、"&amp;$B42),$L41)</f>
        <v/>
      </c>
    </row>
    <row r="43" ht="26" customHeight="1">
      <c r="A43" s="29" t="inlineStr">
        <is>
          <t>五·司法</t>
        </is>
      </c>
      <c r="B43" s="30" t="inlineStr">
        <is>
          <t>恶意占用公共资源罪</t>
        </is>
      </c>
      <c r="C43" s="31" t="inlineStr">
        <is>
          <t>轻罪</t>
        </is>
      </c>
      <c r="D43" s="29" t="n">
        <v>12</v>
      </c>
      <c r="E43" s="32" t="n">
        <v>5000</v>
      </c>
      <c r="F43" s="33" t="inlineStr">
        <is>
          <t>非紧急/恶意占用政府紧急热线</t>
        </is>
      </c>
      <c r="G43" s="34">
        <f>IF(SUMIFS('关键词库'!$C$2:$C$1281,'关键词库'!$B$2:$B$1281,$B43)&gt;0,1,0)</f>
        <v/>
      </c>
      <c r="H43" s="34">
        <f>IF(SUMIFS('关键词库'!$D$2:$D$1281,'关键词库'!$B$2:$B$1281,$B43)&gt;0,1,0)</f>
        <v/>
      </c>
      <c r="I43" s="34">
        <f>IF(SUMIFS('关键词库'!$E$2:$E$1281,'关键词库'!$B$2:$B$1281,$B43)&gt;0,1,0)</f>
        <v/>
      </c>
      <c r="J43" s="34">
        <f>IF($G43=1,IF($J42="",$B43,$J42&amp;"、"&amp;$B43),$J42)</f>
        <v/>
      </c>
      <c r="K43" s="34">
        <f>IF($H43=1,IF($K42="",$B43,$K42&amp;"、"&amp;$B43),$K42)</f>
        <v/>
      </c>
      <c r="L43" s="34">
        <f>IF($I43=1,IF($L42="",$B43,$L42&amp;"、"&amp;$B43),$L42)</f>
        <v/>
      </c>
    </row>
    <row r="44" ht="26" customHeight="1">
      <c r="A44" s="29" t="inlineStr">
        <is>
          <t>五·司法</t>
        </is>
      </c>
      <c r="B44" s="30" t="inlineStr">
        <is>
          <t>未经许可进入封闭紧急区域罪</t>
        </is>
      </c>
      <c r="C44" s="31" t="inlineStr">
        <is>
          <t>轻罪</t>
        </is>
      </c>
      <c r="D44" s="29" t="n">
        <v>12</v>
      </c>
      <c r="E44" s="32" t="n">
        <v>15000</v>
      </c>
      <c r="F44" s="33" t="inlineStr">
        <is>
          <t>未经授权进入被警戒线封闭的紧急区域</t>
        </is>
      </c>
      <c r="G44" s="34">
        <f>IF(SUMIFS('关键词库'!$C$2:$C$1281,'关键词库'!$B$2:$B$1281,$B44)&gt;0,1,0)</f>
        <v/>
      </c>
      <c r="H44" s="34">
        <f>IF(SUMIFS('关键词库'!$D$2:$D$1281,'关键词库'!$B$2:$B$1281,$B44)&gt;0,1,0)</f>
        <v/>
      </c>
      <c r="I44" s="34">
        <f>IF(SUMIFS('关键词库'!$E$2:$E$1281,'关键词库'!$B$2:$B$1281,$B44)&gt;0,1,0)</f>
        <v/>
      </c>
      <c r="J44" s="34">
        <f>IF($G44=1,IF($J43="",$B44,$J43&amp;"、"&amp;$B44),$J43)</f>
        <v/>
      </c>
      <c r="K44" s="34">
        <f>IF($H44=1,IF($K43="",$B44,$K43&amp;"、"&amp;$B44),$K43)</f>
        <v/>
      </c>
      <c r="L44" s="34">
        <f>IF($I44=1,IF($L43="",$B44,$L43&amp;"、"&amp;$B44),$L43)</f>
        <v/>
      </c>
    </row>
    <row r="45" ht="26" customHeight="1">
      <c r="A45" s="29" t="inlineStr">
        <is>
          <t>五·司法</t>
        </is>
      </c>
      <c r="B45" s="30" t="inlineStr">
        <is>
          <t>袭警罪</t>
        </is>
      </c>
      <c r="C45" s="35" t="inlineStr">
        <is>
          <t>重罪</t>
        </is>
      </c>
      <c r="D45" s="29" t="n">
        <v>48</v>
      </c>
      <c r="E45" s="32" t="n">
        <v>25000</v>
      </c>
      <c r="F45" s="33" t="inlineStr">
        <is>
          <t>袭击/伤害警务人员/警车/警犬</t>
        </is>
      </c>
      <c r="G45" s="34">
        <f>IF(SUMIFS('关键词库'!$C$2:$C$1281,'关键词库'!$B$2:$B$1281,$B45)&gt;0,1,0)</f>
        <v/>
      </c>
      <c r="H45" s="34">
        <f>IF(SUMIFS('关键词库'!$D$2:$D$1281,'关键词库'!$B$2:$B$1281,$B45)&gt;0,1,0)</f>
        <v/>
      </c>
      <c r="I45" s="34">
        <f>IF(SUMIFS('关键词库'!$E$2:$E$1281,'关键词库'!$B$2:$B$1281,$B45)&gt;0,1,0)</f>
        <v/>
      </c>
      <c r="J45" s="34">
        <f>IF($G45=1,IF($J44="",$B45,$J44&amp;"、"&amp;$B45),$J44)</f>
        <v/>
      </c>
      <c r="K45" s="34">
        <f>IF($H45=1,IF($K44="",$B45,$K44&amp;"、"&amp;$B45),$K44)</f>
        <v/>
      </c>
      <c r="L45" s="34">
        <f>IF($I45=1,IF($L44="",$B45,$L44&amp;"、"&amp;$B45),$L44)</f>
        <v/>
      </c>
    </row>
    <row r="46" ht="26" customHeight="1">
      <c r="A46" s="29" t="inlineStr">
        <is>
          <t>六·秩序</t>
        </is>
      </c>
      <c r="B46" s="30" t="inlineStr">
        <is>
          <t>扰乱治安罪</t>
        </is>
      </c>
      <c r="C46" s="31" t="inlineStr">
        <is>
          <t>轻罪</t>
        </is>
      </c>
      <c r="D46" s="29" t="n">
        <v>12</v>
      </c>
      <c r="E46" s="32" t="n">
        <v>5000</v>
      </c>
      <c r="F46" s="33" t="inlineStr">
        <is>
          <t>公共场所挑衅/扰乱/冒犯性言语</t>
        </is>
      </c>
      <c r="G46" s="34">
        <f>IF(SUMIFS('关键词库'!$C$2:$C$1281,'关键词库'!$B$2:$B$1281,$B46)&gt;0,1,0)</f>
        <v/>
      </c>
      <c r="H46" s="34">
        <f>IF(SUMIFS('关键词库'!$D$2:$D$1281,'关键词库'!$B$2:$B$1281,$B46)&gt;0,1,0)</f>
        <v/>
      </c>
      <c r="I46" s="34">
        <f>IF(SUMIFS('关键词库'!$E$2:$E$1281,'关键词库'!$B$2:$B$1281,$B46)&gt;0,1,0)</f>
        <v/>
      </c>
      <c r="J46" s="34">
        <f>IF($G46=1,IF($J45="",$B46,$J45&amp;"、"&amp;$B46),$J45)</f>
        <v/>
      </c>
      <c r="K46" s="34">
        <f>IF($H46=1,IF($K45="",$B46,$K45&amp;"、"&amp;$B46),$K45)</f>
        <v/>
      </c>
      <c r="L46" s="34">
        <f>IF($I46=1,IF($L45="",$B46,$L45&amp;"、"&amp;$B46),$L45)</f>
        <v/>
      </c>
    </row>
    <row r="47" ht="26" customHeight="1">
      <c r="A47" s="29" t="inlineStr">
        <is>
          <t>六·秩序</t>
        </is>
      </c>
      <c r="B47" s="30" t="inlineStr">
        <is>
          <t>非法集会罪</t>
        </is>
      </c>
      <c r="C47" s="31" t="inlineStr">
        <is>
          <t>轻罪</t>
        </is>
      </c>
      <c r="D47" s="29" t="n">
        <v>12</v>
      </c>
      <c r="E47" s="32" t="n">
        <v>20000</v>
      </c>
      <c r="F47" s="33" t="inlineStr">
        <is>
          <t>两人以上聚集引发骚乱/非法行动</t>
        </is>
      </c>
      <c r="G47" s="34">
        <f>IF(SUMIFS('关键词库'!$C$2:$C$1281,'关键词库'!$B$2:$B$1281,$B47)&gt;0,1,0)</f>
        <v/>
      </c>
      <c r="H47" s="34">
        <f>IF(SUMIFS('关键词库'!$D$2:$D$1281,'关键词库'!$B$2:$B$1281,$B47)&gt;0,1,0)</f>
        <v/>
      </c>
      <c r="I47" s="34">
        <f>IF(SUMIFS('关键词库'!$E$2:$E$1281,'关键词库'!$B$2:$B$1281,$B47)&gt;0,1,0)</f>
        <v/>
      </c>
      <c r="J47" s="34">
        <f>IF($G47=1,IF($J46="",$B47,$J46&amp;"、"&amp;$B47),$J46)</f>
        <v/>
      </c>
      <c r="K47" s="34">
        <f>IF($H47=1,IF($K46="",$B47,$K46&amp;"、"&amp;$B47),$K46)</f>
        <v/>
      </c>
      <c r="L47" s="34">
        <f>IF($I47=1,IF($L46="",$B47,$L46&amp;"、"&amp;$B47),$L46)</f>
        <v/>
      </c>
    </row>
    <row r="48" ht="26" customHeight="1">
      <c r="A48" s="29" t="inlineStr">
        <is>
          <t>六·秩序</t>
        </is>
      </c>
      <c r="B48" s="30" t="inlineStr">
        <is>
          <t>煽动暴乱罪</t>
        </is>
      </c>
      <c r="C48" s="35" t="inlineStr">
        <is>
          <t>重罪</t>
        </is>
      </c>
      <c r="D48" s="29" t="n">
        <v>48</v>
      </c>
      <c r="E48" s="32" t="n">
        <v>0</v>
      </c>
      <c r="F48" s="33" t="inlineStr">
        <is>
          <t>意图引起暴乱/鼓励他人暴力破坏(仅监禁)</t>
        </is>
      </c>
      <c r="G48" s="34">
        <f>IF(SUMIFS('关键词库'!$C$2:$C$1281,'关键词库'!$B$2:$B$1281,$B48)&gt;0,1,0)</f>
        <v/>
      </c>
      <c r="H48" s="34">
        <f>IF(SUMIFS('关键词库'!$D$2:$D$1281,'关键词库'!$B$2:$B$1281,$B48)&gt;0,1,0)</f>
        <v/>
      </c>
      <c r="I48" s="34">
        <f>IF(SUMIFS('关键词库'!$E$2:$E$1281,'关键词库'!$B$2:$B$1281,$B48)&gt;0,1,0)</f>
        <v/>
      </c>
      <c r="J48" s="34">
        <f>IF($G48=1,IF($J47="",$B48,$J47&amp;"、"&amp;$B48),$J47)</f>
        <v/>
      </c>
      <c r="K48" s="34">
        <f>IF($H48=1,IF($K47="",$B48,$K47&amp;"、"&amp;$B48),$K47)</f>
        <v/>
      </c>
      <c r="L48" s="34">
        <f>IF($I48=1,IF($L47="",$B48,$L47&amp;"、"&amp;$B48),$L47)</f>
        <v/>
      </c>
    </row>
    <row r="49" ht="26" customHeight="1">
      <c r="A49" s="29" t="inlineStr">
        <is>
          <t>六·秩序</t>
        </is>
      </c>
      <c r="B49" s="30" t="inlineStr">
        <is>
          <t>遮挡面部罪</t>
        </is>
      </c>
      <c r="C49" s="31" t="inlineStr">
        <is>
          <t>轻罪</t>
        </is>
      </c>
      <c r="D49" s="29" t="n">
        <v>24</v>
      </c>
      <c r="E49" s="32" t="n">
        <v>5000</v>
      </c>
      <c r="F49" s="33" t="inlineStr">
        <is>
          <t>遮面拒揭 / 犯罪过程中遮面(节庆等除外)</t>
        </is>
      </c>
      <c r="G49" s="34">
        <f>IF(SUMIFS('关键词库'!$C$2:$C$1281,'关键词库'!$B$2:$B$1281,$B49)&gt;0,1,0)</f>
        <v/>
      </c>
      <c r="H49" s="34">
        <f>IF(SUMIFS('关键词库'!$D$2:$D$1281,'关键词库'!$B$2:$B$1281,$B49)&gt;0,1,0)</f>
        <v/>
      </c>
      <c r="I49" s="34">
        <f>IF(SUMIFS('关键词库'!$E$2:$E$1281,'关键词库'!$B$2:$B$1281,$B49)&gt;0,1,0)</f>
        <v/>
      </c>
      <c r="J49" s="34">
        <f>IF($G49=1,IF($J48="",$B49,$J48&amp;"、"&amp;$B49),$J48)</f>
        <v/>
      </c>
      <c r="K49" s="34">
        <f>IF($H49=1,IF($K48="",$B49,$K48&amp;"、"&amp;$B49),$K48)</f>
        <v/>
      </c>
      <c r="L49" s="34">
        <f>IF($I49=1,IF($L48="",$B49,$L48&amp;"、"&amp;$B49),$L48)</f>
        <v/>
      </c>
    </row>
    <row r="50" ht="26" customHeight="1">
      <c r="A50" s="29" t="inlineStr">
        <is>
          <t>七·热武器</t>
        </is>
      </c>
      <c r="B50" s="30" t="inlineStr">
        <is>
          <t>非法持有热武器罪</t>
        </is>
      </c>
      <c r="C50" s="35" t="inlineStr">
        <is>
          <t>重罪</t>
        </is>
      </c>
      <c r="D50" s="29" t="n">
        <v>24</v>
      </c>
      <c r="E50" s="32" t="n">
        <v>15000</v>
      </c>
      <c r="F50" s="33" t="inlineStr">
        <is>
          <t>无证/非法持有枪支/爆炸物(执法公务除外)</t>
        </is>
      </c>
      <c r="G50" s="34">
        <f>IF(SUMIFS('关键词库'!$C$2:$C$1281,'关键词库'!$B$2:$B$1281,$B50)&gt;0,1,0)</f>
        <v/>
      </c>
      <c r="H50" s="34">
        <f>IF(SUMIFS('关键词库'!$D$2:$D$1281,'关键词库'!$B$2:$B$1281,$B50)&gt;0,1,0)</f>
        <v/>
      </c>
      <c r="I50" s="34">
        <f>IF(SUMIFS('关键词库'!$E$2:$E$1281,'关键词库'!$B$2:$B$1281,$B50)&gt;0,1,0)</f>
        <v/>
      </c>
      <c r="J50" s="34">
        <f>IF($G50=1,IF($J49="",$B50,$J49&amp;"、"&amp;$B50),$J49)</f>
        <v/>
      </c>
      <c r="K50" s="34">
        <f>IF($H50=1,IF($K49="",$B50,$K49&amp;"、"&amp;$B50),$K49)</f>
        <v/>
      </c>
      <c r="L50" s="34">
        <f>IF($I50=1,IF($L49="",$B50,$L49&amp;"、"&amp;$B50),$L49)</f>
        <v/>
      </c>
    </row>
    <row r="51" ht="26" customHeight="1">
      <c r="A51" s="29" t="inlineStr">
        <is>
          <t>七·热武器</t>
        </is>
      </c>
      <c r="B51" s="30" t="inlineStr">
        <is>
          <t>非法展示热武器罪</t>
        </is>
      </c>
      <c r="C51" s="31" t="inlineStr">
        <is>
          <t>轻罪</t>
        </is>
      </c>
      <c r="D51" s="29" t="n">
        <v>12</v>
      </c>
      <c r="E51" s="32" t="n">
        <v>8000</v>
      </c>
      <c r="F51" s="33" t="inlineStr">
        <is>
          <t>公共场所公开携带/挥舞展示武器</t>
        </is>
      </c>
      <c r="G51" s="34">
        <f>IF(SUMIFS('关键词库'!$C$2:$C$1281,'关键词库'!$B$2:$B$1281,$B51)&gt;0,1,0)</f>
        <v/>
      </c>
      <c r="H51" s="34">
        <f>IF(SUMIFS('关键词库'!$D$2:$D$1281,'关键词库'!$B$2:$B$1281,$B51)&gt;0,1,0)</f>
        <v/>
      </c>
      <c r="I51" s="34">
        <f>IF(SUMIFS('关键词库'!$E$2:$E$1281,'关键词库'!$B$2:$B$1281,$B51)&gt;0,1,0)</f>
        <v/>
      </c>
      <c r="J51" s="34">
        <f>IF($G51=1,IF($J50="",$B51,$J50&amp;"、"&amp;$B51),$J50)</f>
        <v/>
      </c>
      <c r="K51" s="34">
        <f>IF($H51=1,IF($K50="",$B51,$K50&amp;"、"&amp;$B51),$K50)</f>
        <v/>
      </c>
      <c r="L51" s="34">
        <f>IF($I51=1,IF($L50="",$B51,$L50&amp;"、"&amp;$B51),$L50)</f>
        <v/>
      </c>
    </row>
    <row r="52" ht="26" customHeight="1">
      <c r="A52" s="29" t="inlineStr">
        <is>
          <t>七·热武器</t>
        </is>
      </c>
      <c r="B52" s="30" t="inlineStr">
        <is>
          <t>非法使用热武器罪</t>
        </is>
      </c>
      <c r="C52" s="35" t="inlineStr">
        <is>
          <t>重罪</t>
        </is>
      </c>
      <c r="D52" s="29" t="n">
        <v>24</v>
      </c>
      <c r="E52" s="32" t="n">
        <v>15000</v>
      </c>
      <c r="F52" s="33" t="inlineStr">
        <is>
          <t>鲁莽/蓄意/威胁公共安全方式开枪</t>
        </is>
      </c>
      <c r="G52" s="34">
        <f>IF(SUMIFS('关键词库'!$C$2:$C$1281,'关键词库'!$B$2:$B$1281,$B52)&gt;0,1,0)</f>
        <v/>
      </c>
      <c r="H52" s="34">
        <f>IF(SUMIFS('关键词库'!$D$2:$D$1281,'关键词库'!$B$2:$B$1281,$B52)&gt;0,1,0)</f>
        <v/>
      </c>
      <c r="I52" s="34">
        <f>IF(SUMIFS('关键词库'!$E$2:$E$1281,'关键词库'!$B$2:$B$1281,$B52)&gt;0,1,0)</f>
        <v/>
      </c>
      <c r="J52" s="34">
        <f>IF($G52=1,IF($J51="",$B52,$J51&amp;"、"&amp;$B52),$J51)</f>
        <v/>
      </c>
      <c r="K52" s="34">
        <f>IF($H52=1,IF($K51="",$B52,$K51&amp;"、"&amp;$B52),$K51)</f>
        <v/>
      </c>
      <c r="L52" s="34">
        <f>IF($I52=1,IF($L51="",$B52,$L51&amp;"、"&amp;$B52),$L51)</f>
        <v/>
      </c>
    </row>
    <row r="53" ht="26" customHeight="1">
      <c r="A53" s="29" t="inlineStr">
        <is>
          <t>七·热武器</t>
        </is>
      </c>
      <c r="B53" s="30" t="inlineStr">
        <is>
          <t>非法贩卖武器罪</t>
        </is>
      </c>
      <c r="C53" s="35" t="inlineStr">
        <is>
          <t>重罪</t>
        </is>
      </c>
      <c r="D53" s="29" t="n">
        <v>48</v>
      </c>
      <c r="E53" s="32" t="n">
        <v>25000</v>
      </c>
      <c r="F53" s="33" t="inlineStr">
        <is>
          <t>贩卖/转让/出售非法或未认证武器</t>
        </is>
      </c>
      <c r="G53" s="34">
        <f>IF(SUMIFS('关键词库'!$C$2:$C$1281,'关键词库'!$B$2:$B$1281,$B53)&gt;0,1,0)</f>
        <v/>
      </c>
      <c r="H53" s="34">
        <f>IF(SUMIFS('关键词库'!$D$2:$D$1281,'关键词库'!$B$2:$B$1281,$B53)&gt;0,1,0)</f>
        <v/>
      </c>
      <c r="I53" s="34">
        <f>IF(SUMIFS('关键词库'!$E$2:$E$1281,'关键词库'!$B$2:$B$1281,$B53)&gt;0,1,0)</f>
        <v/>
      </c>
      <c r="J53" s="34">
        <f>IF($G53=1,IF($J52="",$B53,$J52&amp;"、"&amp;$B53),$J52)</f>
        <v/>
      </c>
      <c r="K53" s="34">
        <f>IF($H53=1,IF($K52="",$B53,$K52&amp;"、"&amp;$B53),$K52)</f>
        <v/>
      </c>
      <c r="L53" s="34">
        <f>IF($I53=1,IF($L52="",$B53,$L52&amp;"、"&amp;$B53),$L52)</f>
        <v/>
      </c>
    </row>
    <row r="54" ht="26" customHeight="1">
      <c r="A54" s="29" t="inlineStr">
        <is>
          <t>七·热武器</t>
        </is>
      </c>
      <c r="B54" s="30" t="inlineStr">
        <is>
          <t>走私罪</t>
        </is>
      </c>
      <c r="C54" s="35" t="inlineStr">
        <is>
          <t>重罪</t>
        </is>
      </c>
      <c r="D54" s="29" t="n">
        <v>48</v>
      </c>
      <c r="E54" s="32" t="n">
        <v>30000</v>
      </c>
      <c r="F54" s="33" t="inlineStr">
        <is>
          <t>非法运输/转让武器爆炸物 / 参与军火走私</t>
        </is>
      </c>
      <c r="G54" s="34">
        <f>IF(SUMIFS('关键词库'!$C$2:$C$1281,'关键词库'!$B$2:$B$1281,$B54)&gt;0,1,0)</f>
        <v/>
      </c>
      <c r="H54" s="34">
        <f>IF(SUMIFS('关键词库'!$D$2:$D$1281,'关键词库'!$B$2:$B$1281,$B54)&gt;0,1,0)</f>
        <v/>
      </c>
      <c r="I54" s="34">
        <f>IF(SUMIFS('关键词库'!$E$2:$E$1281,'关键词库'!$B$2:$B$1281,$B54)&gt;0,1,0)</f>
        <v/>
      </c>
      <c r="J54" s="34">
        <f>IF($G54=1,IF($J53="",$B54,$J53&amp;"、"&amp;$B54),$J53)</f>
        <v/>
      </c>
      <c r="K54" s="34">
        <f>IF($H54=1,IF($K53="",$B54,$K53&amp;"、"&amp;$B54),$K53)</f>
        <v/>
      </c>
      <c r="L54" s="34">
        <f>IF($I54=1,IF($L53="",$B54,$L53&amp;"、"&amp;$B54),$L53)</f>
        <v/>
      </c>
    </row>
    <row r="55" ht="26" customHeight="1">
      <c r="A55" s="29" t="inlineStr">
        <is>
          <t>十·公共安全</t>
        </is>
      </c>
      <c r="B55" s="30" t="inlineStr">
        <is>
          <t>非法持有管制物品罪</t>
        </is>
      </c>
      <c r="C55" s="35" t="inlineStr">
        <is>
          <t>重罪</t>
        </is>
      </c>
      <c r="D55" s="29" t="n">
        <v>48</v>
      </c>
      <c r="E55" s="32" t="n">
        <v>30000</v>
      </c>
      <c r="F55" s="33" t="inlineStr">
        <is>
          <t>默认毒品/非法枪支(重罪4年$30000); 工具/8cm刀具=轻罪1年$15000</t>
        </is>
      </c>
      <c r="G55" s="34">
        <f>IF(SUMIFS('关键词库'!$C$2:$C$1281,'关键词库'!$B$2:$B$1281,$B55)&gt;0,1,0)</f>
        <v/>
      </c>
      <c r="H55" s="34">
        <f>IF(SUMIFS('关键词库'!$D$2:$D$1281,'关键词库'!$B$2:$B$1281,$B55)&gt;0,1,0)</f>
        <v/>
      </c>
      <c r="I55" s="34">
        <f>IF(SUMIFS('关键词库'!$E$2:$E$1281,'关键词库'!$B$2:$B$1281,$B55)&gt;0,1,0)</f>
        <v/>
      </c>
      <c r="J55" s="34">
        <f>IF($G55=1,IF($J54="",$B55,$J54&amp;"、"&amp;$B55),$J54)</f>
        <v/>
      </c>
      <c r="K55" s="34">
        <f>IF($H55=1,IF($K54="",$B55,$K54&amp;"、"&amp;$B55),$K54)</f>
        <v/>
      </c>
      <c r="L55" s="34">
        <f>IF($I55=1,IF($L54="",$B55,$L54&amp;"、"&amp;$B55),$L54)</f>
        <v/>
      </c>
    </row>
    <row r="56" ht="26" customHeight="1">
      <c r="A56" s="29" t="inlineStr">
        <is>
          <t>十·公共安全</t>
        </is>
      </c>
      <c r="B56" s="30" t="inlineStr">
        <is>
          <t>非法持有大量管制物品罪</t>
        </is>
      </c>
      <c r="C56" s="35" t="inlineStr">
        <is>
          <t>重罪</t>
        </is>
      </c>
      <c r="D56" s="29" t="n">
        <v>36</v>
      </c>
      <c r="E56" s="32" t="n">
        <v>6000</v>
      </c>
      <c r="F56" s="33" t="inlineStr">
        <is>
          <t>按量: 10-50个=3年$6000; 51-200=2-4年$10000; 201-500=4-6年$15000; 501-999=6-10年$30000(可超5年)</t>
        </is>
      </c>
      <c r="G56" s="34">
        <f>IF(SUMIFS('关键词库'!$C$2:$C$1281,'关键词库'!$B$2:$B$1281,$B56)&gt;0,1,0)</f>
        <v/>
      </c>
      <c r="H56" s="34">
        <f>IF(SUMIFS('关键词库'!$D$2:$D$1281,'关键词库'!$B$2:$B$1281,$B56)&gt;0,1,0)</f>
        <v/>
      </c>
      <c r="I56" s="34">
        <f>IF(SUMIFS('关键词库'!$E$2:$E$1281,'关键词库'!$B$2:$B$1281,$B56)&gt;0,1,0)</f>
        <v/>
      </c>
      <c r="J56" s="34">
        <f>IF($G56=1,IF($J55="",$B56,$J55&amp;"、"&amp;$B56),$J55)</f>
        <v/>
      </c>
      <c r="K56" s="34">
        <f>IF($H56=1,IF($K55="",$B56,$K55&amp;"、"&amp;$B56),$K55)</f>
        <v/>
      </c>
      <c r="L56" s="34">
        <f>IF($I56=1,IF($L55="",$B56,$L55&amp;"、"&amp;$B56),$L55)</f>
        <v/>
      </c>
    </row>
    <row r="57" ht="26" customHeight="1">
      <c r="A57" s="29" t="inlineStr">
        <is>
          <t>十·公共安全</t>
        </is>
      </c>
      <c r="B57" s="30" t="inlineStr">
        <is>
          <t>非法经营和分发管制物品罪</t>
        </is>
      </c>
      <c r="C57" s="35" t="inlineStr">
        <is>
          <t>重罪</t>
        </is>
      </c>
      <c r="D57" s="29" t="n">
        <v>12</v>
      </c>
      <c r="E57" s="32" t="n">
        <v>5000</v>
      </c>
      <c r="F57" s="33" t="inlineStr">
        <is>
          <t>以出售/分发/储存为目的经营管制物品</t>
        </is>
      </c>
      <c r="G57" s="34">
        <f>IF(SUMIFS('关键词库'!$C$2:$C$1281,'关键词库'!$B$2:$B$1281,$B57)&gt;0,1,0)</f>
        <v/>
      </c>
      <c r="H57" s="34">
        <f>IF(SUMIFS('关键词库'!$D$2:$D$1281,'关键词库'!$B$2:$B$1281,$B57)&gt;0,1,0)</f>
        <v/>
      </c>
      <c r="I57" s="34">
        <f>IF(SUMIFS('关键词库'!$E$2:$E$1281,'关键词库'!$B$2:$B$1281,$B57)&gt;0,1,0)</f>
        <v/>
      </c>
      <c r="J57" s="34">
        <f>IF($G57=1,IF($J56="",$B57,$J56&amp;"、"&amp;$B57),$J56)</f>
        <v/>
      </c>
      <c r="K57" s="34">
        <f>IF($H57=1,IF($K56="",$B57,$K56&amp;"、"&amp;$B57),$K56)</f>
        <v/>
      </c>
      <c r="L57" s="34">
        <f>IF($I57=1,IF($L56="",$B57,$L56&amp;"、"&amp;$B57),$L56)</f>
        <v/>
      </c>
    </row>
    <row r="58" ht="26" customHeight="1">
      <c r="A58" s="29" t="inlineStr">
        <is>
          <t>十·公共安全</t>
        </is>
      </c>
      <c r="B58" s="30" t="inlineStr">
        <is>
          <t>非法制造管制物品罪</t>
        </is>
      </c>
      <c r="C58" s="35" t="inlineStr">
        <is>
          <t>重罪</t>
        </is>
      </c>
      <c r="D58" s="29" t="n">
        <v>24</v>
      </c>
      <c r="E58" s="32" t="n">
        <v>8000</v>
      </c>
      <c r="F58" s="33" t="inlineStr">
        <is>
          <t>生产/制造处方药/大麻等管制物品</t>
        </is>
      </c>
      <c r="G58" s="34">
        <f>IF(SUMIFS('关键词库'!$C$2:$C$1281,'关键词库'!$B$2:$B$1281,$B58)&gt;0,1,0)</f>
        <v/>
      </c>
      <c r="H58" s="34">
        <f>IF(SUMIFS('关键词库'!$D$2:$D$1281,'关键词库'!$B$2:$B$1281,$B58)&gt;0,1,0)</f>
        <v/>
      </c>
      <c r="I58" s="34">
        <f>IF(SUMIFS('关键词库'!$E$2:$E$1281,'关键词库'!$B$2:$B$1281,$B58)&gt;0,1,0)</f>
        <v/>
      </c>
      <c r="J58" s="34">
        <f>IF($G58=1,IF($J57="",$B58,$J57&amp;"、"&amp;$B58),$J57)</f>
        <v/>
      </c>
      <c r="K58" s="34">
        <f>IF($H58=1,IF($K57="",$B58,$K57&amp;"、"&amp;$B58),$K57)</f>
        <v/>
      </c>
      <c r="L58" s="34">
        <f>IF($I58=1,IF($L57="",$B58,$L57&amp;"、"&amp;$B58),$L57)</f>
        <v/>
      </c>
    </row>
    <row r="59" ht="26" customHeight="1">
      <c r="A59" s="29" t="inlineStr">
        <is>
          <t>十·公共安全</t>
        </is>
      </c>
      <c r="B59" s="30" t="inlineStr">
        <is>
          <t>非法贩卖管制物品罪</t>
        </is>
      </c>
      <c r="C59" s="35" t="inlineStr">
        <is>
          <t>重罪</t>
        </is>
      </c>
      <c r="D59" s="29" t="n">
        <v>36</v>
      </c>
      <c r="E59" s="32" t="n">
        <v>10000</v>
      </c>
      <c r="F59" s="33" t="inlineStr">
        <is>
          <t>非法出售/赠送/运输管制物品给他人</t>
        </is>
      </c>
      <c r="G59" s="34">
        <f>IF(SUMIFS('关键词库'!$C$2:$C$1281,'关键词库'!$B$2:$B$1281,$B59)&gt;0,1,0)</f>
        <v/>
      </c>
      <c r="H59" s="34">
        <f>IF(SUMIFS('关键词库'!$D$2:$D$1281,'关键词库'!$B$2:$B$1281,$B59)&gt;0,1,0)</f>
        <v/>
      </c>
      <c r="I59" s="34">
        <f>IF(SUMIFS('关键词库'!$E$2:$E$1281,'关键词库'!$B$2:$B$1281,$B59)&gt;0,1,0)</f>
        <v/>
      </c>
      <c r="J59" s="34">
        <f>IF($G59=1,IF($J58="",$B59,$J58&amp;"、"&amp;$B59),$J58)</f>
        <v/>
      </c>
      <c r="K59" s="34">
        <f>IF($H59=1,IF($K58="",$B59,$K58&amp;"、"&amp;$B59),$K58)</f>
        <v/>
      </c>
      <c r="L59" s="34">
        <f>IF($I59=1,IF($L58="",$B59,$L58&amp;"、"&amp;$B59),$L58)</f>
        <v/>
      </c>
    </row>
    <row r="60" ht="26" customHeight="1">
      <c r="A60" s="29" t="inlineStr">
        <is>
          <t>十一·其他</t>
        </is>
      </c>
      <c r="B60" s="30" t="inlineStr">
        <is>
          <t>有组织犯罪</t>
        </is>
      </c>
      <c r="C60" s="35" t="inlineStr">
        <is>
          <t>重罪</t>
        </is>
      </c>
      <c r="D60" s="29" t="n">
        <v>24</v>
      </c>
      <c r="E60" s="32" t="n">
        <v>10000</v>
      </c>
      <c r="F60" s="33" t="inlineStr">
        <is>
          <t>团体以牟利为目的实施违法犯罪(逮捕须先取逮捕令)</t>
        </is>
      </c>
      <c r="G60" s="34">
        <f>IF(SUMIFS('关键词库'!$C$2:$C$1281,'关键词库'!$B$2:$B$1281,$B60)&gt;0,1,0)</f>
        <v/>
      </c>
      <c r="H60" s="34">
        <f>IF(SUMIFS('关键词库'!$D$2:$D$1281,'关键词库'!$B$2:$B$1281,$B60)&gt;0,1,0)</f>
        <v/>
      </c>
      <c r="I60" s="34">
        <f>IF(SUMIFS('关键词库'!$E$2:$E$1281,'关键词库'!$B$2:$B$1281,$B60)&gt;0,1,0)</f>
        <v/>
      </c>
      <c r="J60" s="34">
        <f>IF($G60=1,IF($J59="",$B60,$J59&amp;"、"&amp;$B60),$J59)</f>
        <v/>
      </c>
      <c r="K60" s="34">
        <f>IF($H60=1,IF($K59="",$B60,$K59&amp;"、"&amp;$B60),$K59)</f>
        <v/>
      </c>
      <c r="L60" s="34">
        <f>IF($I60=1,IF($L59="",$B60,$L59&amp;"、"&amp;$B60),$L59)</f>
        <v/>
      </c>
    </row>
    <row r="61" ht="26" customHeight="1">
      <c r="A61" s="29" t="inlineStr">
        <is>
          <t>十一·其他</t>
        </is>
      </c>
      <c r="B61" s="30" t="inlineStr">
        <is>
          <t>洗钱罪</t>
        </is>
      </c>
      <c r="C61" s="35" t="inlineStr">
        <is>
          <t>重罪</t>
        </is>
      </c>
      <c r="D61" s="29" t="n">
        <v>48</v>
      </c>
      <c r="E61" s="32" t="n">
        <v>30000</v>
      </c>
      <c r="F61" s="33" t="inlineStr">
        <is>
          <t>持有/隐藏/转移违法所得 / 协助洗钱</t>
        </is>
      </c>
      <c r="G61" s="34">
        <f>IF(SUMIFS('关键词库'!$C$2:$C$1281,'关键词库'!$B$2:$B$1281,$B61)&gt;0,1,0)</f>
        <v/>
      </c>
      <c r="H61" s="34">
        <f>IF(SUMIFS('关键词库'!$D$2:$D$1281,'关键词库'!$B$2:$B$1281,$B61)&gt;0,1,0)</f>
        <v/>
      </c>
      <c r="I61" s="34">
        <f>IF(SUMIFS('关键词库'!$E$2:$E$1281,'关键词库'!$B$2:$B$1281,$B61)&gt;0,1,0)</f>
        <v/>
      </c>
      <c r="J61" s="34">
        <f>IF($G61=1,IF($J60="",$B61,$J60&amp;"、"&amp;$B61),$J60)</f>
        <v/>
      </c>
      <c r="K61" s="34">
        <f>IF($H61=1,IF($K60="",$B61,$K60&amp;"、"&amp;$B61),$K60)</f>
        <v/>
      </c>
      <c r="L61" s="34">
        <f>IF($I61=1,IF($L60="",$B61,$L60&amp;"、"&amp;$B61),$L60)</f>
        <v/>
      </c>
    </row>
    <row r="62" ht="26" customHeight="1">
      <c r="A62" s="29" t="inlineStr">
        <is>
          <t>十一·其他</t>
        </is>
      </c>
      <c r="B62" s="30" t="inlineStr">
        <is>
          <t>身份盗用罪</t>
        </is>
      </c>
      <c r="C62" s="31" t="inlineStr">
        <is>
          <t>轻罪</t>
        </is>
      </c>
      <c r="D62" s="29" t="n">
        <v>12</v>
      </c>
      <c r="E62" s="32" t="n">
        <v>8000</v>
      </c>
      <c r="F62" s="33" t="inlineStr">
        <is>
          <t>未经许可盗取/使用他人个人信息, 另需赔偿</t>
        </is>
      </c>
      <c r="G62" s="34">
        <f>IF(SUMIFS('关键词库'!$C$2:$C$1281,'关键词库'!$B$2:$B$1281,$B62)&gt;0,1,0)</f>
        <v/>
      </c>
      <c r="H62" s="34">
        <f>IF(SUMIFS('关键词库'!$D$2:$D$1281,'关键词库'!$B$2:$B$1281,$B62)&gt;0,1,0)</f>
        <v/>
      </c>
      <c r="I62" s="34">
        <f>IF(SUMIFS('关键词库'!$E$2:$E$1281,'关键词库'!$B$2:$B$1281,$B62)&gt;0,1,0)</f>
        <v/>
      </c>
      <c r="J62" s="34">
        <f>IF($G62=1,IF($J61="",$B62,$J61&amp;"、"&amp;$B62),$J61)</f>
        <v/>
      </c>
      <c r="K62" s="34">
        <f>IF($H62=1,IF($K61="",$B62,$K61&amp;"、"&amp;$B62),$K61)</f>
        <v/>
      </c>
      <c r="L62" s="34">
        <f>IF($I62=1,IF($L61="",$B62,$L61&amp;"、"&amp;$B62),$L61)</f>
        <v/>
      </c>
    </row>
  </sheetData>
  <conditionalFormatting sqref="A2:F62">
    <cfRule type="expression" priority="1" dxfId="0">
      <formula>OR($G2=1,$H2=1,$I2=1)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6" customWidth="1" min="3" max="3"/>
    <col width="6" customWidth="1" min="4" max="4"/>
    <col width="6" customWidth="1" min="5" max="5"/>
  </cols>
  <sheetData>
    <row r="1">
      <c r="A1" s="36" t="inlineStr">
        <is>
          <t xml:space="preserve">　想让它认识新说法/黑话：在 A 列加关键词、B 列写对应罪名（与「罪名表」一字不差），即时生效。</t>
        </is>
      </c>
      <c r="B1" s="9" t="n"/>
      <c r="C1" s="9" t="n"/>
      <c r="D1" s="9" t="n"/>
      <c r="E1" s="9" t="n"/>
    </row>
    <row r="2">
      <c r="A2" s="16" t="inlineStr">
        <is>
          <t>关键词</t>
        </is>
      </c>
      <c r="B2" s="16" t="inlineStr">
        <is>
          <t>对应罪名</t>
        </is>
      </c>
      <c r="C2" s="16" t="inlineStr">
        <is>
          <t>甲</t>
        </is>
      </c>
      <c r="D2" s="16" t="inlineStr">
        <is>
          <t>乙</t>
        </is>
      </c>
      <c r="E2" s="16" t="inlineStr">
        <is>
          <t>丙</t>
        </is>
      </c>
    </row>
    <row r="3">
      <c r="A3" s="34" t="inlineStr">
        <is>
          <t>威胁</t>
        </is>
      </c>
      <c r="B3" s="34" t="inlineStr">
        <is>
          <t>威胁罪</t>
        </is>
      </c>
      <c r="C3" s="34">
        <f>IF(AND($A2&lt;&gt;"",'算罪台'!$B$4&lt;&gt;"",ISNUMBER(SEARCH($A2,'算罪台'!$B$4))),1,0)</f>
        <v/>
      </c>
      <c r="D3" s="34">
        <f>IF(AND($A2&lt;&gt;"",'算罪台'!$B$5&lt;&gt;"",ISNUMBER(SEARCH($A2,'算罪台'!$B$5))),1,0)</f>
        <v/>
      </c>
      <c r="E3" s="34">
        <f>IF(AND($A2&lt;&gt;"",'算罪台'!$B$6&lt;&gt;"",ISNUMBER(SEARCH($A2,'算罪台'!$B$6))),1,0)</f>
        <v/>
      </c>
    </row>
    <row r="4">
      <c r="A4" s="34" t="inlineStr">
        <is>
          <t>恐吓</t>
        </is>
      </c>
      <c r="B4" s="34" t="inlineStr">
        <is>
          <t>威胁罪</t>
        </is>
      </c>
      <c r="C4" s="34">
        <f>IF(AND($A3&lt;&gt;"",'算罪台'!$B$4&lt;&gt;"",ISNUMBER(SEARCH($A3,'算罪台'!$B$4))),1,0)</f>
        <v/>
      </c>
      <c r="D4" s="34">
        <f>IF(AND($A3&lt;&gt;"",'算罪台'!$B$5&lt;&gt;"",ISNUMBER(SEARCH($A3,'算罪台'!$B$5))),1,0)</f>
        <v/>
      </c>
      <c r="E4" s="34">
        <f>IF(AND($A3&lt;&gt;"",'算罪台'!$B$6&lt;&gt;"",ISNUMBER(SEARCH($A3,'算罪台'!$B$6))),1,0)</f>
        <v/>
      </c>
    </row>
    <row r="5">
      <c r="A5" s="34" t="inlineStr">
        <is>
          <t>口头威胁</t>
        </is>
      </c>
      <c r="B5" s="34" t="inlineStr">
        <is>
          <t>威胁罪</t>
        </is>
      </c>
      <c r="C5" s="34">
        <f>IF(AND($A4&lt;&gt;"",'算罪台'!$B$4&lt;&gt;"",ISNUMBER(SEARCH($A4,'算罪台'!$B$4))),1,0)</f>
        <v/>
      </c>
      <c r="D5" s="34">
        <f>IF(AND($A4&lt;&gt;"",'算罪台'!$B$5&lt;&gt;"",ISNUMBER(SEARCH($A4,'算罪台'!$B$5))),1,0)</f>
        <v/>
      </c>
      <c r="E5" s="34">
        <f>IF(AND($A4&lt;&gt;"",'算罪台'!$B$6&lt;&gt;"",ISNUMBER(SEARCH($A4,'算罪台'!$B$6))),1,0)</f>
        <v/>
      </c>
    </row>
    <row r="6">
      <c r="A6" s="34" t="inlineStr">
        <is>
          <t>书面威胁</t>
        </is>
      </c>
      <c r="B6" s="34" t="inlineStr">
        <is>
          <t>威胁罪</t>
        </is>
      </c>
      <c r="C6" s="34">
        <f>IF(AND($A5&lt;&gt;"",'算罪台'!$B$4&lt;&gt;"",ISNUMBER(SEARCH($A5,'算罪台'!$B$4))),1,0)</f>
        <v/>
      </c>
      <c r="D6" s="34">
        <f>IF(AND($A5&lt;&gt;"",'算罪台'!$B$5&lt;&gt;"",ISNUMBER(SEARCH($A5,'算罪台'!$B$5))),1,0)</f>
        <v/>
      </c>
      <c r="E6" s="34">
        <f>IF(AND($A5&lt;&gt;"",'算罪台'!$B$6&lt;&gt;"",ISNUMBER(SEARCH($A5,'算罪台'!$B$6))),1,0)</f>
        <v/>
      </c>
    </row>
    <row r="7">
      <c r="A7" s="34" t="inlineStr">
        <is>
          <t>扬言</t>
        </is>
      </c>
      <c r="B7" s="34" t="inlineStr">
        <is>
          <t>威胁罪</t>
        </is>
      </c>
      <c r="C7" s="34">
        <f>IF(AND($A6&lt;&gt;"",'算罪台'!$B$4&lt;&gt;"",ISNUMBER(SEARCH($A6,'算罪台'!$B$4))),1,0)</f>
        <v/>
      </c>
      <c r="D7" s="34">
        <f>IF(AND($A6&lt;&gt;"",'算罪台'!$B$5&lt;&gt;"",ISNUMBER(SEARCH($A6,'算罪台'!$B$5))),1,0)</f>
        <v/>
      </c>
      <c r="E7" s="34">
        <f>IF(AND($A6&lt;&gt;"",'算罪台'!$B$6&lt;&gt;"",ISNUMBER(SEARCH($A6,'算罪台'!$B$6))),1,0)</f>
        <v/>
      </c>
    </row>
    <row r="8">
      <c r="A8" s="34" t="inlineStr">
        <is>
          <t>制造恐慌</t>
        </is>
      </c>
      <c r="B8" s="34" t="inlineStr">
        <is>
          <t>威胁罪</t>
        </is>
      </c>
      <c r="C8" s="34">
        <f>IF(AND($A7&lt;&gt;"",'算罪台'!$B$4&lt;&gt;"",ISNUMBER(SEARCH($A7,'算罪台'!$B$4))),1,0)</f>
        <v/>
      </c>
      <c r="D8" s="34">
        <f>IF(AND($A7&lt;&gt;"",'算罪台'!$B$5&lt;&gt;"",ISNUMBER(SEARCH($A7,'算罪台'!$B$5))),1,0)</f>
        <v/>
      </c>
      <c r="E8" s="34">
        <f>IF(AND($A7&lt;&gt;"",'算罪台'!$B$6&lt;&gt;"",ISNUMBER(SEARCH($A7,'算罪台'!$B$6))),1,0)</f>
        <v/>
      </c>
    </row>
    <row r="9">
      <c r="A9" s="34" t="inlineStr">
        <is>
          <t>吓唬</t>
        </is>
      </c>
      <c r="B9" s="34" t="inlineStr">
        <is>
          <t>威胁罪</t>
        </is>
      </c>
      <c r="C9" s="34">
        <f>IF(AND($A8&lt;&gt;"",'算罪台'!$B$4&lt;&gt;"",ISNUMBER(SEARCH($A8,'算罪台'!$B$4))),1,0)</f>
        <v/>
      </c>
      <c r="D9" s="34">
        <f>IF(AND($A8&lt;&gt;"",'算罪台'!$B$5&lt;&gt;"",ISNUMBER(SEARCH($A8,'算罪台'!$B$5))),1,0)</f>
        <v/>
      </c>
      <c r="E9" s="34">
        <f>IF(AND($A8&lt;&gt;"",'算罪台'!$B$6&lt;&gt;"",ISNUMBER(SEARCH($A8,'算罪台'!$B$6))),1,0)</f>
        <v/>
      </c>
    </row>
    <row r="10">
      <c r="A10" s="34" t="inlineStr">
        <is>
          <t>放狠话</t>
        </is>
      </c>
      <c r="B10" s="34" t="inlineStr">
        <is>
          <t>威胁罪</t>
        </is>
      </c>
      <c r="C10" s="34">
        <f>IF(AND($A9&lt;&gt;"",'算罪台'!$B$4&lt;&gt;"",ISNUMBER(SEARCH($A9,'算罪台'!$B$4))),1,0)</f>
        <v/>
      </c>
      <c r="D10" s="34">
        <f>IF(AND($A9&lt;&gt;"",'算罪台'!$B$5&lt;&gt;"",ISNUMBER(SEARCH($A9,'算罪台'!$B$5))),1,0)</f>
        <v/>
      </c>
      <c r="E10" s="34">
        <f>IF(AND($A9&lt;&gt;"",'算罪台'!$B$6&lt;&gt;"",ISNUMBER(SEARCH($A9,'算罪台'!$B$6))),1,0)</f>
        <v/>
      </c>
    </row>
    <row r="11">
      <c r="A11" s="34" t="inlineStr">
        <is>
          <t>威胁要</t>
        </is>
      </c>
      <c r="B11" s="34" t="inlineStr">
        <is>
          <t>威胁罪</t>
        </is>
      </c>
      <c r="C11" s="34">
        <f>IF(AND($A10&lt;&gt;"",'算罪台'!$B$4&lt;&gt;"",ISNUMBER(SEARCH($A10,'算罪台'!$B$4))),1,0)</f>
        <v/>
      </c>
      <c r="D11" s="34">
        <f>IF(AND($A10&lt;&gt;"",'算罪台'!$B$5&lt;&gt;"",ISNUMBER(SEARCH($A10,'算罪台'!$B$5))),1,0)</f>
        <v/>
      </c>
      <c r="E11" s="34">
        <f>IF(AND($A10&lt;&gt;"",'算罪台'!$B$6&lt;&gt;"",ISNUMBER(SEARCH($A10,'算罪台'!$B$6))),1,0)</f>
        <v/>
      </c>
    </row>
    <row r="12">
      <c r="A12" s="34" t="inlineStr">
        <is>
          <t>撂狠话</t>
        </is>
      </c>
      <c r="B12" s="34" t="inlineStr">
        <is>
          <t>威胁罪</t>
        </is>
      </c>
      <c r="C12" s="34">
        <f>IF(AND($A11&lt;&gt;"",'算罪台'!$B$4&lt;&gt;"",ISNUMBER(SEARCH($A11,'算罪台'!$B$4))),1,0)</f>
        <v/>
      </c>
      <c r="D12" s="34">
        <f>IF(AND($A11&lt;&gt;"",'算罪台'!$B$5&lt;&gt;"",ISNUMBER(SEARCH($A11,'算罪台'!$B$5))),1,0)</f>
        <v/>
      </c>
      <c r="E12" s="34">
        <f>IF(AND($A11&lt;&gt;"",'算罪台'!$B$6&lt;&gt;"",ISNUMBER(SEARCH($A11,'算罪台'!$B$6))),1,0)</f>
        <v/>
      </c>
    </row>
    <row r="13">
      <c r="A13" s="34" t="inlineStr">
        <is>
          <t>放话</t>
        </is>
      </c>
      <c r="B13" s="34" t="inlineStr">
        <is>
          <t>威胁罪</t>
        </is>
      </c>
      <c r="C13" s="34">
        <f>IF(AND($A12&lt;&gt;"",'算罪台'!$B$4&lt;&gt;"",ISNUMBER(SEARCH($A12,'算罪台'!$B$4))),1,0)</f>
        <v/>
      </c>
      <c r="D13" s="34">
        <f>IF(AND($A12&lt;&gt;"",'算罪台'!$B$5&lt;&gt;"",ISNUMBER(SEARCH($A12,'算罪台'!$B$5))),1,0)</f>
        <v/>
      </c>
      <c r="E13" s="34">
        <f>IF(AND($A12&lt;&gt;"",'算罪台'!$B$6&lt;&gt;"",ISNUMBER(SEARCH($A12,'算罪台'!$B$6))),1,0)</f>
        <v/>
      </c>
    </row>
    <row r="14">
      <c r="A14" s="34" t="inlineStr">
        <is>
          <t>扬言报复</t>
        </is>
      </c>
      <c r="B14" s="34" t="inlineStr">
        <is>
          <t>威胁罪</t>
        </is>
      </c>
      <c r="C14" s="34">
        <f>IF(AND($A13&lt;&gt;"",'算罪台'!$B$4&lt;&gt;"",ISNUMBER(SEARCH($A13,'算罪台'!$B$4))),1,0)</f>
        <v/>
      </c>
      <c r="D14" s="34">
        <f>IF(AND($A13&lt;&gt;"",'算罪台'!$B$5&lt;&gt;"",ISNUMBER(SEARCH($A13,'算罪台'!$B$5))),1,0)</f>
        <v/>
      </c>
      <c r="E14" s="34">
        <f>IF(AND($A13&lt;&gt;"",'算罪台'!$B$6&lt;&gt;"",ISNUMBER(SEARCH($A13,'算罪台'!$B$6))),1,0)</f>
        <v/>
      </c>
    </row>
    <row r="15">
      <c r="A15" s="34" t="inlineStr">
        <is>
          <t>恐吓信</t>
        </is>
      </c>
      <c r="B15" s="34" t="inlineStr">
        <is>
          <t>威胁罪</t>
        </is>
      </c>
      <c r="C15" s="34">
        <f>IF(AND($A14&lt;&gt;"",'算罪台'!$B$4&lt;&gt;"",ISNUMBER(SEARCH($A14,'算罪台'!$B$4))),1,0)</f>
        <v/>
      </c>
      <c r="D15" s="34">
        <f>IF(AND($A14&lt;&gt;"",'算罪台'!$B$5&lt;&gt;"",ISNUMBER(SEARCH($A14,'算罪台'!$B$5))),1,0)</f>
        <v/>
      </c>
      <c r="E15" s="34">
        <f>IF(AND($A14&lt;&gt;"",'算罪台'!$B$6&lt;&gt;"",ISNUMBER(SEARCH($A14,'算罪台'!$B$6))),1,0)</f>
        <v/>
      </c>
    </row>
    <row r="16">
      <c r="A16" s="34" t="inlineStr">
        <is>
          <t>要弄死你</t>
        </is>
      </c>
      <c r="B16" s="34" t="inlineStr">
        <is>
          <t>威胁罪</t>
        </is>
      </c>
      <c r="C16" s="34">
        <f>IF(AND($A15&lt;&gt;"",'算罪台'!$B$4&lt;&gt;"",ISNUMBER(SEARCH($A15,'算罪台'!$B$4))),1,0)</f>
        <v/>
      </c>
      <c r="D16" s="34">
        <f>IF(AND($A15&lt;&gt;"",'算罪台'!$B$5&lt;&gt;"",ISNUMBER(SEARCH($A15,'算罪台'!$B$5))),1,0)</f>
        <v/>
      </c>
      <c r="E16" s="34">
        <f>IF(AND($A15&lt;&gt;"",'算罪台'!$B$6&lt;&gt;"",ISNUMBER(SEARCH($A15,'算罪台'!$B$6))),1,0)</f>
        <v/>
      </c>
    </row>
    <row r="17">
      <c r="A17" s="34" t="inlineStr">
        <is>
          <t>威胁恐吓</t>
        </is>
      </c>
      <c r="B17" s="34" t="inlineStr">
        <is>
          <t>威胁罪</t>
        </is>
      </c>
      <c r="C17" s="34">
        <f>IF(AND($A16&lt;&gt;"",'算罪台'!$B$4&lt;&gt;"",ISNUMBER(SEARCH($A16,'算罪台'!$B$4))),1,0)</f>
        <v/>
      </c>
      <c r="D17" s="34">
        <f>IF(AND($A16&lt;&gt;"",'算罪台'!$B$5&lt;&gt;"",ISNUMBER(SEARCH($A16,'算罪台'!$B$5))),1,0)</f>
        <v/>
      </c>
      <c r="E17" s="34">
        <f>IF(AND($A16&lt;&gt;"",'算罪台'!$B$6&lt;&gt;"",ISNUMBER(SEARCH($A16,'算罪台'!$B$6))),1,0)</f>
        <v/>
      </c>
    </row>
    <row r="18">
      <c r="A18" s="34" t="inlineStr">
        <is>
          <t>口头威胁恐吓</t>
        </is>
      </c>
      <c r="B18" s="34" t="inlineStr">
        <is>
          <t>威胁罪</t>
        </is>
      </c>
      <c r="C18" s="34">
        <f>IF(AND($A17&lt;&gt;"",'算罪台'!$B$4&lt;&gt;"",ISNUMBER(SEARCH($A17,'算罪台'!$B$4))),1,0)</f>
        <v/>
      </c>
      <c r="D18" s="34">
        <f>IF(AND($A17&lt;&gt;"",'算罪台'!$B$5&lt;&gt;"",ISNUMBER(SEARCH($A17,'算罪台'!$B$5))),1,0)</f>
        <v/>
      </c>
      <c r="E18" s="34">
        <f>IF(AND($A17&lt;&gt;"",'算罪台'!$B$6&lt;&gt;"",ISNUMBER(SEARCH($A17,'算罪台'!$B$6))),1,0)</f>
        <v/>
      </c>
    </row>
    <row r="19">
      <c r="A19" s="34" t="inlineStr">
        <is>
          <t>下死亡威胁</t>
        </is>
      </c>
      <c r="B19" s="34" t="inlineStr">
        <is>
          <t>威胁罪</t>
        </is>
      </c>
      <c r="C19" s="34">
        <f>IF(AND($A18&lt;&gt;"",'算罪台'!$B$4&lt;&gt;"",ISNUMBER(SEARCH($A18,'算罪台'!$B$4))),1,0)</f>
        <v/>
      </c>
      <c r="D19" s="34">
        <f>IF(AND($A18&lt;&gt;"",'算罪台'!$B$5&lt;&gt;"",ISNUMBER(SEARCH($A18,'算罪台'!$B$5))),1,0)</f>
        <v/>
      </c>
      <c r="E19" s="34">
        <f>IF(AND($A18&lt;&gt;"",'算罪台'!$B$6&lt;&gt;"",ISNUMBER(SEARCH($A18,'算罪台'!$B$6))),1,0)</f>
        <v/>
      </c>
    </row>
    <row r="20">
      <c r="A20" s="34" t="inlineStr">
        <is>
          <t>恐吓威胁</t>
        </is>
      </c>
      <c r="B20" s="34" t="inlineStr">
        <is>
          <t>威胁罪</t>
        </is>
      </c>
      <c r="C20" s="34">
        <f>IF(AND($A19&lt;&gt;"",'算罪台'!$B$4&lt;&gt;"",ISNUMBER(SEARCH($A19,'算罪台'!$B$4))),1,0)</f>
        <v/>
      </c>
      <c r="D20" s="34">
        <f>IF(AND($A19&lt;&gt;"",'算罪台'!$B$5&lt;&gt;"",ISNUMBER(SEARCH($A19,'算罪台'!$B$5))),1,0)</f>
        <v/>
      </c>
      <c r="E20" s="34">
        <f>IF(AND($A19&lt;&gt;"",'算罪台'!$B$6&lt;&gt;"",ISNUMBER(SEARCH($A19,'算罪台'!$B$6))),1,0)</f>
        <v/>
      </c>
    </row>
    <row r="21">
      <c r="A21" s="34" t="inlineStr">
        <is>
          <t>威胁人身安全</t>
        </is>
      </c>
      <c r="B21" s="34" t="inlineStr">
        <is>
          <t>威胁罪</t>
        </is>
      </c>
      <c r="C21" s="34">
        <f>IF(AND($A20&lt;&gt;"",'算罪台'!$B$4&lt;&gt;"",ISNUMBER(SEARCH($A20,'算罪台'!$B$4))),1,0)</f>
        <v/>
      </c>
      <c r="D21" s="34">
        <f>IF(AND($A20&lt;&gt;"",'算罪台'!$B$5&lt;&gt;"",ISNUMBER(SEARCH($A20,'算罪台'!$B$5))),1,0)</f>
        <v/>
      </c>
      <c r="E21" s="34">
        <f>IF(AND($A20&lt;&gt;"",'算罪台'!$B$6&lt;&gt;"",ISNUMBER(SEARCH($A20,'算罪台'!$B$6))),1,0)</f>
        <v/>
      </c>
    </row>
    <row r="22">
      <c r="A22" s="34" t="inlineStr">
        <is>
          <t>扬言杀</t>
        </is>
      </c>
      <c r="B22" s="34" t="inlineStr">
        <is>
          <t>威胁罪</t>
        </is>
      </c>
      <c r="C22" s="34">
        <f>IF(AND($A21&lt;&gt;"",'算罪台'!$B$4&lt;&gt;"",ISNUMBER(SEARCH($A21,'算罪台'!$B$4))),1,0)</f>
        <v/>
      </c>
      <c r="D22" s="34">
        <f>IF(AND($A21&lt;&gt;"",'算罪台'!$B$5&lt;&gt;"",ISNUMBER(SEARCH($A21,'算罪台'!$B$5))),1,0)</f>
        <v/>
      </c>
      <c r="E22" s="34">
        <f>IF(AND($A21&lt;&gt;"",'算罪台'!$B$6&lt;&gt;"",ISNUMBER(SEARCH($A21,'算罪台'!$B$6))),1,0)</f>
        <v/>
      </c>
    </row>
    <row r="23">
      <c r="A23" s="34" t="inlineStr">
        <is>
          <t>死亡恐吓</t>
        </is>
      </c>
      <c r="B23" s="34" t="inlineStr">
        <is>
          <t>威胁罪</t>
        </is>
      </c>
      <c r="C23" s="34">
        <f>IF(AND($A22&lt;&gt;"",'算罪台'!$B$4&lt;&gt;"",ISNUMBER(SEARCH($A22,'算罪台'!$B$4))),1,0)</f>
        <v/>
      </c>
      <c r="D23" s="34">
        <f>IF(AND($A22&lt;&gt;"",'算罪台'!$B$5&lt;&gt;"",ISNUMBER(SEARCH($A22,'算罪台'!$B$5))),1,0)</f>
        <v/>
      </c>
      <c r="E23" s="34">
        <f>IF(AND($A22&lt;&gt;"",'算罪台'!$B$6&lt;&gt;"",ISNUMBER(SEARCH($A22,'算罪台'!$B$6))),1,0)</f>
        <v/>
      </c>
    </row>
    <row r="24">
      <c r="A24" s="34" t="inlineStr">
        <is>
          <t>语言威胁</t>
        </is>
      </c>
      <c r="B24" s="34" t="inlineStr">
        <is>
          <t>威胁罪</t>
        </is>
      </c>
      <c r="C24" s="34">
        <f>IF(AND($A23&lt;&gt;"",'算罪台'!$B$4&lt;&gt;"",ISNUMBER(SEARCH($A23,'算罪台'!$B$4))),1,0)</f>
        <v/>
      </c>
      <c r="D24" s="34">
        <f>IF(AND($A23&lt;&gt;"",'算罪台'!$B$5&lt;&gt;"",ISNUMBER(SEARCH($A23,'算罪台'!$B$5))),1,0)</f>
        <v/>
      </c>
      <c r="E24" s="34">
        <f>IF(AND($A23&lt;&gt;"",'算罪台'!$B$6&lt;&gt;"",ISNUMBER(SEARCH($A23,'算罪台'!$B$6))),1,0)</f>
        <v/>
      </c>
    </row>
    <row r="25">
      <c r="A25" s="34" t="inlineStr">
        <is>
          <t>威胁报复</t>
        </is>
      </c>
      <c r="B25" s="34" t="inlineStr">
        <is>
          <t>威胁罪</t>
        </is>
      </c>
      <c r="C25" s="34">
        <f>IF(AND($A24&lt;&gt;"",'算罪台'!$B$4&lt;&gt;"",ISNUMBER(SEARCH($A24,'算罪台'!$B$4))),1,0)</f>
        <v/>
      </c>
      <c r="D25" s="34">
        <f>IF(AND($A24&lt;&gt;"",'算罪台'!$B$5&lt;&gt;"",ISNUMBER(SEARCH($A24,'算罪台'!$B$5))),1,0)</f>
        <v/>
      </c>
      <c r="E25" s="34">
        <f>IF(AND($A24&lt;&gt;"",'算罪台'!$B$6&lt;&gt;"",ISNUMBER(SEARCH($A24,'算罪台'!$B$6))),1,0)</f>
        <v/>
      </c>
    </row>
    <row r="26">
      <c r="A26" s="34" t="inlineStr">
        <is>
          <t>恐吓他人</t>
        </is>
      </c>
      <c r="B26" s="34" t="inlineStr">
        <is>
          <t>威胁罪</t>
        </is>
      </c>
      <c r="C26" s="34">
        <f>IF(AND($A25&lt;&gt;"",'算罪台'!$B$4&lt;&gt;"",ISNUMBER(SEARCH($A25,'算罪台'!$B$4))),1,0)</f>
        <v/>
      </c>
      <c r="D26" s="34">
        <f>IF(AND($A25&lt;&gt;"",'算罪台'!$B$5&lt;&gt;"",ISNUMBER(SEARCH($A25,'算罪台'!$B$5))),1,0)</f>
        <v/>
      </c>
      <c r="E26" s="34">
        <f>IF(AND($A25&lt;&gt;"",'算罪台'!$B$6&lt;&gt;"",ISNUMBER(SEARCH($A25,'算罪台'!$B$6))),1,0)</f>
        <v/>
      </c>
    </row>
    <row r="27">
      <c r="A27" s="34" t="inlineStr">
        <is>
          <t>发威胁</t>
        </is>
      </c>
      <c r="B27" s="34" t="inlineStr">
        <is>
          <t>威胁罪</t>
        </is>
      </c>
      <c r="C27" s="34">
        <f>IF(AND($A26&lt;&gt;"",'算罪台'!$B$4&lt;&gt;"",ISNUMBER(SEARCH($A26,'算罪台'!$B$4))),1,0)</f>
        <v/>
      </c>
      <c r="D27" s="34">
        <f>IF(AND($A26&lt;&gt;"",'算罪台'!$B$5&lt;&gt;"",ISNUMBER(SEARCH($A26,'算罪台'!$B$5))),1,0)</f>
        <v/>
      </c>
      <c r="E27" s="34">
        <f>IF(AND($A26&lt;&gt;"",'算罪台'!$B$6&lt;&gt;"",ISNUMBER(SEARCH($A26,'算罪台'!$B$6))),1,0)</f>
        <v/>
      </c>
    </row>
    <row r="28">
      <c r="A28" s="34" t="inlineStr">
        <is>
          <t>持械攻击</t>
        </is>
      </c>
      <c r="B28" s="34" t="inlineStr">
        <is>
          <t>持有危险武器人身攻击罪</t>
        </is>
      </c>
      <c r="C28" s="34">
        <f>IF(AND($A27&lt;&gt;"",'算罪台'!$B$4&lt;&gt;"",ISNUMBER(SEARCH($A27,'算罪台'!$B$4))),1,0)</f>
        <v/>
      </c>
      <c r="D28" s="34">
        <f>IF(AND($A27&lt;&gt;"",'算罪台'!$B$5&lt;&gt;"",ISNUMBER(SEARCH($A27,'算罪台'!$B$5))),1,0)</f>
        <v/>
      </c>
      <c r="E28" s="34">
        <f>IF(AND($A27&lt;&gt;"",'算罪台'!$B$6&lt;&gt;"",ISNUMBER(SEARCH($A27,'算罪台'!$B$6))),1,0)</f>
        <v/>
      </c>
    </row>
    <row r="29">
      <c r="A29" s="34" t="inlineStr">
        <is>
          <t>持刀攻击</t>
        </is>
      </c>
      <c r="B29" s="34" t="inlineStr">
        <is>
          <t>持有危险武器人身攻击罪</t>
        </is>
      </c>
      <c r="C29" s="34">
        <f>IF(AND($A28&lt;&gt;"",'算罪台'!$B$4&lt;&gt;"",ISNUMBER(SEARCH($A28,'算罪台'!$B$4))),1,0)</f>
        <v/>
      </c>
      <c r="D29" s="34">
        <f>IF(AND($A28&lt;&gt;"",'算罪台'!$B$5&lt;&gt;"",ISNUMBER(SEARCH($A28,'算罪台'!$B$5))),1,0)</f>
        <v/>
      </c>
      <c r="E29" s="34">
        <f>IF(AND($A28&lt;&gt;"",'算罪台'!$B$6&lt;&gt;"",ISNUMBER(SEARCH($A28,'算罪台'!$B$6))),1,0)</f>
        <v/>
      </c>
    </row>
    <row r="30">
      <c r="A30" s="34" t="inlineStr">
        <is>
          <t>持械伤人</t>
        </is>
      </c>
      <c r="B30" s="34" t="inlineStr">
        <is>
          <t>持有危险武器人身攻击罪</t>
        </is>
      </c>
      <c r="C30" s="34">
        <f>IF(AND($A29&lt;&gt;"",'算罪台'!$B$4&lt;&gt;"",ISNUMBER(SEARCH($A29,'算罪台'!$B$4))),1,0)</f>
        <v/>
      </c>
      <c r="D30" s="34">
        <f>IF(AND($A29&lt;&gt;"",'算罪台'!$B$5&lt;&gt;"",ISNUMBER(SEARCH($A29,'算罪台'!$B$5))),1,0)</f>
        <v/>
      </c>
      <c r="E30" s="34">
        <f>IF(AND($A29&lt;&gt;"",'算罪台'!$B$6&lt;&gt;"",ISNUMBER(SEARCH($A29,'算罪台'!$B$6))),1,0)</f>
        <v/>
      </c>
    </row>
    <row r="31">
      <c r="A31" s="34" t="inlineStr">
        <is>
          <t>用刀砍</t>
        </is>
      </c>
      <c r="B31" s="34" t="inlineStr">
        <is>
          <t>持有危险武器人身攻击罪</t>
        </is>
      </c>
      <c r="C31" s="34">
        <f>IF(AND($A30&lt;&gt;"",'算罪台'!$B$4&lt;&gt;"",ISNUMBER(SEARCH($A30,'算罪台'!$B$4))),1,0)</f>
        <v/>
      </c>
      <c r="D31" s="34">
        <f>IF(AND($A30&lt;&gt;"",'算罪台'!$B$5&lt;&gt;"",ISNUMBER(SEARCH($A30,'算罪台'!$B$5))),1,0)</f>
        <v/>
      </c>
      <c r="E31" s="34">
        <f>IF(AND($A30&lt;&gt;"",'算罪台'!$B$6&lt;&gt;"",ISNUMBER(SEARCH($A30,'算罪台'!$B$6))),1,0)</f>
        <v/>
      </c>
    </row>
    <row r="32">
      <c r="A32" s="34" t="inlineStr">
        <is>
          <t>用刀捅</t>
        </is>
      </c>
      <c r="B32" s="34" t="inlineStr">
        <is>
          <t>持有危险武器人身攻击罪</t>
        </is>
      </c>
      <c r="C32" s="34">
        <f>IF(AND($A31&lt;&gt;"",'算罪台'!$B$4&lt;&gt;"",ISNUMBER(SEARCH($A31,'算罪台'!$B$4))),1,0)</f>
        <v/>
      </c>
      <c r="D32" s="34">
        <f>IF(AND($A31&lt;&gt;"",'算罪台'!$B$5&lt;&gt;"",ISNUMBER(SEARCH($A31,'算罪台'!$B$5))),1,0)</f>
        <v/>
      </c>
      <c r="E32" s="34">
        <f>IF(AND($A31&lt;&gt;"",'算罪台'!$B$6&lt;&gt;"",ISNUMBER(SEARCH($A31,'算罪台'!$B$6))),1,0)</f>
        <v/>
      </c>
    </row>
    <row r="33">
      <c r="A33" s="34" t="inlineStr">
        <is>
          <t>用刀割</t>
        </is>
      </c>
      <c r="B33" s="34" t="inlineStr">
        <is>
          <t>持有危险武器人身攻击罪</t>
        </is>
      </c>
      <c r="C33" s="34">
        <f>IF(AND($A32&lt;&gt;"",'算罪台'!$B$4&lt;&gt;"",ISNUMBER(SEARCH($A32,'算罪台'!$B$4))),1,0)</f>
        <v/>
      </c>
      <c r="D33" s="34">
        <f>IF(AND($A32&lt;&gt;"",'算罪台'!$B$5&lt;&gt;"",ISNUMBER(SEARCH($A32,'算罪台'!$B$5))),1,0)</f>
        <v/>
      </c>
      <c r="E33" s="34">
        <f>IF(AND($A32&lt;&gt;"",'算罪台'!$B$6&lt;&gt;"",ISNUMBER(SEARCH($A32,'算罪台'!$B$6))),1,0)</f>
        <v/>
      </c>
    </row>
    <row r="34">
      <c r="A34" s="34" t="inlineStr">
        <is>
          <t>拿刀</t>
        </is>
      </c>
      <c r="B34" s="34" t="inlineStr">
        <is>
          <t>持有危险武器人身攻击罪</t>
        </is>
      </c>
      <c r="C34" s="34">
        <f>IF(AND($A33&lt;&gt;"",'算罪台'!$B$4&lt;&gt;"",ISNUMBER(SEARCH($A33,'算罪台'!$B$4))),1,0)</f>
        <v/>
      </c>
      <c r="D34" s="34">
        <f>IF(AND($A33&lt;&gt;"",'算罪台'!$B$5&lt;&gt;"",ISNUMBER(SEARCH($A33,'算罪台'!$B$5))),1,0)</f>
        <v/>
      </c>
      <c r="E34" s="34">
        <f>IF(AND($A33&lt;&gt;"",'算罪台'!$B$6&lt;&gt;"",ISNUMBER(SEARCH($A33,'算罪台'!$B$6))),1,0)</f>
        <v/>
      </c>
    </row>
    <row r="35">
      <c r="A35" s="34" t="inlineStr">
        <is>
          <t>持刀</t>
        </is>
      </c>
      <c r="B35" s="34" t="inlineStr">
        <is>
          <t>持有危险武器人身攻击罪</t>
        </is>
      </c>
      <c r="C35" s="34">
        <f>IF(AND($A34&lt;&gt;"",'算罪台'!$B$4&lt;&gt;"",ISNUMBER(SEARCH($A34,'算罪台'!$B$4))),1,0)</f>
        <v/>
      </c>
      <c r="D35" s="34">
        <f>IF(AND($A34&lt;&gt;"",'算罪台'!$B$5&lt;&gt;"",ISNUMBER(SEARCH($A34,'算罪台'!$B$5))),1,0)</f>
        <v/>
      </c>
      <c r="E35" s="34">
        <f>IF(AND($A34&lt;&gt;"",'算罪台'!$B$6&lt;&gt;"",ISNUMBER(SEARCH($A34,'算罪台'!$B$6))),1,0)</f>
        <v/>
      </c>
    </row>
    <row r="36">
      <c r="A36" s="34" t="inlineStr">
        <is>
          <t>致命武器</t>
        </is>
      </c>
      <c r="B36" s="34" t="inlineStr">
        <is>
          <t>持有危险武器人身攻击罪</t>
        </is>
      </c>
      <c r="C36" s="34">
        <f>IF(AND($A35&lt;&gt;"",'算罪台'!$B$4&lt;&gt;"",ISNUMBER(SEARCH($A35,'算罪台'!$B$4))),1,0)</f>
        <v/>
      </c>
      <c r="D36" s="34">
        <f>IF(AND($A35&lt;&gt;"",'算罪台'!$B$5&lt;&gt;"",ISNUMBER(SEARCH($A35,'算罪台'!$B$5))),1,0)</f>
        <v/>
      </c>
      <c r="E36" s="34">
        <f>IF(AND($A35&lt;&gt;"",'算罪台'!$B$6&lt;&gt;"",ISNUMBER(SEARCH($A35,'算罪台'!$B$6))),1,0)</f>
        <v/>
      </c>
    </row>
    <row r="37">
      <c r="A37" s="34" t="inlineStr">
        <is>
          <t>用武器打</t>
        </is>
      </c>
      <c r="B37" s="34" t="inlineStr">
        <is>
          <t>持有危险武器人身攻击罪</t>
        </is>
      </c>
      <c r="C37" s="34">
        <f>IF(AND($A36&lt;&gt;"",'算罪台'!$B$4&lt;&gt;"",ISNUMBER(SEARCH($A36,'算罪台'!$B$4))),1,0)</f>
        <v/>
      </c>
      <c r="D37" s="34">
        <f>IF(AND($A36&lt;&gt;"",'算罪台'!$B$5&lt;&gt;"",ISNUMBER(SEARCH($A36,'算罪台'!$B$5))),1,0)</f>
        <v/>
      </c>
      <c r="E37" s="34">
        <f>IF(AND($A36&lt;&gt;"",'算罪台'!$B$6&lt;&gt;"",ISNUMBER(SEARCH($A36,'算罪台'!$B$6))),1,0)</f>
        <v/>
      </c>
    </row>
    <row r="38">
      <c r="A38" s="34" t="inlineStr">
        <is>
          <t>拿棍子打</t>
        </is>
      </c>
      <c r="B38" s="34" t="inlineStr">
        <is>
          <t>持有危险武器人身攻击罪</t>
        </is>
      </c>
      <c r="C38" s="34">
        <f>IF(AND($A37&lt;&gt;"",'算罪台'!$B$4&lt;&gt;"",ISNUMBER(SEARCH($A37,'算罪台'!$B$4))),1,0)</f>
        <v/>
      </c>
      <c r="D38" s="34">
        <f>IF(AND($A37&lt;&gt;"",'算罪台'!$B$5&lt;&gt;"",ISNUMBER(SEARCH($A37,'算罪台'!$B$5))),1,0)</f>
        <v/>
      </c>
      <c r="E38" s="34">
        <f>IF(AND($A37&lt;&gt;"",'算罪台'!$B$6&lt;&gt;"",ISNUMBER(SEARCH($A37,'算罪台'!$B$6))),1,0)</f>
        <v/>
      </c>
    </row>
    <row r="39">
      <c r="A39" s="34" t="inlineStr">
        <is>
          <t>持棍</t>
        </is>
      </c>
      <c r="B39" s="34" t="inlineStr">
        <is>
          <t>持有危险武器人身攻击罪</t>
        </is>
      </c>
      <c r="C39" s="34">
        <f>IF(AND($A38&lt;&gt;"",'算罪台'!$B$4&lt;&gt;"",ISNUMBER(SEARCH($A38,'算罪台'!$B$4))),1,0)</f>
        <v/>
      </c>
      <c r="D39" s="34">
        <f>IF(AND($A38&lt;&gt;"",'算罪台'!$B$5&lt;&gt;"",ISNUMBER(SEARCH($A38,'算罪台'!$B$5))),1,0)</f>
        <v/>
      </c>
      <c r="E39" s="34">
        <f>IF(AND($A38&lt;&gt;"",'算罪台'!$B$6&lt;&gt;"",ISNUMBER(SEARCH($A38,'算罪台'!$B$6))),1,0)</f>
        <v/>
      </c>
    </row>
    <row r="40">
      <c r="A40" s="34" t="inlineStr">
        <is>
          <t>用球棒</t>
        </is>
      </c>
      <c r="B40" s="34" t="inlineStr">
        <is>
          <t>持有危险武器人身攻击罪</t>
        </is>
      </c>
      <c r="C40" s="34">
        <f>IF(AND($A39&lt;&gt;"",'算罪台'!$B$4&lt;&gt;"",ISNUMBER(SEARCH($A39,'算罪台'!$B$4))),1,0)</f>
        <v/>
      </c>
      <c r="D40" s="34">
        <f>IF(AND($A39&lt;&gt;"",'算罪台'!$B$5&lt;&gt;"",ISNUMBER(SEARCH($A39,'算罪台'!$B$5))),1,0)</f>
        <v/>
      </c>
      <c r="E40" s="34">
        <f>IF(AND($A39&lt;&gt;"",'算罪台'!$B$6&lt;&gt;"",ISNUMBER(SEARCH($A39,'算罪台'!$B$6))),1,0)</f>
        <v/>
      </c>
    </row>
    <row r="41">
      <c r="A41" s="34" t="inlineStr">
        <is>
          <t>抄家伙</t>
        </is>
      </c>
      <c r="B41" s="34" t="inlineStr">
        <is>
          <t>持有危险武器人身攻击罪</t>
        </is>
      </c>
      <c r="C41" s="34">
        <f>IF(AND($A40&lt;&gt;"",'算罪台'!$B$4&lt;&gt;"",ISNUMBER(SEARCH($A40,'算罪台'!$B$4))),1,0)</f>
        <v/>
      </c>
      <c r="D41" s="34">
        <f>IF(AND($A40&lt;&gt;"",'算罪台'!$B$5&lt;&gt;"",ISNUMBER(SEARCH($A40,'算罪台'!$B$5))),1,0)</f>
        <v/>
      </c>
      <c r="E41" s="34">
        <f>IF(AND($A40&lt;&gt;"",'算罪台'!$B$6&lt;&gt;"",ISNUMBER(SEARCH($A40,'算罪台'!$B$6))),1,0)</f>
        <v/>
      </c>
    </row>
    <row r="42">
      <c r="A42" s="34" t="inlineStr">
        <is>
          <t>拿管子打</t>
        </is>
      </c>
      <c r="B42" s="34" t="inlineStr">
        <is>
          <t>持有危险武器人身攻击罪</t>
        </is>
      </c>
      <c r="C42" s="34">
        <f>IF(AND($A41&lt;&gt;"",'算罪台'!$B$4&lt;&gt;"",ISNUMBER(SEARCH($A41,'算罪台'!$B$4))),1,0)</f>
        <v/>
      </c>
      <c r="D42" s="34">
        <f>IF(AND($A41&lt;&gt;"",'算罪台'!$B$5&lt;&gt;"",ISNUMBER(SEARCH($A41,'算罪台'!$B$5))),1,0)</f>
        <v/>
      </c>
      <c r="E42" s="34">
        <f>IF(AND($A41&lt;&gt;"",'算罪台'!$B$6&lt;&gt;"",ISNUMBER(SEARCH($A41,'算罪台'!$B$6))),1,0)</f>
        <v/>
      </c>
    </row>
    <row r="43">
      <c r="A43" s="34" t="inlineStr">
        <is>
          <t>割伤</t>
        </is>
      </c>
      <c r="B43" s="34" t="inlineStr">
        <is>
          <t>持有危险武器人身攻击罪</t>
        </is>
      </c>
      <c r="C43" s="34">
        <f>IF(AND($A42&lt;&gt;"",'算罪台'!$B$4&lt;&gt;"",ISNUMBER(SEARCH($A42,'算罪台'!$B$4))),1,0)</f>
        <v/>
      </c>
      <c r="D43" s="34">
        <f>IF(AND($A42&lt;&gt;"",'算罪台'!$B$5&lt;&gt;"",ISNUMBER(SEARCH($A42,'算罪台'!$B$5))),1,0)</f>
        <v/>
      </c>
      <c r="E43" s="34">
        <f>IF(AND($A42&lt;&gt;"",'算罪台'!$B$6&lt;&gt;"",ISNUMBER(SEARCH($A42,'算罪台'!$B$6))),1,0)</f>
        <v/>
      </c>
    </row>
    <row r="44">
      <c r="A44" s="34" t="inlineStr">
        <is>
          <t>砍伤</t>
        </is>
      </c>
      <c r="B44" s="34" t="inlineStr">
        <is>
          <t>持有危险武器人身攻击罪</t>
        </is>
      </c>
      <c r="C44" s="34">
        <f>IF(AND($A43&lt;&gt;"",'算罪台'!$B$4&lt;&gt;"",ISNUMBER(SEARCH($A43,'算罪台'!$B$4))),1,0)</f>
        <v/>
      </c>
      <c r="D44" s="34">
        <f>IF(AND($A43&lt;&gt;"",'算罪台'!$B$5&lt;&gt;"",ISNUMBER(SEARCH($A43,'算罪台'!$B$5))),1,0)</f>
        <v/>
      </c>
      <c r="E44" s="34">
        <f>IF(AND($A43&lt;&gt;"",'算罪台'!$B$6&lt;&gt;"",ISNUMBER(SEARCH($A43,'算罪台'!$B$6))),1,0)</f>
        <v/>
      </c>
    </row>
    <row r="45">
      <c r="A45" s="34" t="inlineStr">
        <is>
          <t>捅伤</t>
        </is>
      </c>
      <c r="B45" s="34" t="inlineStr">
        <is>
          <t>持有危险武器人身攻击罪</t>
        </is>
      </c>
      <c r="C45" s="34">
        <f>IF(AND($A44&lt;&gt;"",'算罪台'!$B$4&lt;&gt;"",ISNUMBER(SEARCH($A44,'算罪台'!$B$4))),1,0)</f>
        <v/>
      </c>
      <c r="D45" s="34">
        <f>IF(AND($A44&lt;&gt;"",'算罪台'!$B$5&lt;&gt;"",ISNUMBER(SEARCH($A44,'算罪台'!$B$5))),1,0)</f>
        <v/>
      </c>
      <c r="E45" s="34">
        <f>IF(AND($A44&lt;&gt;"",'算罪台'!$B$6&lt;&gt;"",ISNUMBER(SEARCH($A44,'算罪台'!$B$6))),1,0)</f>
        <v/>
      </c>
    </row>
    <row r="46">
      <c r="A46" s="34" t="inlineStr">
        <is>
          <t>刺伤</t>
        </is>
      </c>
      <c r="B46" s="34" t="inlineStr">
        <is>
          <t>持有危险武器人身攻击罪</t>
        </is>
      </c>
      <c r="C46" s="34">
        <f>IF(AND($A45&lt;&gt;"",'算罪台'!$B$4&lt;&gt;"",ISNUMBER(SEARCH($A45,'算罪台'!$B$4))),1,0)</f>
        <v/>
      </c>
      <c r="D46" s="34">
        <f>IF(AND($A45&lt;&gt;"",'算罪台'!$B$5&lt;&gt;"",ISNUMBER(SEARCH($A45,'算罪台'!$B$5))),1,0)</f>
        <v/>
      </c>
      <c r="E46" s="34">
        <f>IF(AND($A45&lt;&gt;"",'算罪台'!$B$6&lt;&gt;"",ISNUMBER(SEARCH($A45,'算罪台'!$B$6))),1,0)</f>
        <v/>
      </c>
    </row>
    <row r="47">
      <c r="A47" s="34" t="inlineStr">
        <is>
          <t>划伤</t>
        </is>
      </c>
      <c r="B47" s="34" t="inlineStr">
        <is>
          <t>持有危险武器人身攻击罪</t>
        </is>
      </c>
      <c r="C47" s="34">
        <f>IF(AND($A46&lt;&gt;"",'算罪台'!$B$4&lt;&gt;"",ISNUMBER(SEARCH($A46,'算罪台'!$B$4))),1,0)</f>
        <v/>
      </c>
      <c r="D47" s="34">
        <f>IF(AND($A46&lt;&gt;"",'算罪台'!$B$5&lt;&gt;"",ISNUMBER(SEARCH($A46,'算罪台'!$B$5))),1,0)</f>
        <v/>
      </c>
      <c r="E47" s="34">
        <f>IF(AND($A46&lt;&gt;"",'算罪台'!$B$6&lt;&gt;"",ISNUMBER(SEARCH($A46,'算罪台'!$B$6))),1,0)</f>
        <v/>
      </c>
    </row>
    <row r="48">
      <c r="A48" s="34" t="inlineStr">
        <is>
          <t>刀伤</t>
        </is>
      </c>
      <c r="B48" s="34" t="inlineStr">
        <is>
          <t>持有危险武器人身攻击罪</t>
        </is>
      </c>
      <c r="C48" s="34">
        <f>IF(AND($A47&lt;&gt;"",'算罪台'!$B$4&lt;&gt;"",ISNUMBER(SEARCH($A47,'算罪台'!$B$4))),1,0)</f>
        <v/>
      </c>
      <c r="D48" s="34">
        <f>IF(AND($A47&lt;&gt;"",'算罪台'!$B$5&lt;&gt;"",ISNUMBER(SEARCH($A47,'算罪台'!$B$5))),1,0)</f>
        <v/>
      </c>
      <c r="E48" s="34">
        <f>IF(AND($A47&lt;&gt;"",'算罪台'!$B$6&lt;&gt;"",ISNUMBER(SEARCH($A47,'算罪台'!$B$6))),1,0)</f>
        <v/>
      </c>
    </row>
    <row r="49">
      <c r="A49" s="34" t="inlineStr">
        <is>
          <t>拿刀捅</t>
        </is>
      </c>
      <c r="B49" s="34" t="inlineStr">
        <is>
          <t>持有危险武器人身攻击罪</t>
        </is>
      </c>
      <c r="C49" s="34">
        <f>IF(AND($A48&lt;&gt;"",'算罪台'!$B$4&lt;&gt;"",ISNUMBER(SEARCH($A48,'算罪台'!$B$4))),1,0)</f>
        <v/>
      </c>
      <c r="D49" s="34">
        <f>IF(AND($A48&lt;&gt;"",'算罪台'!$B$5&lt;&gt;"",ISNUMBER(SEARCH($A48,'算罪台'!$B$5))),1,0)</f>
        <v/>
      </c>
      <c r="E49" s="34">
        <f>IF(AND($A48&lt;&gt;"",'算罪台'!$B$6&lt;&gt;"",ISNUMBER(SEARCH($A48,'算罪台'!$B$6))),1,0)</f>
        <v/>
      </c>
    </row>
    <row r="50">
      <c r="A50" s="34" t="inlineStr">
        <is>
          <t>持刀伤人</t>
        </is>
      </c>
      <c r="B50" s="34" t="inlineStr">
        <is>
          <t>持有危险武器人身攻击罪</t>
        </is>
      </c>
      <c r="C50" s="34">
        <f>IF(AND($A49&lt;&gt;"",'算罪台'!$B$4&lt;&gt;"",ISNUMBER(SEARCH($A49,'算罪台'!$B$4))),1,0)</f>
        <v/>
      </c>
      <c r="D50" s="34">
        <f>IF(AND($A49&lt;&gt;"",'算罪台'!$B$5&lt;&gt;"",ISNUMBER(SEARCH($A49,'算罪台'!$B$5))),1,0)</f>
        <v/>
      </c>
      <c r="E50" s="34">
        <f>IF(AND($A49&lt;&gt;"",'算罪台'!$B$6&lt;&gt;"",ISNUMBER(SEARCH($A49,'算罪台'!$B$6))),1,0)</f>
        <v/>
      </c>
    </row>
    <row r="51">
      <c r="A51" s="34" t="inlineStr">
        <is>
          <t>操刀</t>
        </is>
      </c>
      <c r="B51" s="34" t="inlineStr">
        <is>
          <t>持有危险武器人身攻击罪</t>
        </is>
      </c>
      <c r="C51" s="34">
        <f>IF(AND($A50&lt;&gt;"",'算罪台'!$B$4&lt;&gt;"",ISNUMBER(SEARCH($A50,'算罪台'!$B$4))),1,0)</f>
        <v/>
      </c>
      <c r="D51" s="34">
        <f>IF(AND($A50&lt;&gt;"",'算罪台'!$B$5&lt;&gt;"",ISNUMBER(SEARCH($A50,'算罪台'!$B$5))),1,0)</f>
        <v/>
      </c>
      <c r="E51" s="34">
        <f>IF(AND($A50&lt;&gt;"",'算罪台'!$B$6&lt;&gt;"",ISNUMBER(SEARCH($A50,'算罪台'!$B$6))),1,0)</f>
        <v/>
      </c>
    </row>
    <row r="52">
      <c r="A52" s="34" t="inlineStr">
        <is>
          <t>抡刀</t>
        </is>
      </c>
      <c r="B52" s="34" t="inlineStr">
        <is>
          <t>持有危险武器人身攻击罪</t>
        </is>
      </c>
      <c r="C52" s="34">
        <f>IF(AND($A51&lt;&gt;"",'算罪台'!$B$4&lt;&gt;"",ISNUMBER(SEARCH($A51,'算罪台'!$B$4))),1,0)</f>
        <v/>
      </c>
      <c r="D52" s="34">
        <f>IF(AND($A51&lt;&gt;"",'算罪台'!$B$5&lt;&gt;"",ISNUMBER(SEARCH($A51,'算罪台'!$B$5))),1,0)</f>
        <v/>
      </c>
      <c r="E52" s="34">
        <f>IF(AND($A51&lt;&gt;"",'算罪台'!$B$6&lt;&gt;"",ISNUMBER(SEARCH($A51,'算罪台'!$B$6))),1,0)</f>
        <v/>
      </c>
    </row>
    <row r="53">
      <c r="A53" s="34" t="inlineStr">
        <is>
          <t>亮刀子</t>
        </is>
      </c>
      <c r="B53" s="34" t="inlineStr">
        <is>
          <t>持有危险武器人身攻击罪</t>
        </is>
      </c>
      <c r="C53" s="34">
        <f>IF(AND($A52&lt;&gt;"",'算罪台'!$B$4&lt;&gt;"",ISNUMBER(SEARCH($A52,'算罪台'!$B$4))),1,0)</f>
        <v/>
      </c>
      <c r="D53" s="34">
        <f>IF(AND($A52&lt;&gt;"",'算罪台'!$B$5&lt;&gt;"",ISNUMBER(SEARCH($A52,'算罪台'!$B$5))),1,0)</f>
        <v/>
      </c>
      <c r="E53" s="34">
        <f>IF(AND($A52&lt;&gt;"",'算罪台'!$B$6&lt;&gt;"",ISNUMBER(SEARCH($A52,'算罪台'!$B$6))),1,0)</f>
        <v/>
      </c>
    </row>
    <row r="54">
      <c r="A54" s="34" t="inlineStr">
        <is>
          <t>拿匕首</t>
        </is>
      </c>
      <c r="B54" s="34" t="inlineStr">
        <is>
          <t>持有危险武器人身攻击罪</t>
        </is>
      </c>
      <c r="C54" s="34">
        <f>IF(AND($A53&lt;&gt;"",'算罪台'!$B$4&lt;&gt;"",ISNUMBER(SEARCH($A53,'算罪台'!$B$4))),1,0)</f>
        <v/>
      </c>
      <c r="D54" s="34">
        <f>IF(AND($A53&lt;&gt;"",'算罪台'!$B$5&lt;&gt;"",ISNUMBER(SEARCH($A53,'算罪台'!$B$5))),1,0)</f>
        <v/>
      </c>
      <c r="E54" s="34">
        <f>IF(AND($A53&lt;&gt;"",'算罪台'!$B$6&lt;&gt;"",ISNUMBER(SEARCH($A53,'算罪台'!$B$6))),1,0)</f>
        <v/>
      </c>
    </row>
    <row r="55">
      <c r="A55" s="34" t="inlineStr">
        <is>
          <t>持匕首</t>
        </is>
      </c>
      <c r="B55" s="34" t="inlineStr">
        <is>
          <t>持有危险武器人身攻击罪</t>
        </is>
      </c>
      <c r="C55" s="34">
        <f>IF(AND($A54&lt;&gt;"",'算罪台'!$B$4&lt;&gt;"",ISNUMBER(SEARCH($A54,'算罪台'!$B$4))),1,0)</f>
        <v/>
      </c>
      <c r="D55" s="34">
        <f>IF(AND($A54&lt;&gt;"",'算罪台'!$B$5&lt;&gt;"",ISNUMBER(SEARCH($A54,'算罪台'!$B$5))),1,0)</f>
        <v/>
      </c>
      <c r="E55" s="34">
        <f>IF(AND($A54&lt;&gt;"",'算罪台'!$B$6&lt;&gt;"",ISNUMBER(SEARCH($A54,'算罪台'!$B$6))),1,0)</f>
        <v/>
      </c>
    </row>
    <row r="56">
      <c r="A56" s="34" t="inlineStr">
        <is>
          <t>拿砖头砸人</t>
        </is>
      </c>
      <c r="B56" s="34" t="inlineStr">
        <is>
          <t>持有危险武器人身攻击罪</t>
        </is>
      </c>
      <c r="C56" s="34">
        <f>IF(AND($A55&lt;&gt;"",'算罪台'!$B$4&lt;&gt;"",ISNUMBER(SEARCH($A55,'算罪台'!$B$4))),1,0)</f>
        <v/>
      </c>
      <c r="D56" s="34">
        <f>IF(AND($A55&lt;&gt;"",'算罪台'!$B$5&lt;&gt;"",ISNUMBER(SEARCH($A55,'算罪台'!$B$5))),1,0)</f>
        <v/>
      </c>
      <c r="E56" s="34">
        <f>IF(AND($A55&lt;&gt;"",'算罪台'!$B$6&lt;&gt;"",ISNUMBER(SEARCH($A55,'算罪台'!$B$6))),1,0)</f>
        <v/>
      </c>
    </row>
    <row r="57">
      <c r="A57" s="34" t="inlineStr">
        <is>
          <t>拿铁棍</t>
        </is>
      </c>
      <c r="B57" s="34" t="inlineStr">
        <is>
          <t>持有危险武器人身攻击罪</t>
        </is>
      </c>
      <c r="C57" s="34">
        <f>IF(AND($A56&lt;&gt;"",'算罪台'!$B$4&lt;&gt;"",ISNUMBER(SEARCH($A56,'算罪台'!$B$4))),1,0)</f>
        <v/>
      </c>
      <c r="D57" s="34">
        <f>IF(AND($A56&lt;&gt;"",'算罪台'!$B$5&lt;&gt;"",ISNUMBER(SEARCH($A56,'算罪台'!$B$5))),1,0)</f>
        <v/>
      </c>
      <c r="E57" s="34">
        <f>IF(AND($A56&lt;&gt;"",'算罪台'!$B$6&lt;&gt;"",ISNUMBER(SEARCH($A56,'算罪台'!$B$6))),1,0)</f>
        <v/>
      </c>
    </row>
    <row r="58">
      <c r="A58" s="34" t="inlineStr">
        <is>
          <t>用铁棍</t>
        </is>
      </c>
      <c r="B58" s="34" t="inlineStr">
        <is>
          <t>持有危险武器人身攻击罪</t>
        </is>
      </c>
      <c r="C58" s="34">
        <f>IF(AND($A57&lt;&gt;"",'算罪台'!$B$4&lt;&gt;"",ISNUMBER(SEARCH($A57,'算罪台'!$B$4))),1,0)</f>
        <v/>
      </c>
      <c r="D58" s="34">
        <f>IF(AND($A57&lt;&gt;"",'算罪台'!$B$5&lt;&gt;"",ISNUMBER(SEARCH($A57,'算罪台'!$B$5))),1,0)</f>
        <v/>
      </c>
      <c r="E58" s="34">
        <f>IF(AND($A57&lt;&gt;"",'算罪台'!$B$6&lt;&gt;"",ISNUMBER(SEARCH($A57,'算罪台'!$B$6))),1,0)</f>
        <v/>
      </c>
    </row>
    <row r="59">
      <c r="A59" s="34" t="inlineStr">
        <is>
          <t>用斧头</t>
        </is>
      </c>
      <c r="B59" s="34" t="inlineStr">
        <is>
          <t>持有危险武器人身攻击罪</t>
        </is>
      </c>
      <c r="C59" s="34">
        <f>IF(AND($A58&lt;&gt;"",'算罪台'!$B$4&lt;&gt;"",ISNUMBER(SEARCH($A58,'算罪台'!$B$4))),1,0)</f>
        <v/>
      </c>
      <c r="D59" s="34">
        <f>IF(AND($A58&lt;&gt;"",'算罪台'!$B$5&lt;&gt;"",ISNUMBER(SEARCH($A58,'算罪台'!$B$5))),1,0)</f>
        <v/>
      </c>
      <c r="E59" s="34">
        <f>IF(AND($A58&lt;&gt;"",'算罪台'!$B$6&lt;&gt;"",ISNUMBER(SEARCH($A58,'算罪台'!$B$6))),1,0)</f>
        <v/>
      </c>
    </row>
    <row r="60">
      <c r="A60" s="34" t="inlineStr">
        <is>
          <t>持斧</t>
        </is>
      </c>
      <c r="B60" s="34" t="inlineStr">
        <is>
          <t>持有危险武器人身攻击罪</t>
        </is>
      </c>
      <c r="C60" s="34">
        <f>IF(AND($A59&lt;&gt;"",'算罪台'!$B$4&lt;&gt;"",ISNUMBER(SEARCH($A59,'算罪台'!$B$4))),1,0)</f>
        <v/>
      </c>
      <c r="D60" s="34">
        <f>IF(AND($A59&lt;&gt;"",'算罪台'!$B$5&lt;&gt;"",ISNUMBER(SEARCH($A59,'算罪台'!$B$5))),1,0)</f>
        <v/>
      </c>
      <c r="E60" s="34">
        <f>IF(AND($A59&lt;&gt;"",'算罪台'!$B$6&lt;&gt;"",ISNUMBER(SEARCH($A59,'算罪台'!$B$6))),1,0)</f>
        <v/>
      </c>
    </row>
    <row r="61">
      <c r="A61" s="34" t="inlineStr">
        <is>
          <t>拿菜刀</t>
        </is>
      </c>
      <c r="B61" s="34" t="inlineStr">
        <is>
          <t>持有危险武器人身攻击罪</t>
        </is>
      </c>
      <c r="C61" s="34">
        <f>IF(AND($A60&lt;&gt;"",'算罪台'!$B$4&lt;&gt;"",ISNUMBER(SEARCH($A60,'算罪台'!$B$4))),1,0)</f>
        <v/>
      </c>
      <c r="D61" s="34">
        <f>IF(AND($A60&lt;&gt;"",'算罪台'!$B$5&lt;&gt;"",ISNUMBER(SEARCH($A60,'算罪台'!$B$5))),1,0)</f>
        <v/>
      </c>
      <c r="E61" s="34">
        <f>IF(AND($A60&lt;&gt;"",'算罪台'!$B$6&lt;&gt;"",ISNUMBER(SEARCH($A60,'算罪台'!$B$6))),1,0)</f>
        <v/>
      </c>
    </row>
    <row r="62">
      <c r="A62" s="34" t="inlineStr">
        <is>
          <t>持械殴打</t>
        </is>
      </c>
      <c r="B62" s="34" t="inlineStr">
        <is>
          <t>持有危险武器人身攻击罪</t>
        </is>
      </c>
      <c r="C62" s="34">
        <f>IF(AND($A61&lt;&gt;"",'算罪台'!$B$4&lt;&gt;"",ISNUMBER(SEARCH($A61,'算罪台'!$B$4))),1,0)</f>
        <v/>
      </c>
      <c r="D62" s="34">
        <f>IF(AND($A61&lt;&gt;"",'算罪台'!$B$5&lt;&gt;"",ISNUMBER(SEARCH($A61,'算罪台'!$B$5))),1,0)</f>
        <v/>
      </c>
      <c r="E62" s="34">
        <f>IF(AND($A61&lt;&gt;"",'算罪台'!$B$6&lt;&gt;"",ISNUMBER(SEARCH($A61,'算罪台'!$B$6))),1,0)</f>
        <v/>
      </c>
    </row>
    <row r="63">
      <c r="A63" s="34" t="inlineStr">
        <is>
          <t>抄刀</t>
        </is>
      </c>
      <c r="B63" s="34" t="inlineStr">
        <is>
          <t>持有危险武器人身攻击罪</t>
        </is>
      </c>
      <c r="C63" s="34">
        <f>IF(AND($A62&lt;&gt;"",'算罪台'!$B$4&lt;&gt;"",ISNUMBER(SEARCH($A62,'算罪台'!$B$4))),1,0)</f>
        <v/>
      </c>
      <c r="D63" s="34">
        <f>IF(AND($A62&lt;&gt;"",'算罪台'!$B$5&lt;&gt;"",ISNUMBER(SEARCH($A62,'算罪台'!$B$5))),1,0)</f>
        <v/>
      </c>
      <c r="E63" s="34">
        <f>IF(AND($A62&lt;&gt;"",'算罪台'!$B$6&lt;&gt;"",ISNUMBER(SEARCH($A62,'算罪台'!$B$6))),1,0)</f>
        <v/>
      </c>
    </row>
    <row r="64">
      <c r="A64" s="34" t="inlineStr">
        <is>
          <t>拿棒球棍</t>
        </is>
      </c>
      <c r="B64" s="34" t="inlineStr">
        <is>
          <t>持有危险武器人身攻击罪</t>
        </is>
      </c>
      <c r="C64" s="34">
        <f>IF(AND($A63&lt;&gt;"",'算罪台'!$B$4&lt;&gt;"",ISNUMBER(SEARCH($A63,'算罪台'!$B$4))),1,0)</f>
        <v/>
      </c>
      <c r="D64" s="34">
        <f>IF(AND($A63&lt;&gt;"",'算罪台'!$B$5&lt;&gt;"",ISNUMBER(SEARCH($A63,'算罪台'!$B$5))),1,0)</f>
        <v/>
      </c>
      <c r="E64" s="34">
        <f>IF(AND($A63&lt;&gt;"",'算罪台'!$B$6&lt;&gt;"",ISNUMBER(SEARCH($A63,'算罪台'!$B$6))),1,0)</f>
        <v/>
      </c>
    </row>
    <row r="65">
      <c r="A65" s="34" t="inlineStr">
        <is>
          <t>持刀威胁</t>
        </is>
      </c>
      <c r="B65" s="34" t="inlineStr">
        <is>
          <t>持有危险武器人身攻击罪</t>
        </is>
      </c>
      <c r="C65" s="34">
        <f>IF(AND($A64&lt;&gt;"",'算罪台'!$B$4&lt;&gt;"",ISNUMBER(SEARCH($A64,'算罪台'!$B$4))),1,0)</f>
        <v/>
      </c>
      <c r="D65" s="34">
        <f>IF(AND($A64&lt;&gt;"",'算罪台'!$B$5&lt;&gt;"",ISNUMBER(SEARCH($A64,'算罪台'!$B$5))),1,0)</f>
        <v/>
      </c>
      <c r="E65" s="34">
        <f>IF(AND($A64&lt;&gt;"",'算罪台'!$B$6&lt;&gt;"",ISNUMBER(SEARCH($A64,'算罪台'!$B$6))),1,0)</f>
        <v/>
      </c>
    </row>
    <row r="66">
      <c r="A66" s="34" t="inlineStr">
        <is>
          <t>拿刀比划</t>
        </is>
      </c>
      <c r="B66" s="34" t="inlineStr">
        <is>
          <t>持有危险武器人身攻击罪</t>
        </is>
      </c>
      <c r="C66" s="34">
        <f>IF(AND($A65&lt;&gt;"",'算罪台'!$B$4&lt;&gt;"",ISNUMBER(SEARCH($A65,'算罪台'!$B$4))),1,0)</f>
        <v/>
      </c>
      <c r="D66" s="34">
        <f>IF(AND($A65&lt;&gt;"",'算罪台'!$B$5&lt;&gt;"",ISNUMBER(SEARCH($A65,'算罪台'!$B$5))),1,0)</f>
        <v/>
      </c>
      <c r="E66" s="34">
        <f>IF(AND($A65&lt;&gt;"",'算罪台'!$B$6&lt;&gt;"",ISNUMBER(SEARCH($A65,'算罪台'!$B$6))),1,0)</f>
        <v/>
      </c>
    </row>
    <row r="67">
      <c r="A67" s="34" t="inlineStr">
        <is>
          <t>用刀划人</t>
        </is>
      </c>
      <c r="B67" s="34" t="inlineStr">
        <is>
          <t>持有危险武器人身攻击罪</t>
        </is>
      </c>
      <c r="C67" s="34">
        <f>IF(AND($A66&lt;&gt;"",'算罪台'!$B$4&lt;&gt;"",ISNUMBER(SEARCH($A66,'算罪台'!$B$4))),1,0)</f>
        <v/>
      </c>
      <c r="D67" s="34">
        <f>IF(AND($A66&lt;&gt;"",'算罪台'!$B$5&lt;&gt;"",ISNUMBER(SEARCH($A66,'算罪台'!$B$5))),1,0)</f>
        <v/>
      </c>
      <c r="E67" s="34">
        <f>IF(AND($A66&lt;&gt;"",'算罪台'!$B$6&lt;&gt;"",ISNUMBER(SEARCH($A66,'算罪台'!$B$6))),1,0)</f>
        <v/>
      </c>
    </row>
    <row r="68">
      <c r="A68" s="34" t="inlineStr">
        <is>
          <t>持械打人</t>
        </is>
      </c>
      <c r="B68" s="34" t="inlineStr">
        <is>
          <t>持有危险武器人身攻击罪</t>
        </is>
      </c>
      <c r="C68" s="34">
        <f>IF(AND($A67&lt;&gt;"",'算罪台'!$B$4&lt;&gt;"",ISNUMBER(SEARCH($A67,'算罪台'!$B$4))),1,0)</f>
        <v/>
      </c>
      <c r="D68" s="34">
        <f>IF(AND($A67&lt;&gt;"",'算罪台'!$B$5&lt;&gt;"",ISNUMBER(SEARCH($A67,'算罪台'!$B$5))),1,0)</f>
        <v/>
      </c>
      <c r="E68" s="34">
        <f>IF(AND($A67&lt;&gt;"",'算罪台'!$B$6&lt;&gt;"",ISNUMBER(SEARCH($A67,'算罪台'!$B$6))),1,0)</f>
        <v/>
      </c>
    </row>
    <row r="69">
      <c r="A69" s="34" t="inlineStr">
        <is>
          <t>拿凶器</t>
        </is>
      </c>
      <c r="B69" s="34" t="inlineStr">
        <is>
          <t>持有危险武器人身攻击罪</t>
        </is>
      </c>
      <c r="C69" s="34">
        <f>IF(AND($A68&lt;&gt;"",'算罪台'!$B$4&lt;&gt;"",ISNUMBER(SEARCH($A68,'算罪台'!$B$4))),1,0)</f>
        <v/>
      </c>
      <c r="D69" s="34">
        <f>IF(AND($A68&lt;&gt;"",'算罪台'!$B$5&lt;&gt;"",ISNUMBER(SEARCH($A68,'算罪台'!$B$5))),1,0)</f>
        <v/>
      </c>
      <c r="E69" s="34">
        <f>IF(AND($A68&lt;&gt;"",'算罪台'!$B$6&lt;&gt;"",ISNUMBER(SEARCH($A68,'算罪台'!$B$6))),1,0)</f>
        <v/>
      </c>
    </row>
    <row r="70">
      <c r="A70" s="34" t="inlineStr">
        <is>
          <t>持凶器</t>
        </is>
      </c>
      <c r="B70" s="34" t="inlineStr">
        <is>
          <t>持有危险武器人身攻击罪</t>
        </is>
      </c>
      <c r="C70" s="34">
        <f>IF(AND($A69&lt;&gt;"",'算罪台'!$B$4&lt;&gt;"",ISNUMBER(SEARCH($A69,'算罪台'!$B$4))),1,0)</f>
        <v/>
      </c>
      <c r="D70" s="34">
        <f>IF(AND($A69&lt;&gt;"",'算罪台'!$B$5&lt;&gt;"",ISNUMBER(SEARCH($A69,'算罪台'!$B$5))),1,0)</f>
        <v/>
      </c>
      <c r="E70" s="34">
        <f>IF(AND($A69&lt;&gt;"",'算罪台'!$B$6&lt;&gt;"",ISNUMBER(SEARCH($A69,'算罪台'!$B$6))),1,0)</f>
        <v/>
      </c>
    </row>
    <row r="71">
      <c r="A71" s="34" t="inlineStr">
        <is>
          <t>用利器</t>
        </is>
      </c>
      <c r="B71" s="34" t="inlineStr">
        <is>
          <t>持有危险武器人身攻击罪</t>
        </is>
      </c>
      <c r="C71" s="34">
        <f>IF(AND($A70&lt;&gt;"",'算罪台'!$B$4&lt;&gt;"",ISNUMBER(SEARCH($A70,'算罪台'!$B$4))),1,0)</f>
        <v/>
      </c>
      <c r="D71" s="34">
        <f>IF(AND($A70&lt;&gt;"",'算罪台'!$B$5&lt;&gt;"",ISNUMBER(SEARCH($A70,'算罪台'!$B$5))),1,0)</f>
        <v/>
      </c>
      <c r="E71" s="34">
        <f>IF(AND($A70&lt;&gt;"",'算罪台'!$B$6&lt;&gt;"",ISNUMBER(SEARCH($A70,'算罪台'!$B$6))),1,0)</f>
        <v/>
      </c>
    </row>
    <row r="72">
      <c r="A72" s="34" t="inlineStr">
        <is>
          <t>挥刀</t>
        </is>
      </c>
      <c r="B72" s="34" t="inlineStr">
        <is>
          <t>持有危险武器人身攻击罪</t>
        </is>
      </c>
      <c r="C72" s="34">
        <f>IF(AND($A71&lt;&gt;"",'算罪台'!$B$4&lt;&gt;"",ISNUMBER(SEARCH($A71,'算罪台'!$B$4))),1,0)</f>
        <v/>
      </c>
      <c r="D72" s="34">
        <f>IF(AND($A71&lt;&gt;"",'算罪台'!$B$5&lt;&gt;"",ISNUMBER(SEARCH($A71,'算罪台'!$B$5))),1,0)</f>
        <v/>
      </c>
      <c r="E72" s="34">
        <f>IF(AND($A71&lt;&gt;"",'算罪台'!$B$6&lt;&gt;"",ISNUMBER(SEARCH($A71,'算罪台'!$B$6))),1,0)</f>
        <v/>
      </c>
    </row>
    <row r="73">
      <c r="A73" s="34" t="inlineStr">
        <is>
          <t>持械行凶</t>
        </is>
      </c>
      <c r="B73" s="34" t="inlineStr">
        <is>
          <t>持有危险武器人身攻击罪</t>
        </is>
      </c>
      <c r="C73" s="34">
        <f>IF(AND($A72&lt;&gt;"",'算罪台'!$B$4&lt;&gt;"",ISNUMBER(SEARCH($A72,'算罪台'!$B$4))),1,0)</f>
        <v/>
      </c>
      <c r="D73" s="34">
        <f>IF(AND($A72&lt;&gt;"",'算罪台'!$B$5&lt;&gt;"",ISNUMBER(SEARCH($A72,'算罪台'!$B$5))),1,0)</f>
        <v/>
      </c>
      <c r="E73" s="34">
        <f>IF(AND($A72&lt;&gt;"",'算罪台'!$B$6&lt;&gt;"",ISNUMBER(SEARCH($A72,'算罪台'!$B$6))),1,0)</f>
        <v/>
      </c>
    </row>
    <row r="74">
      <c r="A74" s="34" t="inlineStr">
        <is>
          <t>拿刀冲</t>
        </is>
      </c>
      <c r="B74" s="34" t="inlineStr">
        <is>
          <t>持有危险武器人身攻击罪</t>
        </is>
      </c>
      <c r="C74" s="34">
        <f>IF(AND($A73&lt;&gt;"",'算罪台'!$B$4&lt;&gt;"",ISNUMBER(SEARCH($A73,'算罪台'!$B$4))),1,0)</f>
        <v/>
      </c>
      <c r="D74" s="34">
        <f>IF(AND($A73&lt;&gt;"",'算罪台'!$B$5&lt;&gt;"",ISNUMBER(SEARCH($A73,'算罪台'!$B$5))),1,0)</f>
        <v/>
      </c>
      <c r="E74" s="34">
        <f>IF(AND($A73&lt;&gt;"",'算罪台'!$B$6&lt;&gt;"",ISNUMBER(SEARCH($A73,'算罪台'!$B$6))),1,0)</f>
        <v/>
      </c>
    </row>
    <row r="75">
      <c r="A75" s="34" t="inlineStr">
        <is>
          <t>持刀行凶</t>
        </is>
      </c>
      <c r="B75" s="34" t="inlineStr">
        <is>
          <t>持有危险武器人身攻击罪</t>
        </is>
      </c>
      <c r="C75" s="34">
        <f>IF(AND($A74&lt;&gt;"",'算罪台'!$B$4&lt;&gt;"",ISNUMBER(SEARCH($A74,'算罪台'!$B$4))),1,0)</f>
        <v/>
      </c>
      <c r="D75" s="34">
        <f>IF(AND($A74&lt;&gt;"",'算罪台'!$B$5&lt;&gt;"",ISNUMBER(SEARCH($A74,'算罪台'!$B$5))),1,0)</f>
        <v/>
      </c>
      <c r="E75" s="34">
        <f>IF(AND($A74&lt;&gt;"",'算罪台'!$B$6&lt;&gt;"",ISNUMBER(SEARCH($A74,'算罪台'!$B$6))),1,0)</f>
        <v/>
      </c>
    </row>
    <row r="76">
      <c r="A76" s="34" t="inlineStr">
        <is>
          <t>用刀伤人</t>
        </is>
      </c>
      <c r="B76" s="34" t="inlineStr">
        <is>
          <t>持有危险武器人身攻击罪</t>
        </is>
      </c>
      <c r="C76" s="34">
        <f>IF(AND($A75&lt;&gt;"",'算罪台'!$B$4&lt;&gt;"",ISNUMBER(SEARCH($A75,'算罪台'!$B$4))),1,0)</f>
        <v/>
      </c>
      <c r="D76" s="34">
        <f>IF(AND($A75&lt;&gt;"",'算罪台'!$B$5&lt;&gt;"",ISNUMBER(SEARCH($A75,'算罪台'!$B$5))),1,0)</f>
        <v/>
      </c>
      <c r="E76" s="34">
        <f>IF(AND($A75&lt;&gt;"",'算罪台'!$B$6&lt;&gt;"",ISNUMBER(SEARCH($A75,'算罪台'!$B$6))),1,0)</f>
        <v/>
      </c>
    </row>
    <row r="77">
      <c r="A77" s="34" t="inlineStr">
        <is>
          <t>一级谋杀</t>
        </is>
      </c>
      <c r="B77" s="34" t="inlineStr">
        <is>
          <t>一级谋杀罪</t>
        </is>
      </c>
      <c r="C77" s="34">
        <f>IF(AND($A76&lt;&gt;"",'算罪台'!$B$4&lt;&gt;"",ISNUMBER(SEARCH($A76,'算罪台'!$B$4))),1,0)</f>
        <v/>
      </c>
      <c r="D77" s="34">
        <f>IF(AND($A76&lt;&gt;"",'算罪台'!$B$5&lt;&gt;"",ISNUMBER(SEARCH($A76,'算罪台'!$B$5))),1,0)</f>
        <v/>
      </c>
      <c r="E77" s="34">
        <f>IF(AND($A76&lt;&gt;"",'算罪台'!$B$6&lt;&gt;"",ISNUMBER(SEARCH($A76,'算罪台'!$B$6))),1,0)</f>
        <v/>
      </c>
    </row>
    <row r="78">
      <c r="A78" s="34" t="inlineStr">
        <is>
          <t>预谋杀人</t>
        </is>
      </c>
      <c r="B78" s="34" t="inlineStr">
        <is>
          <t>一级谋杀罪</t>
        </is>
      </c>
      <c r="C78" s="34">
        <f>IF(AND($A77&lt;&gt;"",'算罪台'!$B$4&lt;&gt;"",ISNUMBER(SEARCH($A77,'算罪台'!$B$4))),1,0)</f>
        <v/>
      </c>
      <c r="D78" s="34">
        <f>IF(AND($A77&lt;&gt;"",'算罪台'!$B$5&lt;&gt;"",ISNUMBER(SEARCH($A77,'算罪台'!$B$5))),1,0)</f>
        <v/>
      </c>
      <c r="E78" s="34">
        <f>IF(AND($A77&lt;&gt;"",'算罪台'!$B$6&lt;&gt;"",ISNUMBER(SEARCH($A77,'算罪台'!$B$6))),1,0)</f>
        <v/>
      </c>
    </row>
    <row r="79">
      <c r="A79" s="34" t="inlineStr">
        <is>
          <t>蓄意杀人</t>
        </is>
      </c>
      <c r="B79" s="34" t="inlineStr">
        <is>
          <t>一级谋杀罪</t>
        </is>
      </c>
      <c r="C79" s="34">
        <f>IF(AND($A78&lt;&gt;"",'算罪台'!$B$4&lt;&gt;"",ISNUMBER(SEARCH($A78,'算罪台'!$B$4))),1,0)</f>
        <v/>
      </c>
      <c r="D79" s="34">
        <f>IF(AND($A78&lt;&gt;"",'算罪台'!$B$5&lt;&gt;"",ISNUMBER(SEARCH($A78,'算罪台'!$B$5))),1,0)</f>
        <v/>
      </c>
      <c r="E79" s="34">
        <f>IF(AND($A78&lt;&gt;"",'算罪台'!$B$6&lt;&gt;"",ISNUMBER(SEARCH($A78,'算罪台'!$B$6))),1,0)</f>
        <v/>
      </c>
    </row>
    <row r="80">
      <c r="A80" s="34" t="inlineStr">
        <is>
          <t>有预谋</t>
        </is>
      </c>
      <c r="B80" s="34" t="inlineStr">
        <is>
          <t>一级谋杀罪</t>
        </is>
      </c>
      <c r="C80" s="34">
        <f>IF(AND($A79&lt;&gt;"",'算罪台'!$B$4&lt;&gt;"",ISNUMBER(SEARCH($A79,'算罪台'!$B$4))),1,0)</f>
        <v/>
      </c>
      <c r="D80" s="34">
        <f>IF(AND($A79&lt;&gt;"",'算罪台'!$B$5&lt;&gt;"",ISNUMBER(SEARCH($A79,'算罪台'!$B$5))),1,0)</f>
        <v/>
      </c>
      <c r="E80" s="34">
        <f>IF(AND($A79&lt;&gt;"",'算罪台'!$B$6&lt;&gt;"",ISNUMBER(SEARCH($A79,'算罪台'!$B$6))),1,0)</f>
        <v/>
      </c>
    </row>
    <row r="81">
      <c r="A81" s="34" t="inlineStr">
        <is>
          <t>谋划杀</t>
        </is>
      </c>
      <c r="B81" s="34" t="inlineStr">
        <is>
          <t>一级谋杀罪</t>
        </is>
      </c>
      <c r="C81" s="34">
        <f>IF(AND($A80&lt;&gt;"",'算罪台'!$B$4&lt;&gt;"",ISNUMBER(SEARCH($A80,'算罪台'!$B$4))),1,0)</f>
        <v/>
      </c>
      <c r="D81" s="34">
        <f>IF(AND($A80&lt;&gt;"",'算罪台'!$B$5&lt;&gt;"",ISNUMBER(SEARCH($A80,'算罪台'!$B$5))),1,0)</f>
        <v/>
      </c>
      <c r="E81" s="34">
        <f>IF(AND($A80&lt;&gt;"",'算罪台'!$B$6&lt;&gt;"",ISNUMBER(SEARCH($A80,'算罪台'!$B$6))),1,0)</f>
        <v/>
      </c>
    </row>
    <row r="82">
      <c r="A82" s="34" t="inlineStr">
        <is>
          <t>策划杀人</t>
        </is>
      </c>
      <c r="B82" s="34" t="inlineStr">
        <is>
          <t>一级谋杀罪</t>
        </is>
      </c>
      <c r="C82" s="34">
        <f>IF(AND($A81&lt;&gt;"",'算罪台'!$B$4&lt;&gt;"",ISNUMBER(SEARCH($A81,'算罪台'!$B$4))),1,0)</f>
        <v/>
      </c>
      <c r="D82" s="34">
        <f>IF(AND($A81&lt;&gt;"",'算罪台'!$B$5&lt;&gt;"",ISNUMBER(SEARCH($A81,'算罪台'!$B$5))),1,0)</f>
        <v/>
      </c>
      <c r="E82" s="34">
        <f>IF(AND($A81&lt;&gt;"",'算罪台'!$B$6&lt;&gt;"",ISNUMBER(SEARCH($A81,'算罪台'!$B$6))),1,0)</f>
        <v/>
      </c>
    </row>
    <row r="83">
      <c r="A83" s="34" t="inlineStr">
        <is>
          <t>蓄谋杀人</t>
        </is>
      </c>
      <c r="B83" s="34" t="inlineStr">
        <is>
          <t>一级谋杀罪</t>
        </is>
      </c>
      <c r="C83" s="34">
        <f>IF(AND($A82&lt;&gt;"",'算罪台'!$B$4&lt;&gt;"",ISNUMBER(SEARCH($A82,'算罪台'!$B$4))),1,0)</f>
        <v/>
      </c>
      <c r="D83" s="34">
        <f>IF(AND($A82&lt;&gt;"",'算罪台'!$B$5&lt;&gt;"",ISNUMBER(SEARCH($A82,'算罪台'!$B$5))),1,0)</f>
        <v/>
      </c>
      <c r="E83" s="34">
        <f>IF(AND($A82&lt;&gt;"",'算罪台'!$B$6&lt;&gt;"",ISNUMBER(SEARCH($A82,'算罪台'!$B$6))),1,0)</f>
        <v/>
      </c>
    </row>
    <row r="84">
      <c r="A84" s="34" t="inlineStr">
        <is>
          <t>有计划杀</t>
        </is>
      </c>
      <c r="B84" s="34" t="inlineStr">
        <is>
          <t>一级谋杀罪</t>
        </is>
      </c>
      <c r="C84" s="34">
        <f>IF(AND($A83&lt;&gt;"",'算罪台'!$B$4&lt;&gt;"",ISNUMBER(SEARCH($A83,'算罪台'!$B$4))),1,0)</f>
        <v/>
      </c>
      <c r="D84" s="34">
        <f>IF(AND($A83&lt;&gt;"",'算罪台'!$B$5&lt;&gt;"",ISNUMBER(SEARCH($A83,'算罪台'!$B$5))),1,0)</f>
        <v/>
      </c>
      <c r="E84" s="34">
        <f>IF(AND($A83&lt;&gt;"",'算罪台'!$B$6&lt;&gt;"",ISNUMBER(SEARCH($A83,'算罪台'!$B$6))),1,0)</f>
        <v/>
      </c>
    </row>
    <row r="85">
      <c r="A85" s="34" t="inlineStr">
        <is>
          <t>买凶杀人</t>
        </is>
      </c>
      <c r="B85" s="34" t="inlineStr">
        <is>
          <t>一级谋杀罪</t>
        </is>
      </c>
      <c r="C85" s="34">
        <f>IF(AND($A84&lt;&gt;"",'算罪台'!$B$4&lt;&gt;"",ISNUMBER(SEARCH($A84,'算罪台'!$B$4))),1,0)</f>
        <v/>
      </c>
      <c r="D85" s="34">
        <f>IF(AND($A84&lt;&gt;"",'算罪台'!$B$5&lt;&gt;"",ISNUMBER(SEARCH($A84,'算罪台'!$B$5))),1,0)</f>
        <v/>
      </c>
      <c r="E85" s="34">
        <f>IF(AND($A84&lt;&gt;"",'算罪台'!$B$6&lt;&gt;"",ISNUMBER(SEARCH($A84,'算罪台'!$B$6))),1,0)</f>
        <v/>
      </c>
    </row>
    <row r="86">
      <c r="A86" s="34" t="inlineStr">
        <is>
          <t>雇凶</t>
        </is>
      </c>
      <c r="B86" s="34" t="inlineStr">
        <is>
          <t>一级谋杀罪</t>
        </is>
      </c>
      <c r="C86" s="34">
        <f>IF(AND($A85&lt;&gt;"",'算罪台'!$B$4&lt;&gt;"",ISNUMBER(SEARCH($A85,'算罪台'!$B$4))),1,0)</f>
        <v/>
      </c>
      <c r="D86" s="34">
        <f>IF(AND($A85&lt;&gt;"",'算罪台'!$B$5&lt;&gt;"",ISNUMBER(SEARCH($A85,'算罪台'!$B$5))),1,0)</f>
        <v/>
      </c>
      <c r="E86" s="34">
        <f>IF(AND($A85&lt;&gt;"",'算罪台'!$B$6&lt;&gt;"",ISNUMBER(SEARCH($A85,'算罪台'!$B$6))),1,0)</f>
        <v/>
      </c>
    </row>
    <row r="87">
      <c r="A87" s="34" t="inlineStr">
        <is>
          <t>处决</t>
        </is>
      </c>
      <c r="B87" s="34" t="inlineStr">
        <is>
          <t>一级谋杀罪</t>
        </is>
      </c>
      <c r="C87" s="34">
        <f>IF(AND($A86&lt;&gt;"",'算罪台'!$B$4&lt;&gt;"",ISNUMBER(SEARCH($A86,'算罪台'!$B$4))),1,0)</f>
        <v/>
      </c>
      <c r="D87" s="34">
        <f>IF(AND($A86&lt;&gt;"",'算罪台'!$B$5&lt;&gt;"",ISNUMBER(SEARCH($A86,'算罪台'!$B$5))),1,0)</f>
        <v/>
      </c>
      <c r="E87" s="34">
        <f>IF(AND($A86&lt;&gt;"",'算罪台'!$B$6&lt;&gt;"",ISNUMBER(SEARCH($A86,'算罪台'!$B$6))),1,0)</f>
        <v/>
      </c>
    </row>
    <row r="88">
      <c r="A88" s="34" t="inlineStr">
        <is>
          <t>行刑式枪决</t>
        </is>
      </c>
      <c r="B88" s="34" t="inlineStr">
        <is>
          <t>一级谋杀罪</t>
        </is>
      </c>
      <c r="C88" s="34">
        <f>IF(AND($A87&lt;&gt;"",'算罪台'!$B$4&lt;&gt;"",ISNUMBER(SEARCH($A87,'算罪台'!$B$4))),1,0)</f>
        <v/>
      </c>
      <c r="D88" s="34">
        <f>IF(AND($A87&lt;&gt;"",'算罪台'!$B$5&lt;&gt;"",ISNUMBER(SEARCH($A87,'算罪台'!$B$5))),1,0)</f>
        <v/>
      </c>
      <c r="E88" s="34">
        <f>IF(AND($A87&lt;&gt;"",'算罪台'!$B$6&lt;&gt;"",ISNUMBER(SEARCH($A87,'算罪台'!$B$6))),1,0)</f>
        <v/>
      </c>
    </row>
    <row r="89">
      <c r="A89" s="34" t="inlineStr">
        <is>
          <t>设伏杀</t>
        </is>
      </c>
      <c r="B89" s="34" t="inlineStr">
        <is>
          <t>一级谋杀罪</t>
        </is>
      </c>
      <c r="C89" s="34">
        <f>IF(AND($A88&lt;&gt;"",'算罪台'!$B$4&lt;&gt;"",ISNUMBER(SEARCH($A88,'算罪台'!$B$4))),1,0)</f>
        <v/>
      </c>
      <c r="D89" s="34">
        <f>IF(AND($A88&lt;&gt;"",'算罪台'!$B$5&lt;&gt;"",ISNUMBER(SEARCH($A88,'算罪台'!$B$5))),1,0)</f>
        <v/>
      </c>
      <c r="E89" s="34">
        <f>IF(AND($A88&lt;&gt;"",'算罪台'!$B$6&lt;&gt;"",ISNUMBER(SEARCH($A88,'算罪台'!$B$6))),1,0)</f>
        <v/>
      </c>
    </row>
    <row r="90">
      <c r="A90" s="34" t="inlineStr">
        <is>
          <t>埋伏杀人</t>
        </is>
      </c>
      <c r="B90" s="34" t="inlineStr">
        <is>
          <t>一级谋杀罪</t>
        </is>
      </c>
      <c r="C90" s="34">
        <f>IF(AND($A89&lt;&gt;"",'算罪台'!$B$4&lt;&gt;"",ISNUMBER(SEARCH($A89,'算罪台'!$B$4))),1,0)</f>
        <v/>
      </c>
      <c r="D90" s="34">
        <f>IF(AND($A89&lt;&gt;"",'算罪台'!$B$5&lt;&gt;"",ISNUMBER(SEARCH($A89,'算罪台'!$B$5))),1,0)</f>
        <v/>
      </c>
      <c r="E90" s="34">
        <f>IF(AND($A89&lt;&gt;"",'算罪台'!$B$6&lt;&gt;"",ISNUMBER(SEARCH($A89,'算罪台'!$B$6))),1,0)</f>
        <v/>
      </c>
    </row>
    <row r="91">
      <c r="A91" s="34" t="inlineStr">
        <is>
          <t>预谋行凶</t>
        </is>
      </c>
      <c r="B91" s="34" t="inlineStr">
        <is>
          <t>一级谋杀罪</t>
        </is>
      </c>
      <c r="C91" s="34">
        <f>IF(AND($A90&lt;&gt;"",'算罪台'!$B$4&lt;&gt;"",ISNUMBER(SEARCH($A90,'算罪台'!$B$4))),1,0)</f>
        <v/>
      </c>
      <c r="D91" s="34">
        <f>IF(AND($A90&lt;&gt;"",'算罪台'!$B$5&lt;&gt;"",ISNUMBER(SEARCH($A90,'算罪台'!$B$5))),1,0)</f>
        <v/>
      </c>
      <c r="E91" s="34">
        <f>IF(AND($A90&lt;&gt;"",'算罪台'!$B$6&lt;&gt;"",ISNUMBER(SEARCH($A90,'算罪台'!$B$6))),1,0)</f>
        <v/>
      </c>
    </row>
    <row r="92">
      <c r="A92" s="34" t="inlineStr">
        <is>
          <t>精心策划杀</t>
        </is>
      </c>
      <c r="B92" s="34" t="inlineStr">
        <is>
          <t>一级谋杀罪</t>
        </is>
      </c>
      <c r="C92" s="34">
        <f>IF(AND($A91&lt;&gt;"",'算罪台'!$B$4&lt;&gt;"",ISNUMBER(SEARCH($A91,'算罪台'!$B$4))),1,0)</f>
        <v/>
      </c>
      <c r="D92" s="34">
        <f>IF(AND($A91&lt;&gt;"",'算罪台'!$B$5&lt;&gt;"",ISNUMBER(SEARCH($A91,'算罪台'!$B$5))),1,0)</f>
        <v/>
      </c>
      <c r="E92" s="34">
        <f>IF(AND($A91&lt;&gt;"",'算罪台'!$B$6&lt;&gt;"",ISNUMBER(SEARCH($A91,'算罪台'!$B$6))),1,0)</f>
        <v/>
      </c>
    </row>
    <row r="93">
      <c r="A93" s="34" t="inlineStr">
        <is>
          <t>预谋杀害</t>
        </is>
      </c>
      <c r="B93" s="34" t="inlineStr">
        <is>
          <t>一级谋杀罪</t>
        </is>
      </c>
      <c r="C93" s="34">
        <f>IF(AND($A92&lt;&gt;"",'算罪台'!$B$4&lt;&gt;"",ISNUMBER(SEARCH($A92,'算罪台'!$B$4))),1,0)</f>
        <v/>
      </c>
      <c r="D93" s="34">
        <f>IF(AND($A92&lt;&gt;"",'算罪台'!$B$5&lt;&gt;"",ISNUMBER(SEARCH($A92,'算罪台'!$B$5))),1,0)</f>
        <v/>
      </c>
      <c r="E93" s="34">
        <f>IF(AND($A92&lt;&gt;"",'算罪台'!$B$6&lt;&gt;"",ISNUMBER(SEARCH($A92,'算罪台'!$B$6))),1,0)</f>
        <v/>
      </c>
    </row>
    <row r="94">
      <c r="A94" s="34" t="inlineStr">
        <is>
          <t>谋害</t>
        </is>
      </c>
      <c r="B94" s="34" t="inlineStr">
        <is>
          <t>一级谋杀罪</t>
        </is>
      </c>
      <c r="C94" s="34">
        <f>IF(AND($A93&lt;&gt;"",'算罪台'!$B$4&lt;&gt;"",ISNUMBER(SEARCH($A93,'算罪台'!$B$4))),1,0)</f>
        <v/>
      </c>
      <c r="D94" s="34">
        <f>IF(AND($A93&lt;&gt;"",'算罪台'!$B$5&lt;&gt;"",ISNUMBER(SEARCH($A93,'算罪台'!$B$5))),1,0)</f>
        <v/>
      </c>
      <c r="E94" s="34">
        <f>IF(AND($A93&lt;&gt;"",'算罪台'!$B$6&lt;&gt;"",ISNUMBER(SEARCH($A93,'算罪台'!$B$6))),1,0)</f>
        <v/>
      </c>
    </row>
    <row r="95">
      <c r="A95" s="34" t="inlineStr">
        <is>
          <t>预谋灭口</t>
        </is>
      </c>
      <c r="B95" s="34" t="inlineStr">
        <is>
          <t>一级谋杀罪</t>
        </is>
      </c>
      <c r="C95" s="34">
        <f>IF(AND($A94&lt;&gt;"",'算罪台'!$B$4&lt;&gt;"",ISNUMBER(SEARCH($A94,'算罪台'!$B$4))),1,0)</f>
        <v/>
      </c>
      <c r="D95" s="34">
        <f>IF(AND($A94&lt;&gt;"",'算罪台'!$B$5&lt;&gt;"",ISNUMBER(SEARCH($A94,'算罪台'!$B$5))),1,0)</f>
        <v/>
      </c>
      <c r="E95" s="34">
        <f>IF(AND($A94&lt;&gt;"",'算罪台'!$B$6&lt;&gt;"",ISNUMBER(SEARCH($A94,'算罪台'!$B$6))),1,0)</f>
        <v/>
      </c>
    </row>
    <row r="96">
      <c r="A96" s="34" t="inlineStr">
        <is>
          <t>灭口</t>
        </is>
      </c>
      <c r="B96" s="34" t="inlineStr">
        <is>
          <t>一级谋杀罪</t>
        </is>
      </c>
      <c r="C96" s="34">
        <f>IF(AND($A95&lt;&gt;"",'算罪台'!$B$4&lt;&gt;"",ISNUMBER(SEARCH($A95,'算罪台'!$B$4))),1,0)</f>
        <v/>
      </c>
      <c r="D96" s="34">
        <f>IF(AND($A95&lt;&gt;"",'算罪台'!$B$5&lt;&gt;"",ISNUMBER(SEARCH($A95,'算罪台'!$B$5))),1,0)</f>
        <v/>
      </c>
      <c r="E96" s="34">
        <f>IF(AND($A95&lt;&gt;"",'算罪台'!$B$6&lt;&gt;"",ISNUMBER(SEARCH($A95,'算罪台'!$B$6))),1,0)</f>
        <v/>
      </c>
    </row>
    <row r="97">
      <c r="A97" s="34" t="inlineStr">
        <is>
          <t>预谋谋杀</t>
        </is>
      </c>
      <c r="B97" s="34" t="inlineStr">
        <is>
          <t>一级谋杀罪</t>
        </is>
      </c>
      <c r="C97" s="34">
        <f>IF(AND($A96&lt;&gt;"",'算罪台'!$B$4&lt;&gt;"",ISNUMBER(SEARCH($A96,'算罪台'!$B$4))),1,0)</f>
        <v/>
      </c>
      <c r="D97" s="34">
        <f>IF(AND($A96&lt;&gt;"",'算罪台'!$B$5&lt;&gt;"",ISNUMBER(SEARCH($A96,'算罪台'!$B$5))),1,0)</f>
        <v/>
      </c>
      <c r="E97" s="34">
        <f>IF(AND($A96&lt;&gt;"",'算罪台'!$B$6&lt;&gt;"",ISNUMBER(SEARCH($A96,'算罪台'!$B$6))),1,0)</f>
        <v/>
      </c>
    </row>
    <row r="98">
      <c r="A98" s="34" t="inlineStr">
        <is>
          <t>二级谋杀</t>
        </is>
      </c>
      <c r="B98" s="34" t="inlineStr">
        <is>
          <t>二级谋杀罪</t>
        </is>
      </c>
      <c r="C98" s="34">
        <f>IF(AND($A97&lt;&gt;"",'算罪台'!$B$4&lt;&gt;"",ISNUMBER(SEARCH($A97,'算罪台'!$B$4))),1,0)</f>
        <v/>
      </c>
      <c r="D98" s="34">
        <f>IF(AND($A97&lt;&gt;"",'算罪台'!$B$5&lt;&gt;"",ISNUMBER(SEARCH($A97,'算罪台'!$B$5))),1,0)</f>
        <v/>
      </c>
      <c r="E98" s="34">
        <f>IF(AND($A97&lt;&gt;"",'算罪台'!$B$6&lt;&gt;"",ISNUMBER(SEARCH($A97,'算罪台'!$B$6))),1,0)</f>
        <v/>
      </c>
    </row>
    <row r="99">
      <c r="A99" s="34" t="inlineStr">
        <is>
          <t>故意杀人</t>
        </is>
      </c>
      <c r="B99" s="34" t="inlineStr">
        <is>
          <t>二级谋杀罪</t>
        </is>
      </c>
      <c r="C99" s="34">
        <f>IF(AND($A98&lt;&gt;"",'算罪台'!$B$4&lt;&gt;"",ISNUMBER(SEARCH($A98,'算罪台'!$B$4))),1,0)</f>
        <v/>
      </c>
      <c r="D99" s="34">
        <f>IF(AND($A98&lt;&gt;"",'算罪台'!$B$5&lt;&gt;"",ISNUMBER(SEARCH($A98,'算罪台'!$B$5))),1,0)</f>
        <v/>
      </c>
      <c r="E99" s="34">
        <f>IF(AND($A98&lt;&gt;"",'算罪台'!$B$6&lt;&gt;"",ISNUMBER(SEARCH($A98,'算罪台'!$B$6))),1,0)</f>
        <v/>
      </c>
    </row>
    <row r="100">
      <c r="A100" s="34" t="inlineStr">
        <is>
          <t>杀人</t>
        </is>
      </c>
      <c r="B100" s="34" t="inlineStr">
        <is>
          <t>二级谋杀罪</t>
        </is>
      </c>
      <c r="C100" s="34">
        <f>IF(AND($A99&lt;&gt;"",'算罪台'!$B$4&lt;&gt;"",ISNUMBER(SEARCH($A99,'算罪台'!$B$4))),1,0)</f>
        <v/>
      </c>
      <c r="D100" s="34">
        <f>IF(AND($A99&lt;&gt;"",'算罪台'!$B$5&lt;&gt;"",ISNUMBER(SEARCH($A99,'算罪台'!$B$5))),1,0)</f>
        <v/>
      </c>
      <c r="E100" s="34">
        <f>IF(AND($A99&lt;&gt;"",'算罪台'!$B$6&lt;&gt;"",ISNUMBER(SEARCH($A99,'算罪台'!$B$6))),1,0)</f>
        <v/>
      </c>
    </row>
    <row r="101">
      <c r="A101" s="34" t="inlineStr">
        <is>
          <t>打死</t>
        </is>
      </c>
      <c r="B101" s="34" t="inlineStr">
        <is>
          <t>二级谋杀罪</t>
        </is>
      </c>
      <c r="C101" s="34">
        <f>IF(AND($A100&lt;&gt;"",'算罪台'!$B$4&lt;&gt;"",ISNUMBER(SEARCH($A100,'算罪台'!$B$4))),1,0)</f>
        <v/>
      </c>
      <c r="D101" s="34">
        <f>IF(AND($A100&lt;&gt;"",'算罪台'!$B$5&lt;&gt;"",ISNUMBER(SEARCH($A100,'算罪台'!$B$5))),1,0)</f>
        <v/>
      </c>
      <c r="E101" s="34">
        <f>IF(AND($A100&lt;&gt;"",'算罪台'!$B$6&lt;&gt;"",ISNUMBER(SEARCH($A100,'算罪台'!$B$6))),1,0)</f>
        <v/>
      </c>
    </row>
    <row r="102">
      <c r="A102" s="34" t="inlineStr">
        <is>
          <t>枪杀</t>
        </is>
      </c>
      <c r="B102" s="34" t="inlineStr">
        <is>
          <t>二级谋杀罪</t>
        </is>
      </c>
      <c r="C102" s="34">
        <f>IF(AND($A101&lt;&gt;"",'算罪台'!$B$4&lt;&gt;"",ISNUMBER(SEARCH($A101,'算罪台'!$B$4))),1,0)</f>
        <v/>
      </c>
      <c r="D102" s="34">
        <f>IF(AND($A101&lt;&gt;"",'算罪台'!$B$5&lt;&gt;"",ISNUMBER(SEARCH($A101,'算罪台'!$B$5))),1,0)</f>
        <v/>
      </c>
      <c r="E102" s="34">
        <f>IF(AND($A101&lt;&gt;"",'算罪台'!$B$6&lt;&gt;"",ISNUMBER(SEARCH($A101,'算罪台'!$B$6))),1,0)</f>
        <v/>
      </c>
    </row>
    <row r="103">
      <c r="A103" s="34" t="inlineStr">
        <is>
          <t>致人死亡</t>
        </is>
      </c>
      <c r="B103" s="34" t="inlineStr">
        <is>
          <t>二级谋杀罪</t>
        </is>
      </c>
      <c r="C103" s="34">
        <f>IF(AND($A102&lt;&gt;"",'算罪台'!$B$4&lt;&gt;"",ISNUMBER(SEARCH($A102,'算罪台'!$B$4))),1,0)</f>
        <v/>
      </c>
      <c r="D103" s="34">
        <f>IF(AND($A102&lt;&gt;"",'算罪台'!$B$5&lt;&gt;"",ISNUMBER(SEARCH($A102,'算罪台'!$B$5))),1,0)</f>
        <v/>
      </c>
      <c r="E103" s="34">
        <f>IF(AND($A102&lt;&gt;"",'算罪台'!$B$6&lt;&gt;"",ISNUMBER(SEARCH($A102,'算罪台'!$B$6))),1,0)</f>
        <v/>
      </c>
    </row>
    <row r="104">
      <c r="A104" s="34" t="inlineStr">
        <is>
          <t>杀死</t>
        </is>
      </c>
      <c r="B104" s="34" t="inlineStr">
        <is>
          <t>二级谋杀罪</t>
        </is>
      </c>
      <c r="C104" s="34">
        <f>IF(AND($A103&lt;&gt;"",'算罪台'!$B$4&lt;&gt;"",ISNUMBER(SEARCH($A103,'算罪台'!$B$4))),1,0)</f>
        <v/>
      </c>
      <c r="D104" s="34">
        <f>IF(AND($A103&lt;&gt;"",'算罪台'!$B$5&lt;&gt;"",ISNUMBER(SEARCH($A103,'算罪台'!$B$5))),1,0)</f>
        <v/>
      </c>
      <c r="E104" s="34">
        <f>IF(AND($A103&lt;&gt;"",'算罪台'!$B$6&lt;&gt;"",ISNUMBER(SEARCH($A103,'算罪台'!$B$6))),1,0)</f>
        <v/>
      </c>
    </row>
    <row r="105">
      <c r="A105" s="34" t="inlineStr">
        <is>
          <t>弄死</t>
        </is>
      </c>
      <c r="B105" s="34" t="inlineStr">
        <is>
          <t>二级谋杀罪</t>
        </is>
      </c>
      <c r="C105" s="34">
        <f>IF(AND($A104&lt;&gt;"",'算罪台'!$B$4&lt;&gt;"",ISNUMBER(SEARCH($A104,'算罪台'!$B$4))),1,0)</f>
        <v/>
      </c>
      <c r="D105" s="34">
        <f>IF(AND($A104&lt;&gt;"",'算罪台'!$B$5&lt;&gt;"",ISNUMBER(SEARCH($A104,'算罪台'!$B$5))),1,0)</f>
        <v/>
      </c>
      <c r="E105" s="34">
        <f>IF(AND($A104&lt;&gt;"",'算罪台'!$B$6&lt;&gt;"",ISNUMBER(SEARCH($A104,'算罪台'!$B$6))),1,0)</f>
        <v/>
      </c>
    </row>
    <row r="106">
      <c r="A106" s="34" t="inlineStr">
        <is>
          <t>捅死</t>
        </is>
      </c>
      <c r="B106" s="34" t="inlineStr">
        <is>
          <t>二级谋杀罪</t>
        </is>
      </c>
      <c r="C106" s="34">
        <f>IF(AND($A105&lt;&gt;"",'算罪台'!$B$4&lt;&gt;"",ISNUMBER(SEARCH($A105,'算罪台'!$B$4))),1,0)</f>
        <v/>
      </c>
      <c r="D106" s="34">
        <f>IF(AND($A105&lt;&gt;"",'算罪台'!$B$5&lt;&gt;"",ISNUMBER(SEARCH($A105,'算罪台'!$B$5))),1,0)</f>
        <v/>
      </c>
      <c r="E106" s="34">
        <f>IF(AND($A105&lt;&gt;"",'算罪台'!$B$6&lt;&gt;"",ISNUMBER(SEARCH($A105,'算罪台'!$B$6))),1,0)</f>
        <v/>
      </c>
    </row>
    <row r="107">
      <c r="A107" s="34" t="inlineStr">
        <is>
          <t>砍死</t>
        </is>
      </c>
      <c r="B107" s="34" t="inlineStr">
        <is>
          <t>二级谋杀罪</t>
        </is>
      </c>
      <c r="C107" s="34">
        <f>IF(AND($A106&lt;&gt;"",'算罪台'!$B$4&lt;&gt;"",ISNUMBER(SEARCH($A106,'算罪台'!$B$4))),1,0)</f>
        <v/>
      </c>
      <c r="D107" s="34">
        <f>IF(AND($A106&lt;&gt;"",'算罪台'!$B$5&lt;&gt;"",ISNUMBER(SEARCH($A106,'算罪台'!$B$5))),1,0)</f>
        <v/>
      </c>
      <c r="E107" s="34">
        <f>IF(AND($A106&lt;&gt;"",'算罪台'!$B$6&lt;&gt;"",ISNUMBER(SEARCH($A106,'算罪台'!$B$6))),1,0)</f>
        <v/>
      </c>
    </row>
    <row r="108">
      <c r="A108" s="34" t="inlineStr">
        <is>
          <t>杀了</t>
        </is>
      </c>
      <c r="B108" s="34" t="inlineStr">
        <is>
          <t>二级谋杀罪</t>
        </is>
      </c>
      <c r="C108" s="34">
        <f>IF(AND($A107&lt;&gt;"",'算罪台'!$B$4&lt;&gt;"",ISNUMBER(SEARCH($A107,'算罪台'!$B$4))),1,0)</f>
        <v/>
      </c>
      <c r="D108" s="34">
        <f>IF(AND($A107&lt;&gt;"",'算罪台'!$B$5&lt;&gt;"",ISNUMBER(SEARCH($A107,'算罪台'!$B$5))),1,0)</f>
        <v/>
      </c>
      <c r="E108" s="34">
        <f>IF(AND($A107&lt;&gt;"",'算罪台'!$B$6&lt;&gt;"",ISNUMBER(SEARCH($A107,'算罪台'!$B$6))),1,0)</f>
        <v/>
      </c>
    </row>
    <row r="109">
      <c r="A109" s="34" t="inlineStr">
        <is>
          <t>当场打死</t>
        </is>
      </c>
      <c r="B109" s="34" t="inlineStr">
        <is>
          <t>二级谋杀罪</t>
        </is>
      </c>
      <c r="C109" s="34">
        <f>IF(AND($A108&lt;&gt;"",'算罪台'!$B$4&lt;&gt;"",ISNUMBER(SEARCH($A108,'算罪台'!$B$4))),1,0)</f>
        <v/>
      </c>
      <c r="D109" s="34">
        <f>IF(AND($A108&lt;&gt;"",'算罪台'!$B$5&lt;&gt;"",ISNUMBER(SEARCH($A108,'算罪台'!$B$5))),1,0)</f>
        <v/>
      </c>
      <c r="E109" s="34">
        <f>IF(AND($A108&lt;&gt;"",'算罪台'!$B$6&lt;&gt;"",ISNUMBER(SEARCH($A108,'算罪台'!$B$6))),1,0)</f>
        <v/>
      </c>
    </row>
    <row r="110">
      <c r="A110" s="34" t="inlineStr">
        <is>
          <t>一枪爆头</t>
        </is>
      </c>
      <c r="B110" s="34" t="inlineStr">
        <is>
          <t>二级谋杀罪</t>
        </is>
      </c>
      <c r="C110" s="34">
        <f>IF(AND($A109&lt;&gt;"",'算罪台'!$B$4&lt;&gt;"",ISNUMBER(SEARCH($A109,'算罪台'!$B$4))),1,0)</f>
        <v/>
      </c>
      <c r="D110" s="34">
        <f>IF(AND($A109&lt;&gt;"",'算罪台'!$B$5&lt;&gt;"",ISNUMBER(SEARCH($A109,'算罪台'!$B$5))),1,0)</f>
        <v/>
      </c>
      <c r="E110" s="34">
        <f>IF(AND($A109&lt;&gt;"",'算罪台'!$B$6&lt;&gt;"",ISNUMBER(SEARCH($A109,'算罪台'!$B$6))),1,0)</f>
        <v/>
      </c>
    </row>
    <row r="111">
      <c r="A111" s="34" t="inlineStr">
        <is>
          <t>爆头</t>
        </is>
      </c>
      <c r="B111" s="34" t="inlineStr">
        <is>
          <t>二级谋杀罪</t>
        </is>
      </c>
      <c r="C111" s="34">
        <f>IF(AND($A110&lt;&gt;"",'算罪台'!$B$4&lt;&gt;"",ISNUMBER(SEARCH($A110,'算罪台'!$B$4))),1,0)</f>
        <v/>
      </c>
      <c r="D111" s="34">
        <f>IF(AND($A110&lt;&gt;"",'算罪台'!$B$5&lt;&gt;"",ISNUMBER(SEARCH($A110,'算罪台'!$B$5))),1,0)</f>
        <v/>
      </c>
      <c r="E111" s="34">
        <f>IF(AND($A110&lt;&gt;"",'算罪台'!$B$6&lt;&gt;"",ISNUMBER(SEARCH($A110,'算罪台'!$B$6))),1,0)</f>
        <v/>
      </c>
    </row>
    <row r="112">
      <c r="A112" s="34" t="inlineStr">
        <is>
          <t>崩了他</t>
        </is>
      </c>
      <c r="B112" s="34" t="inlineStr">
        <is>
          <t>二级谋杀罪</t>
        </is>
      </c>
      <c r="C112" s="34">
        <f>IF(AND($A111&lt;&gt;"",'算罪台'!$B$4&lt;&gt;"",ISNUMBER(SEARCH($A111,'算罪台'!$B$4))),1,0)</f>
        <v/>
      </c>
      <c r="D112" s="34">
        <f>IF(AND($A111&lt;&gt;"",'算罪台'!$B$5&lt;&gt;"",ISNUMBER(SEARCH($A111,'算罪台'!$B$5))),1,0)</f>
        <v/>
      </c>
      <c r="E112" s="34">
        <f>IF(AND($A111&lt;&gt;"",'算罪台'!$B$6&lt;&gt;"",ISNUMBER(SEARCH($A111,'算罪台'!$B$6))),1,0)</f>
        <v/>
      </c>
    </row>
    <row r="113">
      <c r="A113" s="34" t="inlineStr">
        <is>
          <t>做掉</t>
        </is>
      </c>
      <c r="B113" s="34" t="inlineStr">
        <is>
          <t>二级谋杀罪</t>
        </is>
      </c>
      <c r="C113" s="34">
        <f>IF(AND($A112&lt;&gt;"",'算罪台'!$B$4&lt;&gt;"",ISNUMBER(SEARCH($A112,'算罪台'!$B$4))),1,0)</f>
        <v/>
      </c>
      <c r="D113" s="34">
        <f>IF(AND($A112&lt;&gt;"",'算罪台'!$B$5&lt;&gt;"",ISNUMBER(SEARCH($A112,'算罪台'!$B$5))),1,0)</f>
        <v/>
      </c>
      <c r="E113" s="34">
        <f>IF(AND($A112&lt;&gt;"",'算罪台'!$B$6&lt;&gt;"",ISNUMBER(SEARCH($A112,'算罪台'!$B$6))),1,0)</f>
        <v/>
      </c>
    </row>
    <row r="114">
      <c r="A114" s="34" t="inlineStr">
        <is>
          <t>干掉</t>
        </is>
      </c>
      <c r="B114" s="34" t="inlineStr">
        <is>
          <t>二级谋杀罪</t>
        </is>
      </c>
      <c r="C114" s="34">
        <f>IF(AND($A113&lt;&gt;"",'算罪台'!$B$4&lt;&gt;"",ISNUMBER(SEARCH($A113,'算罪台'!$B$4))),1,0)</f>
        <v/>
      </c>
      <c r="D114" s="34">
        <f>IF(AND($A113&lt;&gt;"",'算罪台'!$B$5&lt;&gt;"",ISNUMBER(SEARCH($A113,'算罪台'!$B$5))),1,0)</f>
        <v/>
      </c>
      <c r="E114" s="34">
        <f>IF(AND($A113&lt;&gt;"",'算罪台'!$B$6&lt;&gt;"",ISNUMBER(SEARCH($A113,'算罪台'!$B$6))),1,0)</f>
        <v/>
      </c>
    </row>
    <row r="115">
      <c r="A115" s="34" t="inlineStr">
        <is>
          <t>把人弄死</t>
        </is>
      </c>
      <c r="B115" s="34" t="inlineStr">
        <is>
          <t>二级谋杀罪</t>
        </is>
      </c>
      <c r="C115" s="34">
        <f>IF(AND($A114&lt;&gt;"",'算罪台'!$B$4&lt;&gt;"",ISNUMBER(SEARCH($A114,'算罪台'!$B$4))),1,0)</f>
        <v/>
      </c>
      <c r="D115" s="34">
        <f>IF(AND($A114&lt;&gt;"",'算罪台'!$B$5&lt;&gt;"",ISNUMBER(SEARCH($A114,'算罪台'!$B$5))),1,0)</f>
        <v/>
      </c>
      <c r="E115" s="34">
        <f>IF(AND($A114&lt;&gt;"",'算罪台'!$B$6&lt;&gt;"",ISNUMBER(SEARCH($A114,'算罪台'!$B$6))),1,0)</f>
        <v/>
      </c>
    </row>
    <row r="116">
      <c r="A116" s="34" t="inlineStr">
        <is>
          <t>结果了他</t>
        </is>
      </c>
      <c r="B116" s="34" t="inlineStr">
        <is>
          <t>二级谋杀罪</t>
        </is>
      </c>
      <c r="C116" s="34">
        <f>IF(AND($A115&lt;&gt;"",'算罪台'!$B$4&lt;&gt;"",ISNUMBER(SEARCH($A115,'算罪台'!$B$4))),1,0)</f>
        <v/>
      </c>
      <c r="D116" s="34">
        <f>IF(AND($A115&lt;&gt;"",'算罪台'!$B$5&lt;&gt;"",ISNUMBER(SEARCH($A115,'算罪台'!$B$5))),1,0)</f>
        <v/>
      </c>
      <c r="E116" s="34">
        <f>IF(AND($A115&lt;&gt;"",'算罪台'!$B$6&lt;&gt;"",ISNUMBER(SEARCH($A115,'算罪台'!$B$6))),1,0)</f>
        <v/>
      </c>
    </row>
    <row r="117">
      <c r="A117" s="34" t="inlineStr">
        <is>
          <t>要了他命</t>
        </is>
      </c>
      <c r="B117" s="34" t="inlineStr">
        <is>
          <t>二级谋杀罪</t>
        </is>
      </c>
      <c r="C117" s="34">
        <f>IF(AND($A116&lt;&gt;"",'算罪台'!$B$4&lt;&gt;"",ISNUMBER(SEARCH($A116,'算罪台'!$B$4))),1,0)</f>
        <v/>
      </c>
      <c r="D117" s="34">
        <f>IF(AND($A116&lt;&gt;"",'算罪台'!$B$5&lt;&gt;"",ISNUMBER(SEARCH($A116,'算罪台'!$B$5))),1,0)</f>
        <v/>
      </c>
      <c r="E117" s="34">
        <f>IF(AND($A116&lt;&gt;"",'算罪台'!$B$6&lt;&gt;"",ISNUMBER(SEARCH($A116,'算罪台'!$B$6))),1,0)</f>
        <v/>
      </c>
    </row>
    <row r="118">
      <c r="A118" s="34" t="inlineStr">
        <is>
          <t>一刀捅死</t>
        </is>
      </c>
      <c r="B118" s="34" t="inlineStr">
        <is>
          <t>二级谋杀罪</t>
        </is>
      </c>
      <c r="C118" s="34">
        <f>IF(AND($A117&lt;&gt;"",'算罪台'!$B$4&lt;&gt;"",ISNUMBER(SEARCH($A117,'算罪台'!$B$4))),1,0)</f>
        <v/>
      </c>
      <c r="D118" s="34">
        <f>IF(AND($A117&lt;&gt;"",'算罪台'!$B$5&lt;&gt;"",ISNUMBER(SEARCH($A117,'算罪台'!$B$5))),1,0)</f>
        <v/>
      </c>
      <c r="E118" s="34">
        <f>IF(AND($A117&lt;&gt;"",'算罪台'!$B$6&lt;&gt;"",ISNUMBER(SEARCH($A117,'算罪台'!$B$6))),1,0)</f>
        <v/>
      </c>
    </row>
    <row r="119">
      <c r="A119" s="34" t="inlineStr">
        <is>
          <t>活活打死</t>
        </is>
      </c>
      <c r="B119" s="34" t="inlineStr">
        <is>
          <t>二级谋杀罪</t>
        </is>
      </c>
      <c r="C119" s="34">
        <f>IF(AND($A118&lt;&gt;"",'算罪台'!$B$4&lt;&gt;"",ISNUMBER(SEARCH($A118,'算罪台'!$B$4))),1,0)</f>
        <v/>
      </c>
      <c r="D119" s="34">
        <f>IF(AND($A118&lt;&gt;"",'算罪台'!$B$5&lt;&gt;"",ISNUMBER(SEARCH($A118,'算罪台'!$B$5))),1,0)</f>
        <v/>
      </c>
      <c r="E119" s="34">
        <f>IF(AND($A118&lt;&gt;"",'算罪台'!$B$6&lt;&gt;"",ISNUMBER(SEARCH($A118,'算罪台'!$B$6))),1,0)</f>
        <v/>
      </c>
    </row>
    <row r="120">
      <c r="A120" s="34" t="inlineStr">
        <is>
          <t>枪毙了他</t>
        </is>
      </c>
      <c r="B120" s="34" t="inlineStr">
        <is>
          <t>二级谋杀罪</t>
        </is>
      </c>
      <c r="C120" s="34">
        <f>IF(AND($A119&lt;&gt;"",'算罪台'!$B$4&lt;&gt;"",ISNUMBER(SEARCH($A119,'算罪台'!$B$4))),1,0)</f>
        <v/>
      </c>
      <c r="D120" s="34">
        <f>IF(AND($A119&lt;&gt;"",'算罪台'!$B$5&lt;&gt;"",ISNUMBER(SEARCH($A119,'算罪台'!$B$5))),1,0)</f>
        <v/>
      </c>
      <c r="E120" s="34">
        <f>IF(AND($A119&lt;&gt;"",'算罪台'!$B$6&lt;&gt;"",ISNUMBER(SEARCH($A119,'算罪台'!$B$6))),1,0)</f>
        <v/>
      </c>
    </row>
    <row r="121">
      <c r="A121" s="34" t="inlineStr">
        <is>
          <t>杀了人</t>
        </is>
      </c>
      <c r="B121" s="34" t="inlineStr">
        <is>
          <t>二级谋杀罪</t>
        </is>
      </c>
      <c r="C121" s="34">
        <f>IF(AND($A120&lt;&gt;"",'算罪台'!$B$4&lt;&gt;"",ISNUMBER(SEARCH($A120,'算罪台'!$B$4))),1,0)</f>
        <v/>
      </c>
      <c r="D121" s="34">
        <f>IF(AND($A120&lt;&gt;"",'算罪台'!$B$5&lt;&gt;"",ISNUMBER(SEARCH($A120,'算罪台'!$B$5))),1,0)</f>
        <v/>
      </c>
      <c r="E121" s="34">
        <f>IF(AND($A120&lt;&gt;"",'算罪台'!$B$6&lt;&gt;"",ISNUMBER(SEARCH($A120,'算罪台'!$B$6))),1,0)</f>
        <v/>
      </c>
    </row>
    <row r="122">
      <c r="A122" s="34" t="inlineStr">
        <is>
          <t>把他杀了</t>
        </is>
      </c>
      <c r="B122" s="34" t="inlineStr">
        <is>
          <t>二级谋杀罪</t>
        </is>
      </c>
      <c r="C122" s="34">
        <f>IF(AND($A121&lt;&gt;"",'算罪台'!$B$4&lt;&gt;"",ISNUMBER(SEARCH($A121,'算罪台'!$B$4))),1,0)</f>
        <v/>
      </c>
      <c r="D122" s="34">
        <f>IF(AND($A121&lt;&gt;"",'算罪台'!$B$5&lt;&gt;"",ISNUMBER(SEARCH($A121,'算罪台'!$B$5))),1,0)</f>
        <v/>
      </c>
      <c r="E122" s="34">
        <f>IF(AND($A121&lt;&gt;"",'算罪台'!$B$6&lt;&gt;"",ISNUMBER(SEARCH($A121,'算罪台'!$B$6))),1,0)</f>
        <v/>
      </c>
    </row>
    <row r="123">
      <c r="A123" s="34" t="inlineStr">
        <is>
          <t>捅死人</t>
        </is>
      </c>
      <c r="B123" s="34" t="inlineStr">
        <is>
          <t>二级谋杀罪</t>
        </is>
      </c>
      <c r="C123" s="34">
        <f>IF(AND($A122&lt;&gt;"",'算罪台'!$B$4&lt;&gt;"",ISNUMBER(SEARCH($A122,'算罪台'!$B$4))),1,0)</f>
        <v/>
      </c>
      <c r="D123" s="34">
        <f>IF(AND($A122&lt;&gt;"",'算罪台'!$B$5&lt;&gt;"",ISNUMBER(SEARCH($A122,'算罪台'!$B$5))),1,0)</f>
        <v/>
      </c>
      <c r="E123" s="34">
        <f>IF(AND($A122&lt;&gt;"",'算罪台'!$B$6&lt;&gt;"",ISNUMBER(SEARCH($A122,'算罪台'!$B$6))),1,0)</f>
        <v/>
      </c>
    </row>
    <row r="124">
      <c r="A124" s="34" t="inlineStr">
        <is>
          <t>枪杀致死</t>
        </is>
      </c>
      <c r="B124" s="34" t="inlineStr">
        <is>
          <t>二级谋杀罪</t>
        </is>
      </c>
      <c r="C124" s="34">
        <f>IF(AND($A123&lt;&gt;"",'算罪台'!$B$4&lt;&gt;"",ISNUMBER(SEARCH($A123,'算罪台'!$B$4))),1,0)</f>
        <v/>
      </c>
      <c r="D124" s="34">
        <f>IF(AND($A123&lt;&gt;"",'算罪台'!$B$5&lt;&gt;"",ISNUMBER(SEARCH($A123,'算罪台'!$B$5))),1,0)</f>
        <v/>
      </c>
      <c r="E124" s="34">
        <f>IF(AND($A123&lt;&gt;"",'算罪台'!$B$6&lt;&gt;"",ISNUMBER(SEARCH($A123,'算罪台'!$B$6))),1,0)</f>
        <v/>
      </c>
    </row>
    <row r="125">
      <c r="A125" s="34" t="inlineStr">
        <is>
          <t>当街杀人</t>
        </is>
      </c>
      <c r="B125" s="34" t="inlineStr">
        <is>
          <t>二级谋杀罪</t>
        </is>
      </c>
      <c r="C125" s="34">
        <f>IF(AND($A124&lt;&gt;"",'算罪台'!$B$4&lt;&gt;"",ISNUMBER(SEARCH($A124,'算罪台'!$B$4))),1,0)</f>
        <v/>
      </c>
      <c r="D125" s="34">
        <f>IF(AND($A124&lt;&gt;"",'算罪台'!$B$5&lt;&gt;"",ISNUMBER(SEARCH($A124,'算罪台'!$B$5))),1,0)</f>
        <v/>
      </c>
      <c r="E125" s="34">
        <f>IF(AND($A124&lt;&gt;"",'算罪台'!$B$6&lt;&gt;"",ISNUMBER(SEARCH($A124,'算罪台'!$B$6))),1,0)</f>
        <v/>
      </c>
    </row>
    <row r="126">
      <c r="A126" s="34" t="inlineStr">
        <is>
          <t>行凶杀人</t>
        </is>
      </c>
      <c r="B126" s="34" t="inlineStr">
        <is>
          <t>二级谋杀罪</t>
        </is>
      </c>
      <c r="C126" s="34">
        <f>IF(AND($A125&lt;&gt;"",'算罪台'!$B$4&lt;&gt;"",ISNUMBER(SEARCH($A125,'算罪台'!$B$4))),1,0)</f>
        <v/>
      </c>
      <c r="D126" s="34">
        <f>IF(AND($A125&lt;&gt;"",'算罪台'!$B$5&lt;&gt;"",ISNUMBER(SEARCH($A125,'算罪台'!$B$5))),1,0)</f>
        <v/>
      </c>
      <c r="E126" s="34">
        <f>IF(AND($A125&lt;&gt;"",'算罪台'!$B$6&lt;&gt;"",ISNUMBER(SEARCH($A125,'算罪台'!$B$6))),1,0)</f>
        <v/>
      </c>
    </row>
    <row r="127">
      <c r="A127" s="34" t="inlineStr">
        <is>
          <t>打死人</t>
        </is>
      </c>
      <c r="B127" s="34" t="inlineStr">
        <is>
          <t>二级谋杀罪</t>
        </is>
      </c>
      <c r="C127" s="34">
        <f>IF(AND($A126&lt;&gt;"",'算罪台'!$B$4&lt;&gt;"",ISNUMBER(SEARCH($A126,'算罪台'!$B$4))),1,0)</f>
        <v/>
      </c>
      <c r="D127" s="34">
        <f>IF(AND($A126&lt;&gt;"",'算罪台'!$B$5&lt;&gt;"",ISNUMBER(SEARCH($A126,'算罪台'!$B$5))),1,0)</f>
        <v/>
      </c>
      <c r="E127" s="34">
        <f>IF(AND($A126&lt;&gt;"",'算罪台'!$B$6&lt;&gt;"",ISNUMBER(SEARCH($A126,'算罪台'!$B$6))),1,0)</f>
        <v/>
      </c>
    </row>
    <row r="128">
      <c r="A128" s="34" t="inlineStr">
        <is>
          <t>毙了他</t>
        </is>
      </c>
      <c r="B128" s="34" t="inlineStr">
        <is>
          <t>二级谋杀罪</t>
        </is>
      </c>
      <c r="C128" s="34">
        <f>IF(AND($A127&lt;&gt;"",'算罪台'!$B$4&lt;&gt;"",ISNUMBER(SEARCH($A127,'算罪台'!$B$4))),1,0)</f>
        <v/>
      </c>
      <c r="D128" s="34">
        <f>IF(AND($A127&lt;&gt;"",'算罪台'!$B$5&lt;&gt;"",ISNUMBER(SEARCH($A127,'算罪台'!$B$5))),1,0)</f>
        <v/>
      </c>
      <c r="E128" s="34">
        <f>IF(AND($A127&lt;&gt;"",'算罪台'!$B$6&lt;&gt;"",ISNUMBER(SEARCH($A127,'算罪台'!$B$6))),1,0)</f>
        <v/>
      </c>
    </row>
    <row r="129">
      <c r="A129" s="34" t="inlineStr">
        <is>
          <t>一枪打死</t>
        </is>
      </c>
      <c r="B129" s="34" t="inlineStr">
        <is>
          <t>二级谋杀罪</t>
        </is>
      </c>
      <c r="C129" s="34">
        <f>IF(AND($A128&lt;&gt;"",'算罪台'!$B$4&lt;&gt;"",ISNUMBER(SEARCH($A128,'算罪台'!$B$4))),1,0)</f>
        <v/>
      </c>
      <c r="D129" s="34">
        <f>IF(AND($A128&lt;&gt;"",'算罪台'!$B$5&lt;&gt;"",ISNUMBER(SEARCH($A128,'算罪台'!$B$5))),1,0)</f>
        <v/>
      </c>
      <c r="E129" s="34">
        <f>IF(AND($A128&lt;&gt;"",'算罪台'!$B$6&lt;&gt;"",ISNUMBER(SEARCH($A128,'算罪台'!$B$6))),1,0)</f>
        <v/>
      </c>
    </row>
    <row r="130">
      <c r="A130" s="34" t="inlineStr">
        <is>
          <t>三级谋杀</t>
        </is>
      </c>
      <c r="B130" s="34" t="inlineStr">
        <is>
          <t>三级谋杀罪</t>
        </is>
      </c>
      <c r="C130" s="34">
        <f>IF(AND($A129&lt;&gt;"",'算罪台'!$B$4&lt;&gt;"",ISNUMBER(SEARCH($A129,'算罪台'!$B$4))),1,0)</f>
        <v/>
      </c>
      <c r="D130" s="34">
        <f>IF(AND($A129&lt;&gt;"",'算罪台'!$B$5&lt;&gt;"",ISNUMBER(SEARCH($A129,'算罪台'!$B$5))),1,0)</f>
        <v/>
      </c>
      <c r="E130" s="34">
        <f>IF(AND($A129&lt;&gt;"",'算罪台'!$B$6&lt;&gt;"",ISNUMBER(SEARCH($A129,'算罪台'!$B$6))),1,0)</f>
        <v/>
      </c>
    </row>
    <row r="131">
      <c r="A131" s="34" t="inlineStr">
        <is>
          <t>过失致死</t>
        </is>
      </c>
      <c r="B131" s="34" t="inlineStr">
        <is>
          <t>三级谋杀罪</t>
        </is>
      </c>
      <c r="C131" s="34">
        <f>IF(AND($A130&lt;&gt;"",'算罪台'!$B$4&lt;&gt;"",ISNUMBER(SEARCH($A130,'算罪台'!$B$4))),1,0)</f>
        <v/>
      </c>
      <c r="D131" s="34">
        <f>IF(AND($A130&lt;&gt;"",'算罪台'!$B$5&lt;&gt;"",ISNUMBER(SEARCH($A130,'算罪台'!$B$5))),1,0)</f>
        <v/>
      </c>
      <c r="E131" s="34">
        <f>IF(AND($A130&lt;&gt;"",'算罪台'!$B$6&lt;&gt;"",ISNUMBER(SEARCH($A130,'算罪台'!$B$6))),1,0)</f>
        <v/>
      </c>
    </row>
    <row r="132">
      <c r="A132" s="34" t="inlineStr">
        <is>
          <t>意外致死</t>
        </is>
      </c>
      <c r="B132" s="34" t="inlineStr">
        <is>
          <t>三级谋杀罪</t>
        </is>
      </c>
      <c r="C132" s="34">
        <f>IF(AND($A131&lt;&gt;"",'算罪台'!$B$4&lt;&gt;"",ISNUMBER(SEARCH($A131,'算罪台'!$B$4))),1,0)</f>
        <v/>
      </c>
      <c r="D132" s="34">
        <f>IF(AND($A131&lt;&gt;"",'算罪台'!$B$5&lt;&gt;"",ISNUMBER(SEARCH($A131,'算罪台'!$B$5))),1,0)</f>
        <v/>
      </c>
      <c r="E132" s="34">
        <f>IF(AND($A131&lt;&gt;"",'算罪台'!$B$6&lt;&gt;"",ISNUMBER(SEARCH($A131,'算罪台'!$B$6))),1,0)</f>
        <v/>
      </c>
    </row>
    <row r="133">
      <c r="A133" s="34" t="inlineStr">
        <is>
          <t>误杀</t>
        </is>
      </c>
      <c r="B133" s="34" t="inlineStr">
        <is>
          <t>三级谋杀罪</t>
        </is>
      </c>
      <c r="C133" s="34">
        <f>IF(AND($A132&lt;&gt;"",'算罪台'!$B$4&lt;&gt;"",ISNUMBER(SEARCH($A132,'算罪台'!$B$4))),1,0)</f>
        <v/>
      </c>
      <c r="D133" s="34">
        <f>IF(AND($A132&lt;&gt;"",'算罪台'!$B$5&lt;&gt;"",ISNUMBER(SEARCH($A132,'算罪台'!$B$5))),1,0)</f>
        <v/>
      </c>
      <c r="E133" s="34">
        <f>IF(AND($A132&lt;&gt;"",'算罪台'!$B$6&lt;&gt;"",ISNUMBER(SEARCH($A132,'算罪台'!$B$6))),1,0)</f>
        <v/>
      </c>
    </row>
    <row r="134">
      <c r="A134" s="34" t="inlineStr">
        <is>
          <t>失手打死</t>
        </is>
      </c>
      <c r="B134" s="34" t="inlineStr">
        <is>
          <t>三级谋杀罪</t>
        </is>
      </c>
      <c r="C134" s="34">
        <f>IF(AND($A133&lt;&gt;"",'算罪台'!$B$4&lt;&gt;"",ISNUMBER(SEARCH($A133,'算罪台'!$B$4))),1,0)</f>
        <v/>
      </c>
      <c r="D134" s="34">
        <f>IF(AND($A133&lt;&gt;"",'算罪台'!$B$5&lt;&gt;"",ISNUMBER(SEARCH($A133,'算罪台'!$B$5))),1,0)</f>
        <v/>
      </c>
      <c r="E134" s="34">
        <f>IF(AND($A133&lt;&gt;"",'算罪台'!$B$6&lt;&gt;"",ISNUMBER(SEARCH($A133,'算罪台'!$B$6))),1,0)</f>
        <v/>
      </c>
    </row>
    <row r="135">
      <c r="A135" s="34" t="inlineStr">
        <is>
          <t>冲突致死</t>
        </is>
      </c>
      <c r="B135" s="34" t="inlineStr">
        <is>
          <t>三级谋杀罪</t>
        </is>
      </c>
      <c r="C135" s="34">
        <f>IF(AND($A134&lt;&gt;"",'算罪台'!$B$4&lt;&gt;"",ISNUMBER(SEARCH($A134,'算罪台'!$B$4))),1,0)</f>
        <v/>
      </c>
      <c r="D135" s="34">
        <f>IF(AND($A134&lt;&gt;"",'算罪台'!$B$5&lt;&gt;"",ISNUMBER(SEARCH($A134,'算罪台'!$B$5))),1,0)</f>
        <v/>
      </c>
      <c r="E135" s="34">
        <f>IF(AND($A134&lt;&gt;"",'算罪台'!$B$6&lt;&gt;"",ISNUMBER(SEARCH($A134,'算罪台'!$B$6))),1,0)</f>
        <v/>
      </c>
    </row>
    <row r="136">
      <c r="A136" s="34" t="inlineStr">
        <is>
          <t>不小心打死</t>
        </is>
      </c>
      <c r="B136" s="34" t="inlineStr">
        <is>
          <t>三级谋杀罪</t>
        </is>
      </c>
      <c r="C136" s="34">
        <f>IF(AND($A135&lt;&gt;"",'算罪台'!$B$4&lt;&gt;"",ISNUMBER(SEARCH($A135,'算罪台'!$B$4))),1,0)</f>
        <v/>
      </c>
      <c r="D136" s="34">
        <f>IF(AND($A135&lt;&gt;"",'算罪台'!$B$5&lt;&gt;"",ISNUMBER(SEARCH($A135,'算罪台'!$B$5))),1,0)</f>
        <v/>
      </c>
      <c r="E136" s="34">
        <f>IF(AND($A135&lt;&gt;"",'算罪台'!$B$6&lt;&gt;"",ISNUMBER(SEARCH($A135,'算罪台'!$B$6))),1,0)</f>
        <v/>
      </c>
    </row>
    <row r="137">
      <c r="A137" s="34" t="inlineStr">
        <is>
          <t>失手杀</t>
        </is>
      </c>
      <c r="B137" s="34" t="inlineStr">
        <is>
          <t>三级谋杀罪</t>
        </is>
      </c>
      <c r="C137" s="34">
        <f>IF(AND($A136&lt;&gt;"",'算罪台'!$B$4&lt;&gt;"",ISNUMBER(SEARCH($A136,'算罪台'!$B$4))),1,0)</f>
        <v/>
      </c>
      <c r="D137" s="34">
        <f>IF(AND($A136&lt;&gt;"",'算罪台'!$B$5&lt;&gt;"",ISNUMBER(SEARCH($A136,'算罪台'!$B$5))),1,0)</f>
        <v/>
      </c>
      <c r="E137" s="34">
        <f>IF(AND($A136&lt;&gt;"",'算罪台'!$B$6&lt;&gt;"",ISNUMBER(SEARCH($A136,'算罪台'!$B$6))),1,0)</f>
        <v/>
      </c>
    </row>
    <row r="138">
      <c r="A138" s="34" t="inlineStr">
        <is>
          <t>推下去摔死</t>
        </is>
      </c>
      <c r="B138" s="34" t="inlineStr">
        <is>
          <t>三级谋杀罪</t>
        </is>
      </c>
      <c r="C138" s="34">
        <f>IF(AND($A137&lt;&gt;"",'算罪台'!$B$4&lt;&gt;"",ISNUMBER(SEARCH($A137,'算罪台'!$B$4))),1,0)</f>
        <v/>
      </c>
      <c r="D138" s="34">
        <f>IF(AND($A137&lt;&gt;"",'算罪台'!$B$5&lt;&gt;"",ISNUMBER(SEARCH($A137,'算罪台'!$B$5))),1,0)</f>
        <v/>
      </c>
      <c r="E138" s="34">
        <f>IF(AND($A137&lt;&gt;"",'算罪台'!$B$6&lt;&gt;"",ISNUMBER(SEARCH($A137,'算罪台'!$B$6))),1,0)</f>
        <v/>
      </c>
    </row>
    <row r="139">
      <c r="A139" s="34" t="inlineStr">
        <is>
          <t>过失杀人</t>
        </is>
      </c>
      <c r="B139" s="34" t="inlineStr">
        <is>
          <t>三级谋杀罪</t>
        </is>
      </c>
      <c r="C139" s="34">
        <f>IF(AND($A138&lt;&gt;"",'算罪台'!$B$4&lt;&gt;"",ISNUMBER(SEARCH($A138,'算罪台'!$B$4))),1,0)</f>
        <v/>
      </c>
      <c r="D139" s="34">
        <f>IF(AND($A138&lt;&gt;"",'算罪台'!$B$5&lt;&gt;"",ISNUMBER(SEARCH($A138,'算罪台'!$B$5))),1,0)</f>
        <v/>
      </c>
      <c r="E139" s="34">
        <f>IF(AND($A138&lt;&gt;"",'算罪台'!$B$6&lt;&gt;"",ISNUMBER(SEARCH($A138,'算罪台'!$B$6))),1,0)</f>
        <v/>
      </c>
    </row>
    <row r="140">
      <c r="A140" s="34" t="inlineStr">
        <is>
          <t>鲁莽致死</t>
        </is>
      </c>
      <c r="B140" s="34" t="inlineStr">
        <is>
          <t>三级谋杀罪</t>
        </is>
      </c>
      <c r="C140" s="34">
        <f>IF(AND($A139&lt;&gt;"",'算罪台'!$B$4&lt;&gt;"",ISNUMBER(SEARCH($A139,'算罪台'!$B$4))),1,0)</f>
        <v/>
      </c>
      <c r="D140" s="34">
        <f>IF(AND($A139&lt;&gt;"",'算罪台'!$B$5&lt;&gt;"",ISNUMBER(SEARCH($A139,'算罪台'!$B$5))),1,0)</f>
        <v/>
      </c>
      <c r="E140" s="34">
        <f>IF(AND($A139&lt;&gt;"",'算罪台'!$B$6&lt;&gt;"",ISNUMBER(SEARCH($A139,'算罪台'!$B$6))),1,0)</f>
        <v/>
      </c>
    </row>
    <row r="141">
      <c r="A141" s="34" t="inlineStr">
        <is>
          <t>意外弄死</t>
        </is>
      </c>
      <c r="B141" s="34" t="inlineStr">
        <is>
          <t>三级谋杀罪</t>
        </is>
      </c>
      <c r="C141" s="34">
        <f>IF(AND($A140&lt;&gt;"",'算罪台'!$B$4&lt;&gt;"",ISNUMBER(SEARCH($A140,'算罪台'!$B$4))),1,0)</f>
        <v/>
      </c>
      <c r="D141" s="34">
        <f>IF(AND($A140&lt;&gt;"",'算罪台'!$B$5&lt;&gt;"",ISNUMBER(SEARCH($A140,'算罪台'!$B$5))),1,0)</f>
        <v/>
      </c>
      <c r="E141" s="34">
        <f>IF(AND($A140&lt;&gt;"",'算罪台'!$B$6&lt;&gt;"",ISNUMBER(SEARCH($A140,'算罪台'!$B$6))),1,0)</f>
        <v/>
      </c>
    </row>
    <row r="142">
      <c r="A142" s="34" t="inlineStr">
        <is>
          <t>斗殴致死</t>
        </is>
      </c>
      <c r="B142" s="34" t="inlineStr">
        <is>
          <t>三级谋杀罪</t>
        </is>
      </c>
      <c r="C142" s="34">
        <f>IF(AND($A141&lt;&gt;"",'算罪台'!$B$4&lt;&gt;"",ISNUMBER(SEARCH($A141,'算罪台'!$B$4))),1,0)</f>
        <v/>
      </c>
      <c r="D142" s="34">
        <f>IF(AND($A141&lt;&gt;"",'算罪台'!$B$5&lt;&gt;"",ISNUMBER(SEARCH($A141,'算罪台'!$B$5))),1,0)</f>
        <v/>
      </c>
      <c r="E142" s="34">
        <f>IF(AND($A141&lt;&gt;"",'算罪台'!$B$6&lt;&gt;"",ISNUMBER(SEARCH($A141,'算罪台'!$B$6))),1,0)</f>
        <v/>
      </c>
    </row>
    <row r="143">
      <c r="A143" s="34" t="inlineStr">
        <is>
          <t>误伤致死</t>
        </is>
      </c>
      <c r="B143" s="34" t="inlineStr">
        <is>
          <t>三级谋杀罪</t>
        </is>
      </c>
      <c r="C143" s="34">
        <f>IF(AND($A142&lt;&gt;"",'算罪台'!$B$4&lt;&gt;"",ISNUMBER(SEARCH($A142,'算罪台'!$B$4))),1,0)</f>
        <v/>
      </c>
      <c r="D143" s="34">
        <f>IF(AND($A142&lt;&gt;"",'算罪台'!$B$5&lt;&gt;"",ISNUMBER(SEARCH($A142,'算罪台'!$B$5))),1,0)</f>
        <v/>
      </c>
      <c r="E143" s="34">
        <f>IF(AND($A142&lt;&gt;"",'算罪台'!$B$6&lt;&gt;"",ISNUMBER(SEARCH($A142,'算罪台'!$B$6))),1,0)</f>
        <v/>
      </c>
    </row>
    <row r="144">
      <c r="A144" s="34" t="inlineStr">
        <is>
          <t>过失致人死亡</t>
        </is>
      </c>
      <c r="B144" s="34" t="inlineStr">
        <is>
          <t>三级谋杀罪</t>
        </is>
      </c>
      <c r="C144" s="34">
        <f>IF(AND($A143&lt;&gt;"",'算罪台'!$B$4&lt;&gt;"",ISNUMBER(SEARCH($A143,'算罪台'!$B$4))),1,0)</f>
        <v/>
      </c>
      <c r="D144" s="34">
        <f>IF(AND($A143&lt;&gt;"",'算罪台'!$B$5&lt;&gt;"",ISNUMBER(SEARCH($A143,'算罪台'!$B$5))),1,0)</f>
        <v/>
      </c>
      <c r="E144" s="34">
        <f>IF(AND($A143&lt;&gt;"",'算罪台'!$B$6&lt;&gt;"",ISNUMBER(SEARCH($A143,'算罪台'!$B$6))),1,0)</f>
        <v/>
      </c>
    </row>
    <row r="145">
      <c r="A145" s="34" t="inlineStr">
        <is>
          <t>失手致死</t>
        </is>
      </c>
      <c r="B145" s="34" t="inlineStr">
        <is>
          <t>三级谋杀罪</t>
        </is>
      </c>
      <c r="C145" s="34">
        <f>IF(AND($A144&lt;&gt;"",'算罪台'!$B$4&lt;&gt;"",ISNUMBER(SEARCH($A144,'算罪台'!$B$4))),1,0)</f>
        <v/>
      </c>
      <c r="D145" s="34">
        <f>IF(AND($A144&lt;&gt;"",'算罪台'!$B$5&lt;&gt;"",ISNUMBER(SEARCH($A144,'算罪台'!$B$5))),1,0)</f>
        <v/>
      </c>
      <c r="E145" s="34">
        <f>IF(AND($A144&lt;&gt;"",'算罪台'!$B$6&lt;&gt;"",ISNUMBER(SEARCH($A144,'算罪台'!$B$6))),1,0)</f>
        <v/>
      </c>
    </row>
    <row r="146">
      <c r="A146" s="34" t="inlineStr">
        <is>
          <t>鲁莽撞死</t>
        </is>
      </c>
      <c r="B146" s="34" t="inlineStr">
        <is>
          <t>三级谋杀罪</t>
        </is>
      </c>
      <c r="C146" s="34">
        <f>IF(AND($A145&lt;&gt;"",'算罪台'!$B$4&lt;&gt;"",ISNUMBER(SEARCH($A145,'算罪台'!$B$4))),1,0)</f>
        <v/>
      </c>
      <c r="D146" s="34">
        <f>IF(AND($A145&lt;&gt;"",'算罪台'!$B$5&lt;&gt;"",ISNUMBER(SEARCH($A145,'算罪台'!$B$5))),1,0)</f>
        <v/>
      </c>
      <c r="E146" s="34">
        <f>IF(AND($A145&lt;&gt;"",'算罪台'!$B$6&lt;&gt;"",ISNUMBER(SEARCH($A145,'算罪台'!$B$6))),1,0)</f>
        <v/>
      </c>
    </row>
    <row r="147">
      <c r="A147" s="34" t="inlineStr">
        <is>
          <t>开车撞死</t>
        </is>
      </c>
      <c r="B147" s="34" t="inlineStr">
        <is>
          <t>三级谋杀罪</t>
        </is>
      </c>
      <c r="C147" s="34">
        <f>IF(AND($A146&lt;&gt;"",'算罪台'!$B$4&lt;&gt;"",ISNUMBER(SEARCH($A146,'算罪台'!$B$4))),1,0)</f>
        <v/>
      </c>
      <c r="D147" s="34">
        <f>IF(AND($A146&lt;&gt;"",'算罪台'!$B$5&lt;&gt;"",ISNUMBER(SEARCH($A146,'算罪台'!$B$5))),1,0)</f>
        <v/>
      </c>
      <c r="E147" s="34">
        <f>IF(AND($A146&lt;&gt;"",'算罪台'!$B$6&lt;&gt;"",ISNUMBER(SEARCH($A146,'算罪台'!$B$6))),1,0)</f>
        <v/>
      </c>
    </row>
    <row r="148">
      <c r="A148" s="34" t="inlineStr">
        <is>
          <t>意外撞死</t>
        </is>
      </c>
      <c r="B148" s="34" t="inlineStr">
        <is>
          <t>三级谋杀罪</t>
        </is>
      </c>
      <c r="C148" s="34">
        <f>IF(AND($A147&lt;&gt;"",'算罪台'!$B$4&lt;&gt;"",ISNUMBER(SEARCH($A147,'算罪台'!$B$4))),1,0)</f>
        <v/>
      </c>
      <c r="D148" s="34">
        <f>IF(AND($A147&lt;&gt;"",'算罪台'!$B$5&lt;&gt;"",ISNUMBER(SEARCH($A147,'算罪台'!$B$5))),1,0)</f>
        <v/>
      </c>
      <c r="E148" s="34">
        <f>IF(AND($A147&lt;&gt;"",'算罪台'!$B$6&lt;&gt;"",ISNUMBER(SEARCH($A147,'算罪台'!$B$6))),1,0)</f>
        <v/>
      </c>
    </row>
    <row r="149">
      <c r="A149" s="34" t="inlineStr">
        <is>
          <t>非法拘禁</t>
        </is>
      </c>
      <c r="B149" s="34" t="inlineStr">
        <is>
          <t>非法拘禁罪</t>
        </is>
      </c>
      <c r="C149" s="34">
        <f>IF(AND($A148&lt;&gt;"",'算罪台'!$B$4&lt;&gt;"",ISNUMBER(SEARCH($A148,'算罪台'!$B$4))),1,0)</f>
        <v/>
      </c>
      <c r="D149" s="34">
        <f>IF(AND($A148&lt;&gt;"",'算罪台'!$B$5&lt;&gt;"",ISNUMBER(SEARCH($A148,'算罪台'!$B$5))),1,0)</f>
        <v/>
      </c>
      <c r="E149" s="34">
        <f>IF(AND($A148&lt;&gt;"",'算罪台'!$B$6&lt;&gt;"",ISNUMBER(SEARCH($A148,'算罪台'!$B$6))),1,0)</f>
        <v/>
      </c>
    </row>
    <row r="150">
      <c r="A150" s="34" t="inlineStr">
        <is>
          <t>拘禁</t>
        </is>
      </c>
      <c r="B150" s="34" t="inlineStr">
        <is>
          <t>非法拘禁罪</t>
        </is>
      </c>
      <c r="C150" s="34">
        <f>IF(AND($A149&lt;&gt;"",'算罪台'!$B$4&lt;&gt;"",ISNUMBER(SEARCH($A149,'算罪台'!$B$4))),1,0)</f>
        <v/>
      </c>
      <c r="D150" s="34">
        <f>IF(AND($A149&lt;&gt;"",'算罪台'!$B$5&lt;&gt;"",ISNUMBER(SEARCH($A149,'算罪台'!$B$5))),1,0)</f>
        <v/>
      </c>
      <c r="E150" s="34">
        <f>IF(AND($A149&lt;&gt;"",'算罪台'!$B$6&lt;&gt;"",ISNUMBER(SEARCH($A149,'算罪台'!$B$6))),1,0)</f>
        <v/>
      </c>
    </row>
    <row r="151">
      <c r="A151" s="34" t="inlineStr">
        <is>
          <t>扣押他人</t>
        </is>
      </c>
      <c r="B151" s="34" t="inlineStr">
        <is>
          <t>非法拘禁罪</t>
        </is>
      </c>
      <c r="C151" s="34">
        <f>IF(AND($A150&lt;&gt;"",'算罪台'!$B$4&lt;&gt;"",ISNUMBER(SEARCH($A150,'算罪台'!$B$4))),1,0)</f>
        <v/>
      </c>
      <c r="D151" s="34">
        <f>IF(AND($A150&lt;&gt;"",'算罪台'!$B$5&lt;&gt;"",ISNUMBER(SEARCH($A150,'算罪台'!$B$5))),1,0)</f>
        <v/>
      </c>
      <c r="E151" s="34">
        <f>IF(AND($A150&lt;&gt;"",'算罪台'!$B$6&lt;&gt;"",ISNUMBER(SEARCH($A150,'算罪台'!$B$6))),1,0)</f>
        <v/>
      </c>
    </row>
    <row r="152">
      <c r="A152" s="34" t="inlineStr">
        <is>
          <t>限制人身自由</t>
        </is>
      </c>
      <c r="B152" s="34" t="inlineStr">
        <is>
          <t>非法拘禁罪</t>
        </is>
      </c>
      <c r="C152" s="34">
        <f>IF(AND($A151&lt;&gt;"",'算罪台'!$B$4&lt;&gt;"",ISNUMBER(SEARCH($A151,'算罪台'!$B$4))),1,0)</f>
        <v/>
      </c>
      <c r="D152" s="34">
        <f>IF(AND($A151&lt;&gt;"",'算罪台'!$B$5&lt;&gt;"",ISNUMBER(SEARCH($A151,'算罪台'!$B$5))),1,0)</f>
        <v/>
      </c>
      <c r="E152" s="34">
        <f>IF(AND($A151&lt;&gt;"",'算罪台'!$B$6&lt;&gt;"",ISNUMBER(SEARCH($A151,'算罪台'!$B$6))),1,0)</f>
        <v/>
      </c>
    </row>
    <row r="153">
      <c r="A153" s="34" t="inlineStr">
        <is>
          <t>强行关押</t>
        </is>
      </c>
      <c r="B153" s="34" t="inlineStr">
        <is>
          <t>非法拘禁罪</t>
        </is>
      </c>
      <c r="C153" s="34">
        <f>IF(AND($A152&lt;&gt;"",'算罪台'!$B$4&lt;&gt;"",ISNUMBER(SEARCH($A152,'算罪台'!$B$4))),1,0)</f>
        <v/>
      </c>
      <c r="D153" s="34">
        <f>IF(AND($A152&lt;&gt;"",'算罪台'!$B$5&lt;&gt;"",ISNUMBER(SEARCH($A152,'算罪台'!$B$5))),1,0)</f>
        <v/>
      </c>
      <c r="E153" s="34">
        <f>IF(AND($A152&lt;&gt;"",'算罪台'!$B$6&lt;&gt;"",ISNUMBER(SEARCH($A152,'算罪台'!$B$6))),1,0)</f>
        <v/>
      </c>
    </row>
    <row r="154">
      <c r="A154" s="34" t="inlineStr">
        <is>
          <t>私自关押</t>
        </is>
      </c>
      <c r="B154" s="34" t="inlineStr">
        <is>
          <t>非法拘禁罪</t>
        </is>
      </c>
      <c r="C154" s="34">
        <f>IF(AND($A153&lt;&gt;"",'算罪台'!$B$4&lt;&gt;"",ISNUMBER(SEARCH($A153,'算罪台'!$B$4))),1,0)</f>
        <v/>
      </c>
      <c r="D154" s="34">
        <f>IF(AND($A153&lt;&gt;"",'算罪台'!$B$5&lt;&gt;"",ISNUMBER(SEARCH($A153,'算罪台'!$B$5))),1,0)</f>
        <v/>
      </c>
      <c r="E154" s="34">
        <f>IF(AND($A153&lt;&gt;"",'算罪台'!$B$6&lt;&gt;"",ISNUMBER(SEARCH($A153,'算罪台'!$B$6))),1,0)</f>
        <v/>
      </c>
    </row>
    <row r="155">
      <c r="A155" s="34" t="inlineStr">
        <is>
          <t>关起来</t>
        </is>
      </c>
      <c r="B155" s="34" t="inlineStr">
        <is>
          <t>非法拘禁罪</t>
        </is>
      </c>
      <c r="C155" s="34">
        <f>IF(AND($A154&lt;&gt;"",'算罪台'!$B$4&lt;&gt;"",ISNUMBER(SEARCH($A154,'算罪台'!$B$4))),1,0)</f>
        <v/>
      </c>
      <c r="D155" s="34">
        <f>IF(AND($A154&lt;&gt;"",'算罪台'!$B$5&lt;&gt;"",ISNUMBER(SEARCH($A154,'算罪台'!$B$5))),1,0)</f>
        <v/>
      </c>
      <c r="E155" s="34">
        <f>IF(AND($A154&lt;&gt;"",'算罪台'!$B$6&lt;&gt;"",ISNUMBER(SEARCH($A154,'算罪台'!$B$6))),1,0)</f>
        <v/>
      </c>
    </row>
    <row r="156">
      <c r="A156" s="34" t="inlineStr">
        <is>
          <t>囚禁</t>
        </is>
      </c>
      <c r="B156" s="34" t="inlineStr">
        <is>
          <t>非法拘禁罪</t>
        </is>
      </c>
      <c r="C156" s="34">
        <f>IF(AND($A155&lt;&gt;"",'算罪台'!$B$4&lt;&gt;"",ISNUMBER(SEARCH($A155,'算罪台'!$B$4))),1,0)</f>
        <v/>
      </c>
      <c r="D156" s="34">
        <f>IF(AND($A155&lt;&gt;"",'算罪台'!$B$5&lt;&gt;"",ISNUMBER(SEARCH($A155,'算罪台'!$B$5))),1,0)</f>
        <v/>
      </c>
      <c r="E156" s="34">
        <f>IF(AND($A155&lt;&gt;"",'算罪台'!$B$6&lt;&gt;"",ISNUMBER(SEARCH($A155,'算罪台'!$B$6))),1,0)</f>
        <v/>
      </c>
    </row>
    <row r="157">
      <c r="A157" s="34" t="inlineStr">
        <is>
          <t>绑在</t>
        </is>
      </c>
      <c r="B157" s="34" t="inlineStr">
        <is>
          <t>非法拘禁罪</t>
        </is>
      </c>
      <c r="C157" s="34">
        <f>IF(AND($A156&lt;&gt;"",'算罪台'!$B$4&lt;&gt;"",ISNUMBER(SEARCH($A156,'算罪台'!$B$4))),1,0)</f>
        <v/>
      </c>
      <c r="D157" s="34">
        <f>IF(AND($A156&lt;&gt;"",'算罪台'!$B$5&lt;&gt;"",ISNUMBER(SEARCH($A156,'算罪台'!$B$5))),1,0)</f>
        <v/>
      </c>
      <c r="E157" s="34">
        <f>IF(AND($A156&lt;&gt;"",'算罪台'!$B$6&lt;&gt;"",ISNUMBER(SEARCH($A156,'算罪台'!$B$6))),1,0)</f>
        <v/>
      </c>
    </row>
    <row r="158">
      <c r="A158" s="34" t="inlineStr">
        <is>
          <t>把人关起来</t>
        </is>
      </c>
      <c r="B158" s="34" t="inlineStr">
        <is>
          <t>非法拘禁罪</t>
        </is>
      </c>
      <c r="C158" s="34">
        <f>IF(AND($A157&lt;&gt;"",'算罪台'!$B$4&lt;&gt;"",ISNUMBER(SEARCH($A157,'算罪台'!$B$4))),1,0)</f>
        <v/>
      </c>
      <c r="D158" s="34">
        <f>IF(AND($A157&lt;&gt;"",'算罪台'!$B$5&lt;&gt;"",ISNUMBER(SEARCH($A157,'算罪台'!$B$5))),1,0)</f>
        <v/>
      </c>
      <c r="E158" s="34">
        <f>IF(AND($A157&lt;&gt;"",'算罪台'!$B$6&lt;&gt;"",ISNUMBER(SEARCH($A157,'算罪台'!$B$6))),1,0)</f>
        <v/>
      </c>
    </row>
    <row r="159">
      <c r="A159" s="34" t="inlineStr">
        <is>
          <t>锁起来</t>
        </is>
      </c>
      <c r="B159" s="34" t="inlineStr">
        <is>
          <t>非法拘禁罪</t>
        </is>
      </c>
      <c r="C159" s="34">
        <f>IF(AND($A158&lt;&gt;"",'算罪台'!$B$4&lt;&gt;"",ISNUMBER(SEARCH($A158,'算罪台'!$B$4))),1,0)</f>
        <v/>
      </c>
      <c r="D159" s="34">
        <f>IF(AND($A158&lt;&gt;"",'算罪台'!$B$5&lt;&gt;"",ISNUMBER(SEARCH($A158,'算罪台'!$B$5))),1,0)</f>
        <v/>
      </c>
      <c r="E159" s="34">
        <f>IF(AND($A158&lt;&gt;"",'算罪台'!$B$6&lt;&gt;"",ISNUMBER(SEARCH($A158,'算罪台'!$B$6))),1,0)</f>
        <v/>
      </c>
    </row>
    <row r="160">
      <c r="A160" s="34" t="inlineStr">
        <is>
          <t>扣下他</t>
        </is>
      </c>
      <c r="B160" s="34" t="inlineStr">
        <is>
          <t>非法拘禁罪</t>
        </is>
      </c>
      <c r="C160" s="34">
        <f>IF(AND($A159&lt;&gt;"",'算罪台'!$B$4&lt;&gt;"",ISNUMBER(SEARCH($A159,'算罪台'!$B$4))),1,0)</f>
        <v/>
      </c>
      <c r="D160" s="34">
        <f>IF(AND($A159&lt;&gt;"",'算罪台'!$B$5&lt;&gt;"",ISNUMBER(SEARCH($A159,'算罪台'!$B$5))),1,0)</f>
        <v/>
      </c>
      <c r="E160" s="34">
        <f>IF(AND($A159&lt;&gt;"",'算罪台'!$B$6&lt;&gt;"",ISNUMBER(SEARCH($A159,'算罪台'!$B$6))),1,0)</f>
        <v/>
      </c>
    </row>
    <row r="161">
      <c r="A161" s="34" t="inlineStr">
        <is>
          <t>不让走</t>
        </is>
      </c>
      <c r="B161" s="34" t="inlineStr">
        <is>
          <t>非法拘禁罪</t>
        </is>
      </c>
      <c r="C161" s="34">
        <f>IF(AND($A160&lt;&gt;"",'算罪台'!$B$4&lt;&gt;"",ISNUMBER(SEARCH($A160,'算罪台'!$B$4))),1,0)</f>
        <v/>
      </c>
      <c r="D161" s="34">
        <f>IF(AND($A160&lt;&gt;"",'算罪台'!$B$5&lt;&gt;"",ISNUMBER(SEARCH($A160,'算罪台'!$B$5))),1,0)</f>
        <v/>
      </c>
      <c r="E161" s="34">
        <f>IF(AND($A160&lt;&gt;"",'算罪台'!$B$6&lt;&gt;"",ISNUMBER(SEARCH($A160,'算罪台'!$B$6))),1,0)</f>
        <v/>
      </c>
    </row>
    <row r="162">
      <c r="A162" s="34" t="inlineStr">
        <is>
          <t>软禁</t>
        </is>
      </c>
      <c r="B162" s="34" t="inlineStr">
        <is>
          <t>非法拘禁罪</t>
        </is>
      </c>
      <c r="C162" s="34">
        <f>IF(AND($A161&lt;&gt;"",'算罪台'!$B$4&lt;&gt;"",ISNUMBER(SEARCH($A161,'算罪台'!$B$4))),1,0)</f>
        <v/>
      </c>
      <c r="D162" s="34">
        <f>IF(AND($A161&lt;&gt;"",'算罪台'!$B$5&lt;&gt;"",ISNUMBER(SEARCH($A161,'算罪台'!$B$5))),1,0)</f>
        <v/>
      </c>
      <c r="E162" s="34">
        <f>IF(AND($A161&lt;&gt;"",'算罪台'!$B$6&lt;&gt;"",ISNUMBER(SEARCH($A161,'算罪台'!$B$6))),1,0)</f>
        <v/>
      </c>
    </row>
    <row r="163">
      <c r="A163" s="34" t="inlineStr">
        <is>
          <t>捆起来</t>
        </is>
      </c>
      <c r="B163" s="34" t="inlineStr">
        <is>
          <t>非法拘禁罪</t>
        </is>
      </c>
      <c r="C163" s="34">
        <f>IF(AND($A162&lt;&gt;"",'算罪台'!$B$4&lt;&gt;"",ISNUMBER(SEARCH($A162,'算罪台'!$B$4))),1,0)</f>
        <v/>
      </c>
      <c r="D163" s="34">
        <f>IF(AND($A162&lt;&gt;"",'算罪台'!$B$5&lt;&gt;"",ISNUMBER(SEARCH($A162,'算罪台'!$B$5))),1,0)</f>
        <v/>
      </c>
      <c r="E163" s="34">
        <f>IF(AND($A162&lt;&gt;"",'算罪台'!$B$6&lt;&gt;"",ISNUMBER(SEARCH($A162,'算罪台'!$B$6))),1,0)</f>
        <v/>
      </c>
    </row>
    <row r="164">
      <c r="A164" s="34" t="inlineStr">
        <is>
          <t>绑住不放</t>
        </is>
      </c>
      <c r="B164" s="34" t="inlineStr">
        <is>
          <t>非法拘禁罪</t>
        </is>
      </c>
      <c r="C164" s="34">
        <f>IF(AND($A163&lt;&gt;"",'算罪台'!$B$4&lt;&gt;"",ISNUMBER(SEARCH($A163,'算罪台'!$B$4))),1,0)</f>
        <v/>
      </c>
      <c r="D164" s="34">
        <f>IF(AND($A163&lt;&gt;"",'算罪台'!$B$5&lt;&gt;"",ISNUMBER(SEARCH($A163,'算罪台'!$B$5))),1,0)</f>
        <v/>
      </c>
      <c r="E164" s="34">
        <f>IF(AND($A163&lt;&gt;"",'算罪台'!$B$6&lt;&gt;"",ISNUMBER(SEARCH($A163,'算罪台'!$B$6))),1,0)</f>
        <v/>
      </c>
    </row>
    <row r="165">
      <c r="A165" s="34" t="inlineStr">
        <is>
          <t>扣人不放</t>
        </is>
      </c>
      <c r="B165" s="34" t="inlineStr">
        <is>
          <t>非法拘禁罪</t>
        </is>
      </c>
      <c r="C165" s="34">
        <f>IF(AND($A164&lt;&gt;"",'算罪台'!$B$4&lt;&gt;"",ISNUMBER(SEARCH($A164,'算罪台'!$B$4))),1,0)</f>
        <v/>
      </c>
      <c r="D165" s="34">
        <f>IF(AND($A164&lt;&gt;"",'算罪台'!$B$5&lt;&gt;"",ISNUMBER(SEARCH($A164,'算罪台'!$B$5))),1,0)</f>
        <v/>
      </c>
      <c r="E165" s="34">
        <f>IF(AND($A164&lt;&gt;"",'算罪台'!$B$6&lt;&gt;"",ISNUMBER(SEARCH($A164,'算罪台'!$B$6))),1,0)</f>
        <v/>
      </c>
    </row>
    <row r="166">
      <c r="A166" s="34" t="inlineStr">
        <is>
          <t>私自关人</t>
        </is>
      </c>
      <c r="B166" s="34" t="inlineStr">
        <is>
          <t>非法拘禁罪</t>
        </is>
      </c>
      <c r="C166" s="34">
        <f>IF(AND($A165&lt;&gt;"",'算罪台'!$B$4&lt;&gt;"",ISNUMBER(SEARCH($A165,'算罪台'!$B$4))),1,0)</f>
        <v/>
      </c>
      <c r="D166" s="34">
        <f>IF(AND($A165&lt;&gt;"",'算罪台'!$B$5&lt;&gt;"",ISNUMBER(SEARCH($A165,'算罪台'!$B$5))),1,0)</f>
        <v/>
      </c>
      <c r="E166" s="34">
        <f>IF(AND($A165&lt;&gt;"",'算罪台'!$B$6&lt;&gt;"",ISNUMBER(SEARCH($A165,'算罪台'!$B$6))),1,0)</f>
        <v/>
      </c>
    </row>
    <row r="167">
      <c r="A167" s="34" t="inlineStr">
        <is>
          <t>限制自由</t>
        </is>
      </c>
      <c r="B167" s="34" t="inlineStr">
        <is>
          <t>非法拘禁罪</t>
        </is>
      </c>
      <c r="C167" s="34">
        <f>IF(AND($A166&lt;&gt;"",'算罪台'!$B$4&lt;&gt;"",ISNUMBER(SEARCH($A166,'算罪台'!$B$4))),1,0)</f>
        <v/>
      </c>
      <c r="D167" s="34">
        <f>IF(AND($A166&lt;&gt;"",'算罪台'!$B$5&lt;&gt;"",ISNUMBER(SEARCH($A166,'算罪台'!$B$5))),1,0)</f>
        <v/>
      </c>
      <c r="E167" s="34">
        <f>IF(AND($A166&lt;&gt;"",'算罪台'!$B$6&lt;&gt;"",ISNUMBER(SEARCH($A166,'算罪台'!$B$6))),1,0)</f>
        <v/>
      </c>
    </row>
    <row r="168">
      <c r="A168" s="34" t="inlineStr">
        <is>
          <t>强行扣留</t>
        </is>
      </c>
      <c r="B168" s="34" t="inlineStr">
        <is>
          <t>非法拘禁罪</t>
        </is>
      </c>
      <c r="C168" s="34">
        <f>IF(AND($A167&lt;&gt;"",'算罪台'!$B$4&lt;&gt;"",ISNUMBER(SEARCH($A167,'算罪台'!$B$4))),1,0)</f>
        <v/>
      </c>
      <c r="D168" s="34">
        <f>IF(AND($A167&lt;&gt;"",'算罪台'!$B$5&lt;&gt;"",ISNUMBER(SEARCH($A167,'算罪台'!$B$5))),1,0)</f>
        <v/>
      </c>
      <c r="E168" s="34">
        <f>IF(AND($A167&lt;&gt;"",'算罪台'!$B$6&lt;&gt;"",ISNUMBER(SEARCH($A167,'算罪台'!$B$6))),1,0)</f>
        <v/>
      </c>
    </row>
    <row r="169">
      <c r="A169" s="34" t="inlineStr">
        <is>
          <t>囚禁他人</t>
        </is>
      </c>
      <c r="B169" s="34" t="inlineStr">
        <is>
          <t>非法拘禁罪</t>
        </is>
      </c>
      <c r="C169" s="34">
        <f>IF(AND($A168&lt;&gt;"",'算罪台'!$B$4&lt;&gt;"",ISNUMBER(SEARCH($A168,'算罪台'!$B$4))),1,0)</f>
        <v/>
      </c>
      <c r="D169" s="34">
        <f>IF(AND($A168&lt;&gt;"",'算罪台'!$B$5&lt;&gt;"",ISNUMBER(SEARCH($A168,'算罪台'!$B$5))),1,0)</f>
        <v/>
      </c>
      <c r="E169" s="34">
        <f>IF(AND($A168&lt;&gt;"",'算罪台'!$B$6&lt;&gt;"",ISNUMBER(SEARCH($A168,'算罪台'!$B$6))),1,0)</f>
        <v/>
      </c>
    </row>
    <row r="170">
      <c r="A170" s="34" t="inlineStr">
        <is>
          <t>绑人关押</t>
        </is>
      </c>
      <c r="B170" s="34" t="inlineStr">
        <is>
          <t>非法拘禁罪</t>
        </is>
      </c>
      <c r="C170" s="34">
        <f>IF(AND($A169&lt;&gt;"",'算罪台'!$B$4&lt;&gt;"",ISNUMBER(SEARCH($A169,'算罪台'!$B$4))),1,0)</f>
        <v/>
      </c>
      <c r="D170" s="34">
        <f>IF(AND($A169&lt;&gt;"",'算罪台'!$B$5&lt;&gt;"",ISNUMBER(SEARCH($A169,'算罪台'!$B$5))),1,0)</f>
        <v/>
      </c>
      <c r="E170" s="34">
        <f>IF(AND($A169&lt;&gt;"",'算罪台'!$B$6&lt;&gt;"",ISNUMBER(SEARCH($A169,'算罪台'!$B$6))),1,0)</f>
        <v/>
      </c>
    </row>
    <row r="171">
      <c r="A171" s="34" t="inlineStr">
        <is>
          <t>私设牢房</t>
        </is>
      </c>
      <c r="B171" s="34" t="inlineStr">
        <is>
          <t>非法拘禁罪</t>
        </is>
      </c>
      <c r="C171" s="34">
        <f>IF(AND($A170&lt;&gt;"",'算罪台'!$B$4&lt;&gt;"",ISNUMBER(SEARCH($A170,'算罪台'!$B$4))),1,0)</f>
        <v/>
      </c>
      <c r="D171" s="34">
        <f>IF(AND($A170&lt;&gt;"",'算罪台'!$B$5&lt;&gt;"",ISNUMBER(SEARCH($A170,'算罪台'!$B$5))),1,0)</f>
        <v/>
      </c>
      <c r="E171" s="34">
        <f>IF(AND($A170&lt;&gt;"",'算罪台'!$B$6&lt;&gt;"",ISNUMBER(SEARCH($A170,'算罪台'!$B$6))),1,0)</f>
        <v/>
      </c>
    </row>
    <row r="172">
      <c r="A172" s="34" t="inlineStr">
        <is>
          <t>关小黑屋</t>
        </is>
      </c>
      <c r="B172" s="34" t="inlineStr">
        <is>
          <t>非法拘禁罪</t>
        </is>
      </c>
      <c r="C172" s="34">
        <f>IF(AND($A171&lt;&gt;"",'算罪台'!$B$4&lt;&gt;"",ISNUMBER(SEARCH($A171,'算罪台'!$B$4))),1,0)</f>
        <v/>
      </c>
      <c r="D172" s="34">
        <f>IF(AND($A171&lt;&gt;"",'算罪台'!$B$5&lt;&gt;"",ISNUMBER(SEARCH($A171,'算罪台'!$B$5))),1,0)</f>
        <v/>
      </c>
      <c r="E172" s="34">
        <f>IF(AND($A171&lt;&gt;"",'算罪台'!$B$6&lt;&gt;"",ISNUMBER(SEARCH($A171,'算罪台'!$B$6))),1,0)</f>
        <v/>
      </c>
    </row>
    <row r="173">
      <c r="A173" s="34" t="inlineStr">
        <is>
          <t>私自拘禁</t>
        </is>
      </c>
      <c r="B173" s="34" t="inlineStr">
        <is>
          <t>非法拘禁罪</t>
        </is>
      </c>
      <c r="C173" s="34">
        <f>IF(AND($A172&lt;&gt;"",'算罪台'!$B$4&lt;&gt;"",ISNUMBER(SEARCH($A172,'算罪台'!$B$4))),1,0)</f>
        <v/>
      </c>
      <c r="D173" s="34">
        <f>IF(AND($A172&lt;&gt;"",'算罪台'!$B$5&lt;&gt;"",ISNUMBER(SEARCH($A172,'算罪台'!$B$5))),1,0)</f>
        <v/>
      </c>
      <c r="E173" s="34">
        <f>IF(AND($A172&lt;&gt;"",'算罪台'!$B$6&lt;&gt;"",ISNUMBER(SEARCH($A172,'算罪台'!$B$6))),1,0)</f>
        <v/>
      </c>
    </row>
    <row r="174">
      <c r="A174" s="34" t="inlineStr">
        <is>
          <t>故意袭击</t>
        </is>
      </c>
      <c r="B174" s="34" t="inlineStr">
        <is>
          <t>故意袭击罪</t>
        </is>
      </c>
      <c r="C174" s="34">
        <f>IF(AND($A173&lt;&gt;"",'算罪台'!$B$4&lt;&gt;"",ISNUMBER(SEARCH($A173,'算罪台'!$B$4))),1,0)</f>
        <v/>
      </c>
      <c r="D174" s="34">
        <f>IF(AND($A173&lt;&gt;"",'算罪台'!$B$5&lt;&gt;"",ISNUMBER(SEARCH($A173,'算罪台'!$B$5))),1,0)</f>
        <v/>
      </c>
      <c r="E174" s="34">
        <f>IF(AND($A173&lt;&gt;"",'算罪台'!$B$6&lt;&gt;"",ISNUMBER(SEARCH($A173,'算罪台'!$B$6))),1,0)</f>
        <v/>
      </c>
    </row>
    <row r="175">
      <c r="A175" s="34" t="inlineStr">
        <is>
          <t>袭击</t>
        </is>
      </c>
      <c r="B175" s="34" t="inlineStr">
        <is>
          <t>故意袭击罪</t>
        </is>
      </c>
      <c r="C175" s="34">
        <f>IF(AND($A174&lt;&gt;"",'算罪台'!$B$4&lt;&gt;"",ISNUMBER(SEARCH($A174,'算罪台'!$B$4))),1,0)</f>
        <v/>
      </c>
      <c r="D175" s="34">
        <f>IF(AND($A174&lt;&gt;"",'算罪台'!$B$5&lt;&gt;"",ISNUMBER(SEARCH($A174,'算罪台'!$B$5))),1,0)</f>
        <v/>
      </c>
      <c r="E175" s="34">
        <f>IF(AND($A174&lt;&gt;"",'算罪台'!$B$6&lt;&gt;"",ISNUMBER(SEARCH($A174,'算罪台'!$B$6))),1,0)</f>
        <v/>
      </c>
    </row>
    <row r="176">
      <c r="A176" s="34" t="inlineStr">
        <is>
          <t>殴打</t>
        </is>
      </c>
      <c r="B176" s="34" t="inlineStr">
        <is>
          <t>故意袭击罪</t>
        </is>
      </c>
      <c r="C176" s="34">
        <f>IF(AND($A175&lt;&gt;"",'算罪台'!$B$4&lt;&gt;"",ISNUMBER(SEARCH($A175,'算罪台'!$B$4))),1,0)</f>
        <v/>
      </c>
      <c r="D176" s="34">
        <f>IF(AND($A175&lt;&gt;"",'算罪台'!$B$5&lt;&gt;"",ISNUMBER(SEARCH($A175,'算罪台'!$B$5))),1,0)</f>
        <v/>
      </c>
      <c r="E176" s="34">
        <f>IF(AND($A175&lt;&gt;"",'算罪台'!$B$6&lt;&gt;"",ISNUMBER(SEARCH($A175,'算罪台'!$B$6))),1,0)</f>
        <v/>
      </c>
    </row>
    <row r="177">
      <c r="A177" s="34" t="inlineStr">
        <is>
          <t>打人</t>
        </is>
      </c>
      <c r="B177" s="34" t="inlineStr">
        <is>
          <t>故意袭击罪</t>
        </is>
      </c>
      <c r="C177" s="34">
        <f>IF(AND($A176&lt;&gt;"",'算罪台'!$B$4&lt;&gt;"",ISNUMBER(SEARCH($A176,'算罪台'!$B$4))),1,0)</f>
        <v/>
      </c>
      <c r="D177" s="34">
        <f>IF(AND($A176&lt;&gt;"",'算罪台'!$B$5&lt;&gt;"",ISNUMBER(SEARCH($A176,'算罪台'!$B$5))),1,0)</f>
        <v/>
      </c>
      <c r="E177" s="34">
        <f>IF(AND($A176&lt;&gt;"",'算罪台'!$B$6&lt;&gt;"",ISNUMBER(SEARCH($A176,'算罪台'!$B$6))),1,0)</f>
        <v/>
      </c>
    </row>
    <row r="178">
      <c r="A178" s="34" t="inlineStr">
        <is>
          <t>动手打</t>
        </is>
      </c>
      <c r="B178" s="34" t="inlineStr">
        <is>
          <t>故意袭击罪</t>
        </is>
      </c>
      <c r="C178" s="34">
        <f>IF(AND($A177&lt;&gt;"",'算罪台'!$B$4&lt;&gt;"",ISNUMBER(SEARCH($A177,'算罪台'!$B$4))),1,0)</f>
        <v/>
      </c>
      <c r="D178" s="34">
        <f>IF(AND($A177&lt;&gt;"",'算罪台'!$B$5&lt;&gt;"",ISNUMBER(SEARCH($A177,'算罪台'!$B$5))),1,0)</f>
        <v/>
      </c>
      <c r="E178" s="34">
        <f>IF(AND($A177&lt;&gt;"",'算罪台'!$B$6&lt;&gt;"",ISNUMBER(SEARCH($A177,'算罪台'!$B$6))),1,0)</f>
        <v/>
      </c>
    </row>
    <row r="179">
      <c r="A179" s="34" t="inlineStr">
        <is>
          <t>拳打脚踢</t>
        </is>
      </c>
      <c r="B179" s="34" t="inlineStr">
        <is>
          <t>故意袭击罪</t>
        </is>
      </c>
      <c r="C179" s="34">
        <f>IF(AND($A178&lt;&gt;"",'算罪台'!$B$4&lt;&gt;"",ISNUMBER(SEARCH($A178,'算罪台'!$B$4))),1,0)</f>
        <v/>
      </c>
      <c r="D179" s="34">
        <f>IF(AND($A178&lt;&gt;"",'算罪台'!$B$5&lt;&gt;"",ISNUMBER(SEARCH($A178,'算罪台'!$B$5))),1,0)</f>
        <v/>
      </c>
      <c r="E179" s="34">
        <f>IF(AND($A178&lt;&gt;"",'算罪台'!$B$6&lt;&gt;"",ISNUMBER(SEARCH($A178,'算罪台'!$B$6))),1,0)</f>
        <v/>
      </c>
    </row>
    <row r="180">
      <c r="A180" s="34" t="inlineStr">
        <is>
          <t>暴力伤人</t>
        </is>
      </c>
      <c r="B180" s="34" t="inlineStr">
        <is>
          <t>故意袭击罪</t>
        </is>
      </c>
      <c r="C180" s="34">
        <f>IF(AND($A179&lt;&gt;"",'算罪台'!$B$4&lt;&gt;"",ISNUMBER(SEARCH($A179,'算罪台'!$B$4))),1,0)</f>
        <v/>
      </c>
      <c r="D180" s="34">
        <f>IF(AND($A179&lt;&gt;"",'算罪台'!$B$5&lt;&gt;"",ISNUMBER(SEARCH($A179,'算罪台'!$B$5))),1,0)</f>
        <v/>
      </c>
      <c r="E180" s="34">
        <f>IF(AND($A179&lt;&gt;"",'算罪台'!$B$6&lt;&gt;"",ISNUMBER(SEARCH($A179,'算罪台'!$B$6))),1,0)</f>
        <v/>
      </c>
    </row>
    <row r="181">
      <c r="A181" s="34" t="inlineStr">
        <is>
          <t>揍</t>
        </is>
      </c>
      <c r="B181" s="34" t="inlineStr">
        <is>
          <t>故意袭击罪</t>
        </is>
      </c>
      <c r="C181" s="34">
        <f>IF(AND($A180&lt;&gt;"",'算罪台'!$B$4&lt;&gt;"",ISNUMBER(SEARCH($A180,'算罪台'!$B$4))),1,0)</f>
        <v/>
      </c>
      <c r="D181" s="34">
        <f>IF(AND($A180&lt;&gt;"",'算罪台'!$B$5&lt;&gt;"",ISNUMBER(SEARCH($A180,'算罪台'!$B$5))),1,0)</f>
        <v/>
      </c>
      <c r="E181" s="34">
        <f>IF(AND($A180&lt;&gt;"",'算罪台'!$B$6&lt;&gt;"",ISNUMBER(SEARCH($A180,'算罪台'!$B$6))),1,0)</f>
        <v/>
      </c>
    </row>
    <row r="182">
      <c r="A182" s="34" t="inlineStr">
        <is>
          <t>打伤</t>
        </is>
      </c>
      <c r="B182" s="34" t="inlineStr">
        <is>
          <t>故意袭击罪</t>
        </is>
      </c>
      <c r="C182" s="34">
        <f>IF(AND($A181&lt;&gt;"",'算罪台'!$B$4&lt;&gt;"",ISNUMBER(SEARCH($A181,'算罪台'!$B$4))),1,0)</f>
        <v/>
      </c>
      <c r="D182" s="34">
        <f>IF(AND($A181&lt;&gt;"",'算罪台'!$B$5&lt;&gt;"",ISNUMBER(SEARCH($A181,'算罪台'!$B$5))),1,0)</f>
        <v/>
      </c>
      <c r="E182" s="34">
        <f>IF(AND($A181&lt;&gt;"",'算罪台'!$B$6&lt;&gt;"",ISNUMBER(SEARCH($A181,'算罪台'!$B$6))),1,0)</f>
        <v/>
      </c>
    </row>
    <row r="183">
      <c r="A183" s="34" t="inlineStr">
        <is>
          <t>打了一顿</t>
        </is>
      </c>
      <c r="B183" s="34" t="inlineStr">
        <is>
          <t>故意袭击罪</t>
        </is>
      </c>
      <c r="C183" s="34">
        <f>IF(AND($A182&lt;&gt;"",'算罪台'!$B$4&lt;&gt;"",ISNUMBER(SEARCH($A182,'算罪台'!$B$4))),1,0)</f>
        <v/>
      </c>
      <c r="D183" s="34">
        <f>IF(AND($A182&lt;&gt;"",'算罪台'!$B$5&lt;&gt;"",ISNUMBER(SEARCH($A182,'算罪台'!$B$5))),1,0)</f>
        <v/>
      </c>
      <c r="E183" s="34">
        <f>IF(AND($A182&lt;&gt;"",'算罪台'!$B$6&lt;&gt;"",ISNUMBER(SEARCH($A182,'算罪台'!$B$6))),1,0)</f>
        <v/>
      </c>
    </row>
    <row r="184">
      <c r="A184" s="34" t="inlineStr">
        <is>
          <t>围殴</t>
        </is>
      </c>
      <c r="B184" s="34" t="inlineStr">
        <is>
          <t>故意袭击罪</t>
        </is>
      </c>
      <c r="C184" s="34">
        <f>IF(AND($A183&lt;&gt;"",'算罪台'!$B$4&lt;&gt;"",ISNUMBER(SEARCH($A183,'算罪台'!$B$4))),1,0)</f>
        <v/>
      </c>
      <c r="D184" s="34">
        <f>IF(AND($A183&lt;&gt;"",'算罪台'!$B$5&lt;&gt;"",ISNUMBER(SEARCH($A183,'算罪台'!$B$5))),1,0)</f>
        <v/>
      </c>
      <c r="E184" s="34">
        <f>IF(AND($A183&lt;&gt;"",'算罪台'!$B$6&lt;&gt;"",ISNUMBER(SEARCH($A183,'算罪台'!$B$6))),1,0)</f>
        <v/>
      </c>
    </row>
    <row r="185">
      <c r="A185" s="34" t="inlineStr">
        <is>
          <t>动手</t>
        </is>
      </c>
      <c r="B185" s="34" t="inlineStr">
        <is>
          <t>故意袭击罪</t>
        </is>
      </c>
      <c r="C185" s="34">
        <f>IF(AND($A184&lt;&gt;"",'算罪台'!$B$4&lt;&gt;"",ISNUMBER(SEARCH($A184,'算罪台'!$B$4))),1,0)</f>
        <v/>
      </c>
      <c r="D185" s="34">
        <f>IF(AND($A184&lt;&gt;"",'算罪台'!$B$5&lt;&gt;"",ISNUMBER(SEARCH($A184,'算罪台'!$B$5))),1,0)</f>
        <v/>
      </c>
      <c r="E185" s="34">
        <f>IF(AND($A184&lt;&gt;"",'算罪台'!$B$6&lt;&gt;"",ISNUMBER(SEARCH($A184,'算罪台'!$B$6))),1,0)</f>
        <v/>
      </c>
    </row>
    <row r="186">
      <c r="A186" s="34" t="inlineStr">
        <is>
          <t>打架</t>
        </is>
      </c>
      <c r="B186" s="34" t="inlineStr">
        <is>
          <t>故意袭击罪</t>
        </is>
      </c>
      <c r="C186" s="34">
        <f>IF(AND($A185&lt;&gt;"",'算罪台'!$B$4&lt;&gt;"",ISNUMBER(SEARCH($A185,'算罪台'!$B$4))),1,0)</f>
        <v/>
      </c>
      <c r="D186" s="34">
        <f>IF(AND($A185&lt;&gt;"",'算罪台'!$B$5&lt;&gt;"",ISNUMBER(SEARCH($A185,'算罪台'!$B$5))),1,0)</f>
        <v/>
      </c>
      <c r="E186" s="34">
        <f>IF(AND($A185&lt;&gt;"",'算罪台'!$B$6&lt;&gt;"",ISNUMBER(SEARCH($A185,'算罪台'!$B$6))),1,0)</f>
        <v/>
      </c>
    </row>
    <row r="187">
      <c r="A187" s="34" t="inlineStr">
        <is>
          <t>打了一架</t>
        </is>
      </c>
      <c r="B187" s="34" t="inlineStr">
        <is>
          <t>故意袭击罪</t>
        </is>
      </c>
      <c r="C187" s="34">
        <f>IF(AND($A186&lt;&gt;"",'算罪台'!$B$4&lt;&gt;"",ISNUMBER(SEARCH($A186,'算罪台'!$B$4))),1,0)</f>
        <v/>
      </c>
      <c r="D187" s="34">
        <f>IF(AND($A186&lt;&gt;"",'算罪台'!$B$5&lt;&gt;"",ISNUMBER(SEARCH($A186,'算罪台'!$B$5))),1,0)</f>
        <v/>
      </c>
      <c r="E187" s="34">
        <f>IF(AND($A186&lt;&gt;"",'算罪台'!$B$6&lt;&gt;"",ISNUMBER(SEARCH($A186,'算罪台'!$B$6))),1,0)</f>
        <v/>
      </c>
    </row>
    <row r="188">
      <c r="A188" s="34" t="inlineStr">
        <is>
          <t>干架</t>
        </is>
      </c>
      <c r="B188" s="34" t="inlineStr">
        <is>
          <t>故意袭击罪</t>
        </is>
      </c>
      <c r="C188" s="34">
        <f>IF(AND($A187&lt;&gt;"",'算罪台'!$B$4&lt;&gt;"",ISNUMBER(SEARCH($A187,'算罪台'!$B$4))),1,0)</f>
        <v/>
      </c>
      <c r="D188" s="34">
        <f>IF(AND($A187&lt;&gt;"",'算罪台'!$B$5&lt;&gt;"",ISNUMBER(SEARCH($A187,'算罪台'!$B$5))),1,0)</f>
        <v/>
      </c>
      <c r="E188" s="34">
        <f>IF(AND($A187&lt;&gt;"",'算罪台'!$B$6&lt;&gt;"",ISNUMBER(SEARCH($A187,'算罪台'!$B$6))),1,0)</f>
        <v/>
      </c>
    </row>
    <row r="189">
      <c r="A189" s="34" t="inlineStr">
        <is>
          <t>揍他</t>
        </is>
      </c>
      <c r="B189" s="34" t="inlineStr">
        <is>
          <t>故意袭击罪</t>
        </is>
      </c>
      <c r="C189" s="34">
        <f>IF(AND($A188&lt;&gt;"",'算罪台'!$B$4&lt;&gt;"",ISNUMBER(SEARCH($A188,'算罪台'!$B$4))),1,0)</f>
        <v/>
      </c>
      <c r="D189" s="34">
        <f>IF(AND($A188&lt;&gt;"",'算罪台'!$B$5&lt;&gt;"",ISNUMBER(SEARCH($A188,'算罪台'!$B$5))),1,0)</f>
        <v/>
      </c>
      <c r="E189" s="34">
        <f>IF(AND($A188&lt;&gt;"",'算罪台'!$B$6&lt;&gt;"",ISNUMBER(SEARCH($A188,'算罪台'!$B$6))),1,0)</f>
        <v/>
      </c>
    </row>
    <row r="190">
      <c r="A190" s="34" t="inlineStr">
        <is>
          <t>扇耳光</t>
        </is>
      </c>
      <c r="B190" s="34" t="inlineStr">
        <is>
          <t>故意袭击罪</t>
        </is>
      </c>
      <c r="C190" s="34">
        <f>IF(AND($A189&lt;&gt;"",'算罪台'!$B$4&lt;&gt;"",ISNUMBER(SEARCH($A189,'算罪台'!$B$4))),1,0)</f>
        <v/>
      </c>
      <c r="D190" s="34">
        <f>IF(AND($A189&lt;&gt;"",'算罪台'!$B$5&lt;&gt;"",ISNUMBER(SEARCH($A189,'算罪台'!$B$5))),1,0)</f>
        <v/>
      </c>
      <c r="E190" s="34">
        <f>IF(AND($A189&lt;&gt;"",'算罪台'!$B$6&lt;&gt;"",ISNUMBER(SEARCH($A189,'算罪台'!$B$6))),1,0)</f>
        <v/>
      </c>
    </row>
    <row r="191">
      <c r="A191" s="34" t="inlineStr">
        <is>
          <t>踹人</t>
        </is>
      </c>
      <c r="B191" s="34" t="inlineStr">
        <is>
          <t>故意袭击罪</t>
        </is>
      </c>
      <c r="C191" s="34">
        <f>IF(AND($A190&lt;&gt;"",'算罪台'!$B$4&lt;&gt;"",ISNUMBER(SEARCH($A190,'算罪台'!$B$4))),1,0)</f>
        <v/>
      </c>
      <c r="D191" s="34">
        <f>IF(AND($A190&lt;&gt;"",'算罪台'!$B$5&lt;&gt;"",ISNUMBER(SEARCH($A190,'算罪台'!$B$5))),1,0)</f>
        <v/>
      </c>
      <c r="E191" s="34">
        <f>IF(AND($A190&lt;&gt;"",'算罪台'!$B$6&lt;&gt;"",ISNUMBER(SEARCH($A190,'算罪台'!$B$6))),1,0)</f>
        <v/>
      </c>
    </row>
    <row r="192">
      <c r="A192" s="34" t="inlineStr">
        <is>
          <t>爆锤</t>
        </is>
      </c>
      <c r="B192" s="34" t="inlineStr">
        <is>
          <t>故意袭击罪</t>
        </is>
      </c>
      <c r="C192" s="34">
        <f>IF(AND($A191&lt;&gt;"",'算罪台'!$B$4&lt;&gt;"",ISNUMBER(SEARCH($A191,'算罪台'!$B$4))),1,0)</f>
        <v/>
      </c>
      <c r="D192" s="34">
        <f>IF(AND($A191&lt;&gt;"",'算罪台'!$B$5&lt;&gt;"",ISNUMBER(SEARCH($A191,'算罪台'!$B$5))),1,0)</f>
        <v/>
      </c>
      <c r="E192" s="34">
        <f>IF(AND($A191&lt;&gt;"",'算罪台'!$B$6&lt;&gt;"",ISNUMBER(SEARCH($A191,'算罪台'!$B$6))),1,0)</f>
        <v/>
      </c>
    </row>
    <row r="193">
      <c r="A193" s="34" t="inlineStr">
        <is>
          <t>胖揍</t>
        </is>
      </c>
      <c r="B193" s="34" t="inlineStr">
        <is>
          <t>故意袭击罪</t>
        </is>
      </c>
      <c r="C193" s="34">
        <f>IF(AND($A192&lt;&gt;"",'算罪台'!$B$4&lt;&gt;"",ISNUMBER(SEARCH($A192,'算罪台'!$B$4))),1,0)</f>
        <v/>
      </c>
      <c r="D193" s="34">
        <f>IF(AND($A192&lt;&gt;"",'算罪台'!$B$5&lt;&gt;"",ISNUMBER(SEARCH($A192,'算罪台'!$B$5))),1,0)</f>
        <v/>
      </c>
      <c r="E193" s="34">
        <f>IF(AND($A192&lt;&gt;"",'算罪台'!$B$6&lt;&gt;"",ISNUMBER(SEARCH($A192,'算罪台'!$B$6))),1,0)</f>
        <v/>
      </c>
    </row>
    <row r="194">
      <c r="A194" s="34" t="inlineStr">
        <is>
          <t>群殴</t>
        </is>
      </c>
      <c r="B194" s="34" t="inlineStr">
        <is>
          <t>故意袭击罪</t>
        </is>
      </c>
      <c r="C194" s="34">
        <f>IF(AND($A193&lt;&gt;"",'算罪台'!$B$4&lt;&gt;"",ISNUMBER(SEARCH($A193,'算罪台'!$B$4))),1,0)</f>
        <v/>
      </c>
      <c r="D194" s="34">
        <f>IF(AND($A193&lt;&gt;"",'算罪台'!$B$5&lt;&gt;"",ISNUMBER(SEARCH($A193,'算罪台'!$B$5))),1,0)</f>
        <v/>
      </c>
      <c r="E194" s="34">
        <f>IF(AND($A193&lt;&gt;"",'算罪台'!$B$6&lt;&gt;"",ISNUMBER(SEARCH($A193,'算罪台'!$B$6))),1,0)</f>
        <v/>
      </c>
    </row>
    <row r="195">
      <c r="A195" s="34" t="inlineStr">
        <is>
          <t>打闷棍</t>
        </is>
      </c>
      <c r="B195" s="34" t="inlineStr">
        <is>
          <t>故意袭击罪</t>
        </is>
      </c>
      <c r="C195" s="34">
        <f>IF(AND($A194&lt;&gt;"",'算罪台'!$B$4&lt;&gt;"",ISNUMBER(SEARCH($A194,'算罪台'!$B$4))),1,0)</f>
        <v/>
      </c>
      <c r="D195" s="34">
        <f>IF(AND($A194&lt;&gt;"",'算罪台'!$B$5&lt;&gt;"",ISNUMBER(SEARCH($A194,'算罪台'!$B$5))),1,0)</f>
        <v/>
      </c>
      <c r="E195" s="34">
        <f>IF(AND($A194&lt;&gt;"",'算罪台'!$B$6&lt;&gt;"",ISNUMBER(SEARCH($A194,'算罪台'!$B$6))),1,0)</f>
        <v/>
      </c>
    </row>
    <row r="196">
      <c r="A196" s="34" t="inlineStr">
        <is>
          <t>出手伤人</t>
        </is>
      </c>
      <c r="B196" s="34" t="inlineStr">
        <is>
          <t>故意袭击罪</t>
        </is>
      </c>
      <c r="C196" s="34">
        <f>IF(AND($A195&lt;&gt;"",'算罪台'!$B$4&lt;&gt;"",ISNUMBER(SEARCH($A195,'算罪台'!$B$4))),1,0)</f>
        <v/>
      </c>
      <c r="D196" s="34">
        <f>IF(AND($A195&lt;&gt;"",'算罪台'!$B$5&lt;&gt;"",ISNUMBER(SEARCH($A195,'算罪台'!$B$5))),1,0)</f>
        <v/>
      </c>
      <c r="E196" s="34">
        <f>IF(AND($A195&lt;&gt;"",'算罪台'!$B$6&lt;&gt;"",ISNUMBER(SEARCH($A195,'算罪台'!$B$6))),1,0)</f>
        <v/>
      </c>
    </row>
    <row r="197">
      <c r="A197" s="34" t="inlineStr">
        <is>
          <t>打到住院</t>
        </is>
      </c>
      <c r="B197" s="34" t="inlineStr">
        <is>
          <t>故意袭击罪</t>
        </is>
      </c>
      <c r="C197" s="34">
        <f>IF(AND($A196&lt;&gt;"",'算罪台'!$B$4&lt;&gt;"",ISNUMBER(SEARCH($A196,'算罪台'!$B$4))),1,0)</f>
        <v/>
      </c>
      <c r="D197" s="34">
        <f>IF(AND($A196&lt;&gt;"",'算罪台'!$B$5&lt;&gt;"",ISNUMBER(SEARCH($A196,'算罪台'!$B$5))),1,0)</f>
        <v/>
      </c>
      <c r="E197" s="34">
        <f>IF(AND($A196&lt;&gt;"",'算罪台'!$B$6&lt;&gt;"",ISNUMBER(SEARCH($A196,'算罪台'!$B$6))),1,0)</f>
        <v/>
      </c>
    </row>
    <row r="198">
      <c r="A198" s="34" t="inlineStr">
        <is>
          <t>把人打伤</t>
        </is>
      </c>
      <c r="B198" s="34" t="inlineStr">
        <is>
          <t>故意袭击罪</t>
        </is>
      </c>
      <c r="C198" s="34">
        <f>IF(AND($A197&lt;&gt;"",'算罪台'!$B$4&lt;&gt;"",ISNUMBER(SEARCH($A197,'算罪台'!$B$4))),1,0)</f>
        <v/>
      </c>
      <c r="D198" s="34">
        <f>IF(AND($A197&lt;&gt;"",'算罪台'!$B$5&lt;&gt;"",ISNUMBER(SEARCH($A197,'算罪台'!$B$5))),1,0)</f>
        <v/>
      </c>
      <c r="E198" s="34">
        <f>IF(AND($A197&lt;&gt;"",'算罪台'!$B$6&lt;&gt;"",ISNUMBER(SEARCH($A197,'算罪台'!$B$6))),1,0)</f>
        <v/>
      </c>
    </row>
    <row r="199">
      <c r="A199" s="34" t="inlineStr">
        <is>
          <t>动手打伤</t>
        </is>
      </c>
      <c r="B199" s="34" t="inlineStr">
        <is>
          <t>故意袭击罪</t>
        </is>
      </c>
      <c r="C199" s="34">
        <f>IF(AND($A198&lt;&gt;"",'算罪台'!$B$4&lt;&gt;"",ISNUMBER(SEARCH($A198,'算罪台'!$B$4))),1,0)</f>
        <v/>
      </c>
      <c r="D199" s="34">
        <f>IF(AND($A198&lt;&gt;"",'算罪台'!$B$5&lt;&gt;"",ISNUMBER(SEARCH($A198,'算罪台'!$B$5))),1,0)</f>
        <v/>
      </c>
      <c r="E199" s="34">
        <f>IF(AND($A198&lt;&gt;"",'算罪台'!$B$6&lt;&gt;"",ISNUMBER(SEARCH($A198,'算罪台'!$B$6))),1,0)</f>
        <v/>
      </c>
    </row>
    <row r="200">
      <c r="A200" s="34" t="inlineStr">
        <is>
          <t>暴打</t>
        </is>
      </c>
      <c r="B200" s="34" t="inlineStr">
        <is>
          <t>故意袭击罪</t>
        </is>
      </c>
      <c r="C200" s="34">
        <f>IF(AND($A199&lt;&gt;"",'算罪台'!$B$4&lt;&gt;"",ISNUMBER(SEARCH($A199,'算罪台'!$B$4))),1,0)</f>
        <v/>
      </c>
      <c r="D200" s="34">
        <f>IF(AND($A199&lt;&gt;"",'算罪台'!$B$5&lt;&gt;"",ISNUMBER(SEARCH($A199,'算罪台'!$B$5))),1,0)</f>
        <v/>
      </c>
      <c r="E200" s="34">
        <f>IF(AND($A199&lt;&gt;"",'算罪台'!$B$6&lt;&gt;"",ISNUMBER(SEARCH($A199,'算罪台'!$B$6))),1,0)</f>
        <v/>
      </c>
    </row>
    <row r="201">
      <c r="A201" s="34" t="inlineStr">
        <is>
          <t>殴打他人</t>
        </is>
      </c>
      <c r="B201" s="34" t="inlineStr">
        <is>
          <t>故意袭击罪</t>
        </is>
      </c>
      <c r="C201" s="34">
        <f>IF(AND($A200&lt;&gt;"",'算罪台'!$B$4&lt;&gt;"",ISNUMBER(SEARCH($A200,'算罪台'!$B$4))),1,0)</f>
        <v/>
      </c>
      <c r="D201" s="34">
        <f>IF(AND($A200&lt;&gt;"",'算罪台'!$B$5&lt;&gt;"",ISNUMBER(SEARCH($A200,'算罪台'!$B$5))),1,0)</f>
        <v/>
      </c>
      <c r="E201" s="34">
        <f>IF(AND($A200&lt;&gt;"",'算罪台'!$B$6&lt;&gt;"",ISNUMBER(SEARCH($A200,'算罪台'!$B$6))),1,0)</f>
        <v/>
      </c>
    </row>
    <row r="202">
      <c r="A202" s="34" t="inlineStr">
        <is>
          <t>打成重伤</t>
        </is>
      </c>
      <c r="B202" s="34" t="inlineStr">
        <is>
          <t>故意袭击罪</t>
        </is>
      </c>
      <c r="C202" s="34">
        <f>IF(AND($A201&lt;&gt;"",'算罪台'!$B$4&lt;&gt;"",ISNUMBER(SEARCH($A201,'算罪台'!$B$4))),1,0)</f>
        <v/>
      </c>
      <c r="D202" s="34">
        <f>IF(AND($A201&lt;&gt;"",'算罪台'!$B$5&lt;&gt;"",ISNUMBER(SEARCH($A201,'算罪台'!$B$5))),1,0)</f>
        <v/>
      </c>
      <c r="E202" s="34">
        <f>IF(AND($A201&lt;&gt;"",'算罪台'!$B$6&lt;&gt;"",ISNUMBER(SEARCH($A201,'算罪台'!$B$6))),1,0)</f>
        <v/>
      </c>
    </row>
    <row r="203">
      <c r="A203" s="34" t="inlineStr">
        <is>
          <t>围攻</t>
        </is>
      </c>
      <c r="B203" s="34" t="inlineStr">
        <is>
          <t>故意袭击罪</t>
        </is>
      </c>
      <c r="C203" s="34">
        <f>IF(AND($A202&lt;&gt;"",'算罪台'!$B$4&lt;&gt;"",ISNUMBER(SEARCH($A202,'算罪台'!$B$4))),1,0)</f>
        <v/>
      </c>
      <c r="D203" s="34">
        <f>IF(AND($A202&lt;&gt;"",'算罪台'!$B$5&lt;&gt;"",ISNUMBER(SEARCH($A202,'算罪台'!$B$5))),1,0)</f>
        <v/>
      </c>
      <c r="E203" s="34">
        <f>IF(AND($A202&lt;&gt;"",'算罪台'!$B$6&lt;&gt;"",ISNUMBER(SEARCH($A202,'算罪台'!$B$6))),1,0)</f>
        <v/>
      </c>
    </row>
    <row r="204">
      <c r="A204" s="34" t="inlineStr">
        <is>
          <t>群架</t>
        </is>
      </c>
      <c r="B204" s="34" t="inlineStr">
        <is>
          <t>故意袭击罪</t>
        </is>
      </c>
      <c r="C204" s="34">
        <f>IF(AND($A203&lt;&gt;"",'算罪台'!$B$4&lt;&gt;"",ISNUMBER(SEARCH($A203,'算罪台'!$B$4))),1,0)</f>
        <v/>
      </c>
      <c r="D204" s="34">
        <f>IF(AND($A203&lt;&gt;"",'算罪台'!$B$5&lt;&gt;"",ISNUMBER(SEARCH($A203,'算罪台'!$B$5))),1,0)</f>
        <v/>
      </c>
      <c r="E204" s="34">
        <f>IF(AND($A203&lt;&gt;"",'算罪台'!$B$6&lt;&gt;"",ISNUMBER(SEARCH($A203,'算罪台'!$B$6))),1,0)</f>
        <v/>
      </c>
    </row>
    <row r="205">
      <c r="A205" s="34" t="inlineStr">
        <is>
          <t>动粗</t>
        </is>
      </c>
      <c r="B205" s="34" t="inlineStr">
        <is>
          <t>故意袭击罪</t>
        </is>
      </c>
      <c r="C205" s="34">
        <f>IF(AND($A204&lt;&gt;"",'算罪台'!$B$4&lt;&gt;"",ISNUMBER(SEARCH($A204,'算罪台'!$B$4))),1,0)</f>
        <v/>
      </c>
      <c r="D205" s="34">
        <f>IF(AND($A204&lt;&gt;"",'算罪台'!$B$5&lt;&gt;"",ISNUMBER(SEARCH($A204,'算罪台'!$B$5))),1,0)</f>
        <v/>
      </c>
      <c r="E205" s="34">
        <f>IF(AND($A204&lt;&gt;"",'算罪台'!$B$6&lt;&gt;"",ISNUMBER(SEARCH($A204,'算罪台'!$B$6))),1,0)</f>
        <v/>
      </c>
    </row>
    <row r="206">
      <c r="A206" s="34" t="inlineStr">
        <is>
          <t>大打出手</t>
        </is>
      </c>
      <c r="B206" s="34" t="inlineStr">
        <is>
          <t>故意袭击罪</t>
        </is>
      </c>
      <c r="C206" s="34">
        <f>IF(AND($A205&lt;&gt;"",'算罪台'!$B$4&lt;&gt;"",ISNUMBER(SEARCH($A205,'算罪台'!$B$4))),1,0)</f>
        <v/>
      </c>
      <c r="D206" s="34">
        <f>IF(AND($A205&lt;&gt;"",'算罪台'!$B$5&lt;&gt;"",ISNUMBER(SEARCH($A205,'算罪台'!$B$5))),1,0)</f>
        <v/>
      </c>
      <c r="E206" s="34">
        <f>IF(AND($A205&lt;&gt;"",'算罪台'!$B$6&lt;&gt;"",ISNUMBER(SEARCH($A205,'算罪台'!$B$6))),1,0)</f>
        <v/>
      </c>
    </row>
    <row r="207">
      <c r="A207" s="34" t="inlineStr">
        <is>
          <t>把人揍了</t>
        </is>
      </c>
      <c r="B207" s="34" t="inlineStr">
        <is>
          <t>故意袭击罪</t>
        </is>
      </c>
      <c r="C207" s="34">
        <f>IF(AND($A206&lt;&gt;"",'算罪台'!$B$4&lt;&gt;"",ISNUMBER(SEARCH($A206,'算罪台'!$B$4))),1,0)</f>
        <v/>
      </c>
      <c r="D207" s="34">
        <f>IF(AND($A206&lt;&gt;"",'算罪台'!$B$5&lt;&gt;"",ISNUMBER(SEARCH($A206,'算罪台'!$B$5))),1,0)</f>
        <v/>
      </c>
      <c r="E207" s="34">
        <f>IF(AND($A206&lt;&gt;"",'算罪台'!$B$6&lt;&gt;"",ISNUMBER(SEARCH($A206,'算罪台'!$B$6))),1,0)</f>
        <v/>
      </c>
    </row>
    <row r="208">
      <c r="A208" s="34" t="inlineStr">
        <is>
          <t>一顿暴打</t>
        </is>
      </c>
      <c r="B208" s="34" t="inlineStr">
        <is>
          <t>故意袭击罪</t>
        </is>
      </c>
      <c r="C208" s="34">
        <f>IF(AND($A207&lt;&gt;"",'算罪台'!$B$4&lt;&gt;"",ISNUMBER(SEARCH($A207,'算罪台'!$B$4))),1,0)</f>
        <v/>
      </c>
      <c r="D208" s="34">
        <f>IF(AND($A207&lt;&gt;"",'算罪台'!$B$5&lt;&gt;"",ISNUMBER(SEARCH($A207,'算罪台'!$B$5))),1,0)</f>
        <v/>
      </c>
      <c r="E208" s="34">
        <f>IF(AND($A207&lt;&gt;"",'算罪台'!$B$6&lt;&gt;"",ISNUMBER(SEARCH($A207,'算罪台'!$B$6))),1,0)</f>
        <v/>
      </c>
    </row>
    <row r="209">
      <c r="A209" s="34" t="inlineStr">
        <is>
          <t>打人致伤</t>
        </is>
      </c>
      <c r="B209" s="34" t="inlineStr">
        <is>
          <t>故意袭击罪</t>
        </is>
      </c>
      <c r="C209" s="34">
        <f>IF(AND($A208&lt;&gt;"",'算罪台'!$B$4&lt;&gt;"",ISNUMBER(SEARCH($A208,'算罪台'!$B$4))),1,0)</f>
        <v/>
      </c>
      <c r="D209" s="34">
        <f>IF(AND($A208&lt;&gt;"",'算罪台'!$B$5&lt;&gt;"",ISNUMBER(SEARCH($A208,'算罪台'!$B$5))),1,0)</f>
        <v/>
      </c>
      <c r="E209" s="34">
        <f>IF(AND($A208&lt;&gt;"",'算罪台'!$B$6&lt;&gt;"",ISNUMBER(SEARCH($A208,'算罪台'!$B$6))),1,0)</f>
        <v/>
      </c>
    </row>
    <row r="210">
      <c r="A210" s="34" t="inlineStr">
        <is>
          <t>持续殴打</t>
        </is>
      </c>
      <c r="B210" s="34" t="inlineStr">
        <is>
          <t>故意袭击罪</t>
        </is>
      </c>
      <c r="C210" s="34">
        <f>IF(AND($A209&lt;&gt;"",'算罪台'!$B$4&lt;&gt;"",ISNUMBER(SEARCH($A209,'算罪台'!$B$4))),1,0)</f>
        <v/>
      </c>
      <c r="D210" s="34">
        <f>IF(AND($A209&lt;&gt;"",'算罪台'!$B$5&lt;&gt;"",ISNUMBER(SEARCH($A209,'算罪台'!$B$5))),1,0)</f>
        <v/>
      </c>
      <c r="E210" s="34">
        <f>IF(AND($A209&lt;&gt;"",'算罪台'!$B$6&lt;&gt;"",ISNUMBER(SEARCH($A209,'算罪台'!$B$6))),1,0)</f>
        <v/>
      </c>
    </row>
    <row r="211">
      <c r="A211" s="34" t="inlineStr">
        <is>
          <t>拳脚相加</t>
        </is>
      </c>
      <c r="B211" s="34" t="inlineStr">
        <is>
          <t>故意袭击罪</t>
        </is>
      </c>
      <c r="C211" s="34">
        <f>IF(AND($A210&lt;&gt;"",'算罪台'!$B$4&lt;&gt;"",ISNUMBER(SEARCH($A210,'算罪台'!$B$4))),1,0)</f>
        <v/>
      </c>
      <c r="D211" s="34">
        <f>IF(AND($A210&lt;&gt;"",'算罪台'!$B$5&lt;&gt;"",ISNUMBER(SEARCH($A210,'算罪台'!$B$5))),1,0)</f>
        <v/>
      </c>
      <c r="E211" s="34">
        <f>IF(AND($A210&lt;&gt;"",'算罪台'!$B$6&lt;&gt;"",ISNUMBER(SEARCH($A210,'算罪台'!$B$6))),1,0)</f>
        <v/>
      </c>
    </row>
    <row r="212">
      <c r="A212" s="34" t="inlineStr">
        <is>
          <t>打到骨折</t>
        </is>
      </c>
      <c r="B212" s="34" t="inlineStr">
        <is>
          <t>故意袭击罪</t>
        </is>
      </c>
      <c r="C212" s="34">
        <f>IF(AND($A211&lt;&gt;"",'算罪台'!$B$4&lt;&gt;"",ISNUMBER(SEARCH($A211,'算罪台'!$B$4))),1,0)</f>
        <v/>
      </c>
      <c r="D212" s="34">
        <f>IF(AND($A211&lt;&gt;"",'算罪台'!$B$5&lt;&gt;"",ISNUMBER(SEARCH($A211,'算罪台'!$B$5))),1,0)</f>
        <v/>
      </c>
      <c r="E212" s="34">
        <f>IF(AND($A211&lt;&gt;"",'算罪台'!$B$6&lt;&gt;"",ISNUMBER(SEARCH($A211,'算罪台'!$B$6))),1,0)</f>
        <v/>
      </c>
    </row>
    <row r="213">
      <c r="A213" s="34" t="inlineStr">
        <is>
          <t>绑架</t>
        </is>
      </c>
      <c r="B213" s="34" t="inlineStr">
        <is>
          <t>绑架罪</t>
        </is>
      </c>
      <c r="C213" s="34">
        <f>IF(AND($A212&lt;&gt;"",'算罪台'!$B$4&lt;&gt;"",ISNUMBER(SEARCH($A212,'算罪台'!$B$4))),1,0)</f>
        <v/>
      </c>
      <c r="D213" s="34">
        <f>IF(AND($A212&lt;&gt;"",'算罪台'!$B$5&lt;&gt;"",ISNUMBER(SEARCH($A212,'算罪台'!$B$5))),1,0)</f>
        <v/>
      </c>
      <c r="E213" s="34">
        <f>IF(AND($A212&lt;&gt;"",'算罪台'!$B$6&lt;&gt;"",ISNUMBER(SEARCH($A212,'算罪台'!$B$6))),1,0)</f>
        <v/>
      </c>
    </row>
    <row r="214">
      <c r="A214" s="34" t="inlineStr">
        <is>
          <t>劫持</t>
        </is>
      </c>
      <c r="B214" s="34" t="inlineStr">
        <is>
          <t>绑架罪</t>
        </is>
      </c>
      <c r="C214" s="34">
        <f>IF(AND($A213&lt;&gt;"",'算罪台'!$B$4&lt;&gt;"",ISNUMBER(SEARCH($A213,'算罪台'!$B$4))),1,0)</f>
        <v/>
      </c>
      <c r="D214" s="34">
        <f>IF(AND($A213&lt;&gt;"",'算罪台'!$B$5&lt;&gt;"",ISNUMBER(SEARCH($A213,'算罪台'!$B$5))),1,0)</f>
        <v/>
      </c>
      <c r="E214" s="34">
        <f>IF(AND($A213&lt;&gt;"",'算罪台'!$B$6&lt;&gt;"",ISNUMBER(SEARCH($A213,'算罪台'!$B$6))),1,0)</f>
        <v/>
      </c>
    </row>
    <row r="215">
      <c r="A215" s="34" t="inlineStr">
        <is>
          <t>挟持</t>
        </is>
      </c>
      <c r="B215" s="34" t="inlineStr">
        <is>
          <t>绑架罪</t>
        </is>
      </c>
      <c r="C215" s="34">
        <f>IF(AND($A214&lt;&gt;"",'算罪台'!$B$4&lt;&gt;"",ISNUMBER(SEARCH($A214,'算罪台'!$B$4))),1,0)</f>
        <v/>
      </c>
      <c r="D215" s="34">
        <f>IF(AND($A214&lt;&gt;"",'算罪台'!$B$5&lt;&gt;"",ISNUMBER(SEARCH($A214,'算罪台'!$B$5))),1,0)</f>
        <v/>
      </c>
      <c r="E215" s="34">
        <f>IF(AND($A214&lt;&gt;"",'算罪台'!$B$6&lt;&gt;"",ISNUMBER(SEARCH($A214,'算罪台'!$B$6))),1,0)</f>
        <v/>
      </c>
    </row>
    <row r="216">
      <c r="A216" s="34" t="inlineStr">
        <is>
          <t>绑票</t>
        </is>
      </c>
      <c r="B216" s="34" t="inlineStr">
        <is>
          <t>绑架罪</t>
        </is>
      </c>
      <c r="C216" s="34">
        <f>IF(AND($A215&lt;&gt;"",'算罪台'!$B$4&lt;&gt;"",ISNUMBER(SEARCH($A215,'算罪台'!$B$4))),1,0)</f>
        <v/>
      </c>
      <c r="D216" s="34">
        <f>IF(AND($A215&lt;&gt;"",'算罪台'!$B$5&lt;&gt;"",ISNUMBER(SEARCH($A215,'算罪台'!$B$5))),1,0)</f>
        <v/>
      </c>
      <c r="E216" s="34">
        <f>IF(AND($A215&lt;&gt;"",'算罪台'!$B$6&lt;&gt;"",ISNUMBER(SEARCH($A215,'算罪台'!$B$6))),1,0)</f>
        <v/>
      </c>
    </row>
    <row r="217">
      <c r="A217" s="34" t="inlineStr">
        <is>
          <t>控制人质</t>
        </is>
      </c>
      <c r="B217" s="34" t="inlineStr">
        <is>
          <t>绑架罪</t>
        </is>
      </c>
      <c r="C217" s="34">
        <f>IF(AND($A216&lt;&gt;"",'算罪台'!$B$4&lt;&gt;"",ISNUMBER(SEARCH($A216,'算罪台'!$B$4))),1,0)</f>
        <v/>
      </c>
      <c r="D217" s="34">
        <f>IF(AND($A216&lt;&gt;"",'算罪台'!$B$5&lt;&gt;"",ISNUMBER(SEARCH($A216,'算罪台'!$B$5))),1,0)</f>
        <v/>
      </c>
      <c r="E217" s="34">
        <f>IF(AND($A216&lt;&gt;"",'算罪台'!$B$6&lt;&gt;"",ISNUMBER(SEARCH($A216,'算罪台'!$B$6))),1,0)</f>
        <v/>
      </c>
    </row>
    <row r="218">
      <c r="A218" s="34" t="inlineStr">
        <is>
          <t>掳走</t>
        </is>
      </c>
      <c r="B218" s="34" t="inlineStr">
        <is>
          <t>绑架罪</t>
        </is>
      </c>
      <c r="C218" s="34">
        <f>IF(AND($A217&lt;&gt;"",'算罪台'!$B$4&lt;&gt;"",ISNUMBER(SEARCH($A217,'算罪台'!$B$4))),1,0)</f>
        <v/>
      </c>
      <c r="D218" s="34">
        <f>IF(AND($A217&lt;&gt;"",'算罪台'!$B$5&lt;&gt;"",ISNUMBER(SEARCH($A217,'算罪台'!$B$5))),1,0)</f>
        <v/>
      </c>
      <c r="E218" s="34">
        <f>IF(AND($A217&lt;&gt;"",'算罪台'!$B$6&lt;&gt;"",ISNUMBER(SEARCH($A217,'算罪台'!$B$6))),1,0)</f>
        <v/>
      </c>
    </row>
    <row r="219">
      <c r="A219" s="34" t="inlineStr">
        <is>
          <t>抓走人质</t>
        </is>
      </c>
      <c r="B219" s="34" t="inlineStr">
        <is>
          <t>绑架罪</t>
        </is>
      </c>
      <c r="C219" s="34">
        <f>IF(AND($A218&lt;&gt;"",'算罪台'!$B$4&lt;&gt;"",ISNUMBER(SEARCH($A218,'算罪台'!$B$4))),1,0)</f>
        <v/>
      </c>
      <c r="D219" s="34">
        <f>IF(AND($A218&lt;&gt;"",'算罪台'!$B$5&lt;&gt;"",ISNUMBER(SEARCH($A218,'算罪台'!$B$5))),1,0)</f>
        <v/>
      </c>
      <c r="E219" s="34">
        <f>IF(AND($A218&lt;&gt;"",'算罪台'!$B$6&lt;&gt;"",ISNUMBER(SEARCH($A218,'算罪台'!$B$6))),1,0)</f>
        <v/>
      </c>
    </row>
    <row r="220">
      <c r="A220" s="34" t="inlineStr">
        <is>
          <t>抓人质</t>
        </is>
      </c>
      <c r="B220" s="34" t="inlineStr">
        <is>
          <t>绑架罪</t>
        </is>
      </c>
      <c r="C220" s="34">
        <f>IF(AND($A219&lt;&gt;"",'算罪台'!$B$4&lt;&gt;"",ISNUMBER(SEARCH($A219,'算罪台'!$B$4))),1,0)</f>
        <v/>
      </c>
      <c r="D220" s="34">
        <f>IF(AND($A219&lt;&gt;"",'算罪台'!$B$5&lt;&gt;"",ISNUMBER(SEARCH($A219,'算罪台'!$B$5))),1,0)</f>
        <v/>
      </c>
      <c r="E220" s="34">
        <f>IF(AND($A219&lt;&gt;"",'算罪台'!$B$6&lt;&gt;"",ISNUMBER(SEARCH($A219,'算罪台'!$B$6))),1,0)</f>
        <v/>
      </c>
    </row>
    <row r="221">
      <c r="A221" s="34" t="inlineStr">
        <is>
          <t>把人绑走</t>
        </is>
      </c>
      <c r="B221" s="34" t="inlineStr">
        <is>
          <t>绑架罪</t>
        </is>
      </c>
      <c r="C221" s="34">
        <f>IF(AND($A220&lt;&gt;"",'算罪台'!$B$4&lt;&gt;"",ISNUMBER(SEARCH($A220,'算罪台'!$B$4))),1,0)</f>
        <v/>
      </c>
      <c r="D221" s="34">
        <f>IF(AND($A220&lt;&gt;"",'算罪台'!$B$5&lt;&gt;"",ISNUMBER(SEARCH($A220,'算罪台'!$B$5))),1,0)</f>
        <v/>
      </c>
      <c r="E221" s="34">
        <f>IF(AND($A220&lt;&gt;"",'算罪台'!$B$6&lt;&gt;"",ISNUMBER(SEARCH($A220,'算罪台'!$B$6))),1,0)</f>
        <v/>
      </c>
    </row>
    <row r="222">
      <c r="A222" s="34" t="inlineStr">
        <is>
          <t>掳人</t>
        </is>
      </c>
      <c r="B222" s="34" t="inlineStr">
        <is>
          <t>绑架罪</t>
        </is>
      </c>
      <c r="C222" s="34">
        <f>IF(AND($A221&lt;&gt;"",'算罪台'!$B$4&lt;&gt;"",ISNUMBER(SEARCH($A221,'算罪台'!$B$4))),1,0)</f>
        <v/>
      </c>
      <c r="D222" s="34">
        <f>IF(AND($A221&lt;&gt;"",'算罪台'!$B$5&lt;&gt;"",ISNUMBER(SEARCH($A221,'算罪台'!$B$5))),1,0)</f>
        <v/>
      </c>
      <c r="E222" s="34">
        <f>IF(AND($A221&lt;&gt;"",'算罪台'!$B$6&lt;&gt;"",ISNUMBER(SEARCH($A221,'算罪台'!$B$6))),1,0)</f>
        <v/>
      </c>
    </row>
    <row r="223">
      <c r="A223" s="34" t="inlineStr">
        <is>
          <t>抓人勒索</t>
        </is>
      </c>
      <c r="B223" s="34" t="inlineStr">
        <is>
          <t>绑架罪</t>
        </is>
      </c>
      <c r="C223" s="34">
        <f>IF(AND($A222&lt;&gt;"",'算罪台'!$B$4&lt;&gt;"",ISNUMBER(SEARCH($A222,'算罪台'!$B$4))),1,0)</f>
        <v/>
      </c>
      <c r="D223" s="34">
        <f>IF(AND($A222&lt;&gt;"",'算罪台'!$B$5&lt;&gt;"",ISNUMBER(SEARCH($A222,'算罪台'!$B$5))),1,0)</f>
        <v/>
      </c>
      <c r="E223" s="34">
        <f>IF(AND($A222&lt;&gt;"",'算罪台'!$B$6&lt;&gt;"",ISNUMBER(SEARCH($A222,'算罪台'!$B$6))),1,0)</f>
        <v/>
      </c>
    </row>
    <row r="224">
      <c r="A224" s="34" t="inlineStr">
        <is>
          <t>劫为人质</t>
        </is>
      </c>
      <c r="B224" s="34" t="inlineStr">
        <is>
          <t>绑架罪</t>
        </is>
      </c>
      <c r="C224" s="34">
        <f>IF(AND($A223&lt;&gt;"",'算罪台'!$B$4&lt;&gt;"",ISNUMBER(SEARCH($A223,'算罪台'!$B$4))),1,0)</f>
        <v/>
      </c>
      <c r="D224" s="34">
        <f>IF(AND($A223&lt;&gt;"",'算罪台'!$B$5&lt;&gt;"",ISNUMBER(SEARCH($A223,'算罪台'!$B$5))),1,0)</f>
        <v/>
      </c>
      <c r="E224" s="34">
        <f>IF(AND($A223&lt;&gt;"",'算罪台'!$B$6&lt;&gt;"",ISNUMBER(SEARCH($A223,'算罪台'!$B$6))),1,0)</f>
        <v/>
      </c>
    </row>
    <row r="225">
      <c r="A225" s="34" t="inlineStr">
        <is>
          <t>扣作人质</t>
        </is>
      </c>
      <c r="B225" s="34" t="inlineStr">
        <is>
          <t>绑架罪</t>
        </is>
      </c>
      <c r="C225" s="34">
        <f>IF(AND($A224&lt;&gt;"",'算罪台'!$B$4&lt;&gt;"",ISNUMBER(SEARCH($A224,'算罪台'!$B$4))),1,0)</f>
        <v/>
      </c>
      <c r="D225" s="34">
        <f>IF(AND($A224&lt;&gt;"",'算罪台'!$B$5&lt;&gt;"",ISNUMBER(SEARCH($A224,'算罪台'!$B$5))),1,0)</f>
        <v/>
      </c>
      <c r="E225" s="34">
        <f>IF(AND($A224&lt;&gt;"",'算罪台'!$B$6&lt;&gt;"",ISNUMBER(SEARCH($A224,'算罪台'!$B$6))),1,0)</f>
        <v/>
      </c>
    </row>
    <row r="226">
      <c r="A226" s="34" t="inlineStr">
        <is>
          <t>绑了人</t>
        </is>
      </c>
      <c r="B226" s="34" t="inlineStr">
        <is>
          <t>绑架罪</t>
        </is>
      </c>
      <c r="C226" s="34">
        <f>IF(AND($A225&lt;&gt;"",'算罪台'!$B$4&lt;&gt;"",ISNUMBER(SEARCH($A225,'算罪台'!$B$4))),1,0)</f>
        <v/>
      </c>
      <c r="D226" s="34">
        <f>IF(AND($A225&lt;&gt;"",'算罪台'!$B$5&lt;&gt;"",ISNUMBER(SEARCH($A225,'算罪台'!$B$5))),1,0)</f>
        <v/>
      </c>
      <c r="E226" s="34">
        <f>IF(AND($A225&lt;&gt;"",'算罪台'!$B$6&lt;&gt;"",ISNUMBER(SEARCH($A225,'算罪台'!$B$6))),1,0)</f>
        <v/>
      </c>
    </row>
    <row r="227">
      <c r="A227" s="34" t="inlineStr">
        <is>
          <t>把人掳走</t>
        </is>
      </c>
      <c r="B227" s="34" t="inlineStr">
        <is>
          <t>绑架罪</t>
        </is>
      </c>
      <c r="C227" s="34">
        <f>IF(AND($A226&lt;&gt;"",'算罪台'!$B$4&lt;&gt;"",ISNUMBER(SEARCH($A226,'算罪台'!$B$4))),1,0)</f>
        <v/>
      </c>
      <c r="D227" s="34">
        <f>IF(AND($A226&lt;&gt;"",'算罪台'!$B$5&lt;&gt;"",ISNUMBER(SEARCH($A226,'算罪台'!$B$5))),1,0)</f>
        <v/>
      </c>
      <c r="E227" s="34">
        <f>IF(AND($A226&lt;&gt;"",'算罪台'!$B$6&lt;&gt;"",ISNUMBER(SEARCH($A226,'算罪台'!$B$6))),1,0)</f>
        <v/>
      </c>
    </row>
    <row r="228">
      <c r="A228" s="34" t="inlineStr">
        <is>
          <t>绑架勒索</t>
        </is>
      </c>
      <c r="B228" s="34" t="inlineStr">
        <is>
          <t>绑架罪</t>
        </is>
      </c>
      <c r="C228" s="34">
        <f>IF(AND($A227&lt;&gt;"",'算罪台'!$B$4&lt;&gt;"",ISNUMBER(SEARCH($A227,'算罪台'!$B$4))),1,0)</f>
        <v/>
      </c>
      <c r="D228" s="34">
        <f>IF(AND($A227&lt;&gt;"",'算罪台'!$B$5&lt;&gt;"",ISNUMBER(SEARCH($A227,'算罪台'!$B$5))),1,0)</f>
        <v/>
      </c>
      <c r="E228" s="34">
        <f>IF(AND($A227&lt;&gt;"",'算罪台'!$B$6&lt;&gt;"",ISNUMBER(SEARCH($A227,'算罪台'!$B$6))),1,0)</f>
        <v/>
      </c>
    </row>
    <row r="229">
      <c r="A229" s="34" t="inlineStr">
        <is>
          <t>绑架人质</t>
        </is>
      </c>
      <c r="B229" s="34" t="inlineStr">
        <is>
          <t>绑架罪</t>
        </is>
      </c>
      <c r="C229" s="34">
        <f>IF(AND($A228&lt;&gt;"",'算罪台'!$B$4&lt;&gt;"",ISNUMBER(SEARCH($A228,'算罪台'!$B$4))),1,0)</f>
        <v/>
      </c>
      <c r="D229" s="34">
        <f>IF(AND($A228&lt;&gt;"",'算罪台'!$B$5&lt;&gt;"",ISNUMBER(SEARCH($A228,'算罪台'!$B$5))),1,0)</f>
        <v/>
      </c>
      <c r="E229" s="34">
        <f>IF(AND($A228&lt;&gt;"",'算罪台'!$B$6&lt;&gt;"",ISNUMBER(SEARCH($A228,'算罪台'!$B$6))),1,0)</f>
        <v/>
      </c>
    </row>
    <row r="230">
      <c r="A230" s="34" t="inlineStr">
        <is>
          <t>强行掳走</t>
        </is>
      </c>
      <c r="B230" s="34" t="inlineStr">
        <is>
          <t>绑架罪</t>
        </is>
      </c>
      <c r="C230" s="34">
        <f>IF(AND($A229&lt;&gt;"",'算罪台'!$B$4&lt;&gt;"",ISNUMBER(SEARCH($A229,'算罪台'!$B$4))),1,0)</f>
        <v/>
      </c>
      <c r="D230" s="34">
        <f>IF(AND($A229&lt;&gt;"",'算罪台'!$B$5&lt;&gt;"",ISNUMBER(SEARCH($A229,'算罪台'!$B$5))),1,0)</f>
        <v/>
      </c>
      <c r="E230" s="34">
        <f>IF(AND($A229&lt;&gt;"",'算罪台'!$B$6&lt;&gt;"",ISNUMBER(SEARCH($A229,'算罪台'!$B$6))),1,0)</f>
        <v/>
      </c>
    </row>
    <row r="231">
      <c r="A231" s="34" t="inlineStr">
        <is>
          <t>劫持人质</t>
        </is>
      </c>
      <c r="B231" s="34" t="inlineStr">
        <is>
          <t>绑架罪</t>
        </is>
      </c>
      <c r="C231" s="34">
        <f>IF(AND($A230&lt;&gt;"",'算罪台'!$B$4&lt;&gt;"",ISNUMBER(SEARCH($A230,'算罪台'!$B$4))),1,0)</f>
        <v/>
      </c>
      <c r="D231" s="34">
        <f>IF(AND($A230&lt;&gt;"",'算罪台'!$B$5&lt;&gt;"",ISNUMBER(SEARCH($A230,'算罪台'!$B$5))),1,0)</f>
        <v/>
      </c>
      <c r="E231" s="34">
        <f>IF(AND($A230&lt;&gt;"",'算罪台'!$B$6&lt;&gt;"",ISNUMBER(SEARCH($A230,'算罪台'!$B$6))),1,0)</f>
        <v/>
      </c>
    </row>
    <row r="232">
      <c r="A232" s="34" t="inlineStr">
        <is>
          <t>把人质绑了</t>
        </is>
      </c>
      <c r="B232" s="34" t="inlineStr">
        <is>
          <t>绑架罪</t>
        </is>
      </c>
      <c r="C232" s="34">
        <f>IF(AND($A231&lt;&gt;"",'算罪台'!$B$4&lt;&gt;"",ISNUMBER(SEARCH($A231,'算罪台'!$B$4))),1,0)</f>
        <v/>
      </c>
      <c r="D232" s="34">
        <f>IF(AND($A231&lt;&gt;"",'算罪台'!$B$5&lt;&gt;"",ISNUMBER(SEARCH($A231,'算罪台'!$B$5))),1,0)</f>
        <v/>
      </c>
      <c r="E232" s="34">
        <f>IF(AND($A231&lt;&gt;"",'算罪台'!$B$6&lt;&gt;"",ISNUMBER(SEARCH($A231,'算罪台'!$B$6))),1,0)</f>
        <v/>
      </c>
    </row>
    <row r="233">
      <c r="A233" s="34" t="inlineStr">
        <is>
          <t>绑架撕票</t>
        </is>
      </c>
      <c r="B233" s="34" t="inlineStr">
        <is>
          <t>绑架罪</t>
        </is>
      </c>
      <c r="C233" s="34">
        <f>IF(AND($A232&lt;&gt;"",'算罪台'!$B$4&lt;&gt;"",ISNUMBER(SEARCH($A232,'算罪台'!$B$4))),1,0)</f>
        <v/>
      </c>
      <c r="D233" s="34">
        <f>IF(AND($A232&lt;&gt;"",'算罪台'!$B$5&lt;&gt;"",ISNUMBER(SEARCH($A232,'算罪台'!$B$5))),1,0)</f>
        <v/>
      </c>
      <c r="E233" s="34">
        <f>IF(AND($A232&lt;&gt;"",'算罪台'!$B$6&lt;&gt;"",ISNUMBER(SEARCH($A232,'算罪台'!$B$6))),1,0)</f>
        <v/>
      </c>
    </row>
    <row r="234">
      <c r="A234" s="34" t="inlineStr">
        <is>
          <t>绑架他人</t>
        </is>
      </c>
      <c r="B234" s="34" t="inlineStr">
        <is>
          <t>绑架罪</t>
        </is>
      </c>
      <c r="C234" s="34">
        <f>IF(AND($A233&lt;&gt;"",'算罪台'!$B$4&lt;&gt;"",ISNUMBER(SEARCH($A233,'算罪台'!$B$4))),1,0)</f>
        <v/>
      </c>
      <c r="D234" s="34">
        <f>IF(AND($A233&lt;&gt;"",'算罪台'!$B$5&lt;&gt;"",ISNUMBER(SEARCH($A233,'算罪台'!$B$5))),1,0)</f>
        <v/>
      </c>
      <c r="E234" s="34">
        <f>IF(AND($A233&lt;&gt;"",'算罪台'!$B$6&lt;&gt;"",ISNUMBER(SEARCH($A233,'算罪台'!$B$6))),1,0)</f>
        <v/>
      </c>
    </row>
    <row r="235">
      <c r="A235" s="34" t="inlineStr">
        <is>
          <t>亵渎尸体</t>
        </is>
      </c>
      <c r="B235" s="34" t="inlineStr">
        <is>
          <t>亵渎尸体罪</t>
        </is>
      </c>
      <c r="C235" s="34">
        <f>IF(AND($A234&lt;&gt;"",'算罪台'!$B$4&lt;&gt;"",ISNUMBER(SEARCH($A234,'算罪台'!$B$4))),1,0)</f>
        <v/>
      </c>
      <c r="D235" s="34">
        <f>IF(AND($A234&lt;&gt;"",'算罪台'!$B$5&lt;&gt;"",ISNUMBER(SEARCH($A234,'算罪台'!$B$5))),1,0)</f>
        <v/>
      </c>
      <c r="E235" s="34">
        <f>IF(AND($A234&lt;&gt;"",'算罪台'!$B$6&lt;&gt;"",ISNUMBER(SEARCH($A234,'算罪台'!$B$6))),1,0)</f>
        <v/>
      </c>
    </row>
    <row r="236">
      <c r="A236" s="34" t="inlineStr">
        <is>
          <t>毁尸</t>
        </is>
      </c>
      <c r="B236" s="34" t="inlineStr">
        <is>
          <t>亵渎尸体罪</t>
        </is>
      </c>
      <c r="C236" s="34">
        <f>IF(AND($A235&lt;&gt;"",'算罪台'!$B$4&lt;&gt;"",ISNUMBER(SEARCH($A235,'算罪台'!$B$4))),1,0)</f>
        <v/>
      </c>
      <c r="D236" s="34">
        <f>IF(AND($A235&lt;&gt;"",'算罪台'!$B$5&lt;&gt;"",ISNUMBER(SEARCH($A235,'算罪台'!$B$5))),1,0)</f>
        <v/>
      </c>
      <c r="E236" s="34">
        <f>IF(AND($A235&lt;&gt;"",'算罪台'!$B$6&lt;&gt;"",ISNUMBER(SEARCH($A235,'算罪台'!$B$6))),1,0)</f>
        <v/>
      </c>
    </row>
    <row r="237">
      <c r="A237" s="34" t="inlineStr">
        <is>
          <t>处置尸体</t>
        </is>
      </c>
      <c r="B237" s="34" t="inlineStr">
        <is>
          <t>亵渎尸体罪</t>
        </is>
      </c>
      <c r="C237" s="34">
        <f>IF(AND($A236&lt;&gt;"",'算罪台'!$B$4&lt;&gt;"",ISNUMBER(SEARCH($A236,'算罪台'!$B$4))),1,0)</f>
        <v/>
      </c>
      <c r="D237" s="34">
        <f>IF(AND($A236&lt;&gt;"",'算罪台'!$B$5&lt;&gt;"",ISNUMBER(SEARCH($A236,'算罪台'!$B$5))),1,0)</f>
        <v/>
      </c>
      <c r="E237" s="34">
        <f>IF(AND($A236&lt;&gt;"",'算罪台'!$B$6&lt;&gt;"",ISNUMBER(SEARCH($A236,'算罪台'!$B$6))),1,0)</f>
        <v/>
      </c>
    </row>
    <row r="238">
      <c r="A238" s="34" t="inlineStr">
        <is>
          <t>销毁尸体</t>
        </is>
      </c>
      <c r="B238" s="34" t="inlineStr">
        <is>
          <t>亵渎尸体罪</t>
        </is>
      </c>
      <c r="C238" s="34">
        <f>IF(AND($A237&lt;&gt;"",'算罪台'!$B$4&lt;&gt;"",ISNUMBER(SEARCH($A237,'算罪台'!$B$4))),1,0)</f>
        <v/>
      </c>
      <c r="D238" s="34">
        <f>IF(AND($A237&lt;&gt;"",'算罪台'!$B$5&lt;&gt;"",ISNUMBER(SEARCH($A237,'算罪台'!$B$5))),1,0)</f>
        <v/>
      </c>
      <c r="E238" s="34">
        <f>IF(AND($A237&lt;&gt;"",'算罪台'!$B$6&lt;&gt;"",ISNUMBER(SEARCH($A237,'算罪台'!$B$6))),1,0)</f>
        <v/>
      </c>
    </row>
    <row r="239">
      <c r="A239" s="34" t="inlineStr">
        <is>
          <t>藏尸</t>
        </is>
      </c>
      <c r="B239" s="34" t="inlineStr">
        <is>
          <t>亵渎尸体罪</t>
        </is>
      </c>
      <c r="C239" s="34">
        <f>IF(AND($A238&lt;&gt;"",'算罪台'!$B$4&lt;&gt;"",ISNUMBER(SEARCH($A238,'算罪台'!$B$4))),1,0)</f>
        <v/>
      </c>
      <c r="D239" s="34">
        <f>IF(AND($A238&lt;&gt;"",'算罪台'!$B$5&lt;&gt;"",ISNUMBER(SEARCH($A238,'算罪台'!$B$5))),1,0)</f>
        <v/>
      </c>
      <c r="E239" s="34">
        <f>IF(AND($A238&lt;&gt;"",'算罪台'!$B$6&lt;&gt;"",ISNUMBER(SEARCH($A238,'算罪台'!$B$6))),1,0)</f>
        <v/>
      </c>
    </row>
    <row r="240">
      <c r="A240" s="34" t="inlineStr">
        <is>
          <t>焚尸</t>
        </is>
      </c>
      <c r="B240" s="34" t="inlineStr">
        <is>
          <t>亵渎尸体罪</t>
        </is>
      </c>
      <c r="C240" s="34">
        <f>IF(AND($A239&lt;&gt;"",'算罪台'!$B$4&lt;&gt;"",ISNUMBER(SEARCH($A239,'算罪台'!$B$4))),1,0)</f>
        <v/>
      </c>
      <c r="D240" s="34">
        <f>IF(AND($A239&lt;&gt;"",'算罪台'!$B$5&lt;&gt;"",ISNUMBER(SEARCH($A239,'算罪台'!$B$5))),1,0)</f>
        <v/>
      </c>
      <c r="E240" s="34">
        <f>IF(AND($A239&lt;&gt;"",'算罪台'!$B$6&lt;&gt;"",ISNUMBER(SEARCH($A239,'算罪台'!$B$6))),1,0)</f>
        <v/>
      </c>
    </row>
    <row r="241">
      <c r="A241" s="34" t="inlineStr">
        <is>
          <t>碎尸</t>
        </is>
      </c>
      <c r="B241" s="34" t="inlineStr">
        <is>
          <t>亵渎尸体罪</t>
        </is>
      </c>
      <c r="C241" s="34">
        <f>IF(AND($A240&lt;&gt;"",'算罪台'!$B$4&lt;&gt;"",ISNUMBER(SEARCH($A240,'算罪台'!$B$4))),1,0)</f>
        <v/>
      </c>
      <c r="D241" s="34">
        <f>IF(AND($A240&lt;&gt;"",'算罪台'!$B$5&lt;&gt;"",ISNUMBER(SEARCH($A240,'算罪台'!$B$5))),1,0)</f>
        <v/>
      </c>
      <c r="E241" s="34">
        <f>IF(AND($A240&lt;&gt;"",'算罪台'!$B$6&lt;&gt;"",ISNUMBER(SEARCH($A240,'算罪台'!$B$6))),1,0)</f>
        <v/>
      </c>
    </row>
    <row r="242">
      <c r="A242" s="34" t="inlineStr">
        <is>
          <t>玩弄尸体</t>
        </is>
      </c>
      <c r="B242" s="34" t="inlineStr">
        <is>
          <t>亵渎尸体罪</t>
        </is>
      </c>
      <c r="C242" s="34">
        <f>IF(AND($A241&lt;&gt;"",'算罪台'!$B$4&lt;&gt;"",ISNUMBER(SEARCH($A241,'算罪台'!$B$4))),1,0)</f>
        <v/>
      </c>
      <c r="D242" s="34">
        <f>IF(AND($A241&lt;&gt;"",'算罪台'!$B$5&lt;&gt;"",ISNUMBER(SEARCH($A241,'算罪台'!$B$5))),1,0)</f>
        <v/>
      </c>
      <c r="E242" s="34">
        <f>IF(AND($A241&lt;&gt;"",'算罪台'!$B$6&lt;&gt;"",ISNUMBER(SEARCH($A241,'算罪台'!$B$6))),1,0)</f>
        <v/>
      </c>
    </row>
    <row r="243">
      <c r="A243" s="34" t="inlineStr">
        <is>
          <t>毁坏尸体</t>
        </is>
      </c>
      <c r="B243" s="34" t="inlineStr">
        <is>
          <t>亵渎尸体罪</t>
        </is>
      </c>
      <c r="C243" s="34">
        <f>IF(AND($A242&lt;&gt;"",'算罪台'!$B$4&lt;&gt;"",ISNUMBER(SEARCH($A242,'算罪台'!$B$4))),1,0)</f>
        <v/>
      </c>
      <c r="D243" s="34">
        <f>IF(AND($A242&lt;&gt;"",'算罪台'!$B$5&lt;&gt;"",ISNUMBER(SEARCH($A242,'算罪台'!$B$5))),1,0)</f>
        <v/>
      </c>
      <c r="E243" s="34">
        <f>IF(AND($A242&lt;&gt;"",'算罪台'!$B$6&lt;&gt;"",ISNUMBER(SEARCH($A242,'算罪台'!$B$6))),1,0)</f>
        <v/>
      </c>
    </row>
    <row r="244">
      <c r="A244" s="34" t="inlineStr">
        <is>
          <t>肢解</t>
        </is>
      </c>
      <c r="B244" s="34" t="inlineStr">
        <is>
          <t>亵渎尸体罪</t>
        </is>
      </c>
      <c r="C244" s="34">
        <f>IF(AND($A243&lt;&gt;"",'算罪台'!$B$4&lt;&gt;"",ISNUMBER(SEARCH($A243,'算罪台'!$B$4))),1,0)</f>
        <v/>
      </c>
      <c r="D244" s="34">
        <f>IF(AND($A243&lt;&gt;"",'算罪台'!$B$5&lt;&gt;"",ISNUMBER(SEARCH($A243,'算罪台'!$B$5))),1,0)</f>
        <v/>
      </c>
      <c r="E244" s="34">
        <f>IF(AND($A243&lt;&gt;"",'算罪台'!$B$6&lt;&gt;"",ISNUMBER(SEARCH($A243,'算罪台'!$B$6))),1,0)</f>
        <v/>
      </c>
    </row>
    <row r="245">
      <c r="A245" s="34" t="inlineStr">
        <is>
          <t>弃尸</t>
        </is>
      </c>
      <c r="B245" s="34" t="inlineStr">
        <is>
          <t>亵渎尸体罪</t>
        </is>
      </c>
      <c r="C245" s="34">
        <f>IF(AND($A244&lt;&gt;"",'算罪台'!$B$4&lt;&gt;"",ISNUMBER(SEARCH($A244,'算罪台'!$B$4))),1,0)</f>
        <v/>
      </c>
      <c r="D245" s="34">
        <f>IF(AND($A244&lt;&gt;"",'算罪台'!$B$5&lt;&gt;"",ISNUMBER(SEARCH($A244,'算罪台'!$B$5))),1,0)</f>
        <v/>
      </c>
      <c r="E245" s="34">
        <f>IF(AND($A244&lt;&gt;"",'算罪台'!$B$6&lt;&gt;"",ISNUMBER(SEARCH($A244,'算罪台'!$B$6))),1,0)</f>
        <v/>
      </c>
    </row>
    <row r="246">
      <c r="A246" s="34" t="inlineStr">
        <is>
          <t>抛尸</t>
        </is>
      </c>
      <c r="B246" s="34" t="inlineStr">
        <is>
          <t>亵渎尸体罪</t>
        </is>
      </c>
      <c r="C246" s="34">
        <f>IF(AND($A245&lt;&gt;"",'算罪台'!$B$4&lt;&gt;"",ISNUMBER(SEARCH($A245,'算罪台'!$B$4))),1,0)</f>
        <v/>
      </c>
      <c r="D246" s="34">
        <f>IF(AND($A245&lt;&gt;"",'算罪台'!$B$5&lt;&gt;"",ISNUMBER(SEARCH($A245,'算罪台'!$B$5))),1,0)</f>
        <v/>
      </c>
      <c r="E246" s="34">
        <f>IF(AND($A245&lt;&gt;"",'算罪台'!$B$6&lt;&gt;"",ISNUMBER(SEARCH($A245,'算罪台'!$B$6))),1,0)</f>
        <v/>
      </c>
    </row>
    <row r="247">
      <c r="A247" s="34" t="inlineStr">
        <is>
          <t>分尸</t>
        </is>
      </c>
      <c r="B247" s="34" t="inlineStr">
        <is>
          <t>亵渎尸体罪</t>
        </is>
      </c>
      <c r="C247" s="34">
        <f>IF(AND($A246&lt;&gt;"",'算罪台'!$B$4&lt;&gt;"",ISNUMBER(SEARCH($A246,'算罪台'!$B$4))),1,0)</f>
        <v/>
      </c>
      <c r="D247" s="34">
        <f>IF(AND($A246&lt;&gt;"",'算罪台'!$B$5&lt;&gt;"",ISNUMBER(SEARCH($A246,'算罪台'!$B$5))),1,0)</f>
        <v/>
      </c>
      <c r="E247" s="34">
        <f>IF(AND($A246&lt;&gt;"",'算罪台'!$B$6&lt;&gt;"",ISNUMBER(SEARCH($A246,'算罪台'!$B$6))),1,0)</f>
        <v/>
      </c>
    </row>
    <row r="248">
      <c r="A248" s="34" t="inlineStr">
        <is>
          <t>损毁尸体</t>
        </is>
      </c>
      <c r="B248" s="34" t="inlineStr">
        <is>
          <t>亵渎尸体罪</t>
        </is>
      </c>
      <c r="C248" s="34">
        <f>IF(AND($A247&lt;&gt;"",'算罪台'!$B$4&lt;&gt;"",ISNUMBER(SEARCH($A247,'算罪台'!$B$4))),1,0)</f>
        <v/>
      </c>
      <c r="D248" s="34">
        <f>IF(AND($A247&lt;&gt;"",'算罪台'!$B$5&lt;&gt;"",ISNUMBER(SEARCH($A247,'算罪台'!$B$5))),1,0)</f>
        <v/>
      </c>
      <c r="E248" s="34">
        <f>IF(AND($A247&lt;&gt;"",'算罪台'!$B$6&lt;&gt;"",ISNUMBER(SEARCH($A247,'算罪台'!$B$6))),1,0)</f>
        <v/>
      </c>
    </row>
    <row r="249">
      <c r="A249" s="34" t="inlineStr">
        <is>
          <t>焚毁尸体</t>
        </is>
      </c>
      <c r="B249" s="34" t="inlineStr">
        <is>
          <t>亵渎尸体罪</t>
        </is>
      </c>
      <c r="C249" s="34">
        <f>IF(AND($A248&lt;&gt;"",'算罪台'!$B$4&lt;&gt;"",ISNUMBER(SEARCH($A248,'算罪台'!$B$4))),1,0)</f>
        <v/>
      </c>
      <c r="D249" s="34">
        <f>IF(AND($A248&lt;&gt;"",'算罪台'!$B$5&lt;&gt;"",ISNUMBER(SEARCH($A248,'算罪台'!$B$5))),1,0)</f>
        <v/>
      </c>
      <c r="E249" s="34">
        <f>IF(AND($A248&lt;&gt;"",'算罪台'!$B$6&lt;&gt;"",ISNUMBER(SEARCH($A248,'算罪台'!$B$6))),1,0)</f>
        <v/>
      </c>
    </row>
    <row r="250">
      <c r="A250" s="34" t="inlineStr">
        <is>
          <t>藏匿尸体</t>
        </is>
      </c>
      <c r="B250" s="34" t="inlineStr">
        <is>
          <t>亵渎尸体罪</t>
        </is>
      </c>
      <c r="C250" s="34">
        <f>IF(AND($A249&lt;&gt;"",'算罪台'!$B$4&lt;&gt;"",ISNUMBER(SEARCH($A249,'算罪台'!$B$4))),1,0)</f>
        <v/>
      </c>
      <c r="D250" s="34">
        <f>IF(AND($A249&lt;&gt;"",'算罪台'!$B$5&lt;&gt;"",ISNUMBER(SEARCH($A249,'算罪台'!$B$5))),1,0)</f>
        <v/>
      </c>
      <c r="E250" s="34">
        <f>IF(AND($A249&lt;&gt;"",'算罪台'!$B$6&lt;&gt;"",ISNUMBER(SEARCH($A249,'算罪台'!$B$6))),1,0)</f>
        <v/>
      </c>
    </row>
    <row r="251">
      <c r="A251" s="34" t="inlineStr">
        <is>
          <t>处理尸体</t>
        </is>
      </c>
      <c r="B251" s="34" t="inlineStr">
        <is>
          <t>亵渎尸体罪</t>
        </is>
      </c>
      <c r="C251" s="34">
        <f>IF(AND($A250&lt;&gt;"",'算罪台'!$B$4&lt;&gt;"",ISNUMBER(SEARCH($A250,'算罪台'!$B$4))),1,0)</f>
        <v/>
      </c>
      <c r="D251" s="34">
        <f>IF(AND($A250&lt;&gt;"",'算罪台'!$B$5&lt;&gt;"",ISNUMBER(SEARCH($A250,'算罪台'!$B$5))),1,0)</f>
        <v/>
      </c>
      <c r="E251" s="34">
        <f>IF(AND($A250&lt;&gt;"",'算罪台'!$B$6&lt;&gt;"",ISNUMBER(SEARCH($A250,'算罪台'!$B$6))),1,0)</f>
        <v/>
      </c>
    </row>
    <row r="252">
      <c r="A252" s="34" t="inlineStr">
        <is>
          <t>毁尸灭迹</t>
        </is>
      </c>
      <c r="B252" s="34" t="inlineStr">
        <is>
          <t>亵渎尸体罪</t>
        </is>
      </c>
      <c r="C252" s="34">
        <f>IF(AND($A251&lt;&gt;"",'算罪台'!$B$4&lt;&gt;"",ISNUMBER(SEARCH($A251,'算罪台'!$B$4))),1,0)</f>
        <v/>
      </c>
      <c r="D252" s="34">
        <f>IF(AND($A251&lt;&gt;"",'算罪台'!$B$5&lt;&gt;"",ISNUMBER(SEARCH($A251,'算罪台'!$B$5))),1,0)</f>
        <v/>
      </c>
      <c r="E252" s="34">
        <f>IF(AND($A251&lt;&gt;"",'算罪台'!$B$6&lt;&gt;"",ISNUMBER(SEARCH($A251,'算罪台'!$B$6))),1,0)</f>
        <v/>
      </c>
    </row>
    <row r="253">
      <c r="A253" s="34" t="inlineStr">
        <is>
          <t>诈骗</t>
        </is>
      </c>
      <c r="B253" s="34" t="inlineStr">
        <is>
          <t>诈骗罪</t>
        </is>
      </c>
      <c r="C253" s="34">
        <f>IF(AND($A252&lt;&gt;"",'算罪台'!$B$4&lt;&gt;"",ISNUMBER(SEARCH($A252,'算罪台'!$B$4))),1,0)</f>
        <v/>
      </c>
      <c r="D253" s="34">
        <f>IF(AND($A252&lt;&gt;"",'算罪台'!$B$5&lt;&gt;"",ISNUMBER(SEARCH($A252,'算罪台'!$B$5))),1,0)</f>
        <v/>
      </c>
      <c r="E253" s="34">
        <f>IF(AND($A252&lt;&gt;"",'算罪台'!$B$6&lt;&gt;"",ISNUMBER(SEARCH($A252,'算罪台'!$B$6))),1,0)</f>
        <v/>
      </c>
    </row>
    <row r="254">
      <c r="A254" s="34" t="inlineStr">
        <is>
          <t>欺诈</t>
        </is>
      </c>
      <c r="B254" s="34" t="inlineStr">
        <is>
          <t>诈骗罪</t>
        </is>
      </c>
      <c r="C254" s="34">
        <f>IF(AND($A253&lt;&gt;"",'算罪台'!$B$4&lt;&gt;"",ISNUMBER(SEARCH($A253,'算罪台'!$B$4))),1,0)</f>
        <v/>
      </c>
      <c r="D254" s="34">
        <f>IF(AND($A253&lt;&gt;"",'算罪台'!$B$5&lt;&gt;"",ISNUMBER(SEARCH($A253,'算罪台'!$B$5))),1,0)</f>
        <v/>
      </c>
      <c r="E254" s="34">
        <f>IF(AND($A253&lt;&gt;"",'算罪台'!$B$6&lt;&gt;"",ISNUMBER(SEARCH($A253,'算罪台'!$B$6))),1,0)</f>
        <v/>
      </c>
    </row>
    <row r="255">
      <c r="A255" s="34" t="inlineStr">
        <is>
          <t>骗钱</t>
        </is>
      </c>
      <c r="B255" s="34" t="inlineStr">
        <is>
          <t>诈骗罪</t>
        </is>
      </c>
      <c r="C255" s="34">
        <f>IF(AND($A254&lt;&gt;"",'算罪台'!$B$4&lt;&gt;"",ISNUMBER(SEARCH($A254,'算罪台'!$B$4))),1,0)</f>
        <v/>
      </c>
      <c r="D255" s="34">
        <f>IF(AND($A254&lt;&gt;"",'算罪台'!$B$5&lt;&gt;"",ISNUMBER(SEARCH($A254,'算罪台'!$B$5))),1,0)</f>
        <v/>
      </c>
      <c r="E255" s="34">
        <f>IF(AND($A254&lt;&gt;"",'算罪台'!$B$6&lt;&gt;"",ISNUMBER(SEARCH($A254,'算罪台'!$B$6))),1,0)</f>
        <v/>
      </c>
    </row>
    <row r="256">
      <c r="A256" s="34" t="inlineStr">
        <is>
          <t>行骗</t>
        </is>
      </c>
      <c r="B256" s="34" t="inlineStr">
        <is>
          <t>诈骗罪</t>
        </is>
      </c>
      <c r="C256" s="34">
        <f>IF(AND($A255&lt;&gt;"",'算罪台'!$B$4&lt;&gt;"",ISNUMBER(SEARCH($A255,'算罪台'!$B$4))),1,0)</f>
        <v/>
      </c>
      <c r="D256" s="34">
        <f>IF(AND($A255&lt;&gt;"",'算罪台'!$B$5&lt;&gt;"",ISNUMBER(SEARCH($A255,'算罪台'!$B$5))),1,0)</f>
        <v/>
      </c>
      <c r="E256" s="34">
        <f>IF(AND($A255&lt;&gt;"",'算罪台'!$B$6&lt;&gt;"",ISNUMBER(SEARCH($A255,'算罪台'!$B$6))),1,0)</f>
        <v/>
      </c>
    </row>
    <row r="257">
      <c r="A257" s="34" t="inlineStr">
        <is>
          <t>诈骗钱财</t>
        </is>
      </c>
      <c r="B257" s="34" t="inlineStr">
        <is>
          <t>诈骗罪</t>
        </is>
      </c>
      <c r="C257" s="34">
        <f>IF(AND($A256&lt;&gt;"",'算罪台'!$B$4&lt;&gt;"",ISNUMBER(SEARCH($A256,'算罪台'!$B$4))),1,0)</f>
        <v/>
      </c>
      <c r="D257" s="34">
        <f>IF(AND($A256&lt;&gt;"",'算罪台'!$B$5&lt;&gt;"",ISNUMBER(SEARCH($A256,'算罪台'!$B$5))),1,0)</f>
        <v/>
      </c>
      <c r="E257" s="34">
        <f>IF(AND($A256&lt;&gt;"",'算罪台'!$B$6&lt;&gt;"",ISNUMBER(SEARCH($A256,'算罪台'!$B$6))),1,0)</f>
        <v/>
      </c>
    </row>
    <row r="258">
      <c r="A258" s="34" t="inlineStr">
        <is>
          <t>骗取</t>
        </is>
      </c>
      <c r="B258" s="34" t="inlineStr">
        <is>
          <t>诈骗罪</t>
        </is>
      </c>
      <c r="C258" s="34">
        <f>IF(AND($A257&lt;&gt;"",'算罪台'!$B$4&lt;&gt;"",ISNUMBER(SEARCH($A257,'算罪台'!$B$4))),1,0)</f>
        <v/>
      </c>
      <c r="D258" s="34">
        <f>IF(AND($A257&lt;&gt;"",'算罪台'!$B$5&lt;&gt;"",ISNUMBER(SEARCH($A257,'算罪台'!$B$5))),1,0)</f>
        <v/>
      </c>
      <c r="E258" s="34">
        <f>IF(AND($A257&lt;&gt;"",'算罪台'!$B$6&lt;&gt;"",ISNUMBER(SEARCH($A257,'算罪台'!$B$6))),1,0)</f>
        <v/>
      </c>
    </row>
    <row r="259">
      <c r="A259" s="34" t="inlineStr">
        <is>
          <t>坑钱</t>
        </is>
      </c>
      <c r="B259" s="34" t="inlineStr">
        <is>
          <t>诈骗罪</t>
        </is>
      </c>
      <c r="C259" s="34">
        <f>IF(AND($A258&lt;&gt;"",'算罪台'!$B$4&lt;&gt;"",ISNUMBER(SEARCH($A258,'算罪台'!$B$4))),1,0)</f>
        <v/>
      </c>
      <c r="D259" s="34">
        <f>IF(AND($A258&lt;&gt;"",'算罪台'!$B$5&lt;&gt;"",ISNUMBER(SEARCH($A258,'算罪台'!$B$5))),1,0)</f>
        <v/>
      </c>
      <c r="E259" s="34">
        <f>IF(AND($A258&lt;&gt;"",'算罪台'!$B$6&lt;&gt;"",ISNUMBER(SEARCH($A258,'算罪台'!$B$6))),1,0)</f>
        <v/>
      </c>
    </row>
    <row r="260">
      <c r="A260" s="34" t="inlineStr">
        <is>
          <t>设局骗</t>
        </is>
      </c>
      <c r="B260" s="34" t="inlineStr">
        <is>
          <t>诈骗罪</t>
        </is>
      </c>
      <c r="C260" s="34">
        <f>IF(AND($A259&lt;&gt;"",'算罪台'!$B$4&lt;&gt;"",ISNUMBER(SEARCH($A259,'算罪台'!$B$4))),1,0)</f>
        <v/>
      </c>
      <c r="D260" s="34">
        <f>IF(AND($A259&lt;&gt;"",'算罪台'!$B$5&lt;&gt;"",ISNUMBER(SEARCH($A259,'算罪台'!$B$5))),1,0)</f>
        <v/>
      </c>
      <c r="E260" s="34">
        <f>IF(AND($A259&lt;&gt;"",'算罪台'!$B$6&lt;&gt;"",ISNUMBER(SEARCH($A259,'算罪台'!$B$6))),1,0)</f>
        <v/>
      </c>
    </row>
    <row r="261">
      <c r="A261" s="34" t="inlineStr">
        <is>
          <t>骗了</t>
        </is>
      </c>
      <c r="B261" s="34" t="inlineStr">
        <is>
          <t>诈骗罪</t>
        </is>
      </c>
      <c r="C261" s="34">
        <f>IF(AND($A260&lt;&gt;"",'算罪台'!$B$4&lt;&gt;"",ISNUMBER(SEARCH($A260,'算罪台'!$B$4))),1,0)</f>
        <v/>
      </c>
      <c r="D261" s="34">
        <f>IF(AND($A260&lt;&gt;"",'算罪台'!$B$5&lt;&gt;"",ISNUMBER(SEARCH($A260,'算罪台'!$B$5))),1,0)</f>
        <v/>
      </c>
      <c r="E261" s="34">
        <f>IF(AND($A260&lt;&gt;"",'算罪台'!$B$6&lt;&gt;"",ISNUMBER(SEARCH($A260,'算罪台'!$B$6))),1,0)</f>
        <v/>
      </c>
    </row>
    <row r="262">
      <c r="A262" s="34" t="inlineStr">
        <is>
          <t>骗人钱</t>
        </is>
      </c>
      <c r="B262" s="34" t="inlineStr">
        <is>
          <t>诈骗罪</t>
        </is>
      </c>
      <c r="C262" s="34">
        <f>IF(AND($A261&lt;&gt;"",'算罪台'!$B$4&lt;&gt;"",ISNUMBER(SEARCH($A261,'算罪台'!$B$4))),1,0)</f>
        <v/>
      </c>
      <c r="D262" s="34">
        <f>IF(AND($A261&lt;&gt;"",'算罪台'!$B$5&lt;&gt;"",ISNUMBER(SEARCH($A261,'算罪台'!$B$5))),1,0)</f>
        <v/>
      </c>
      <c r="E262" s="34">
        <f>IF(AND($A261&lt;&gt;"",'算罪台'!$B$6&lt;&gt;"",ISNUMBER(SEARCH($A261,'算罪台'!$B$6))),1,0)</f>
        <v/>
      </c>
    </row>
    <row r="263">
      <c r="A263" s="34" t="inlineStr">
        <is>
          <t>杀猪盘</t>
        </is>
      </c>
      <c r="B263" s="34" t="inlineStr">
        <is>
          <t>诈骗罪</t>
        </is>
      </c>
      <c r="C263" s="34">
        <f>IF(AND($A262&lt;&gt;"",'算罪台'!$B$4&lt;&gt;"",ISNUMBER(SEARCH($A262,'算罪台'!$B$4))),1,0)</f>
        <v/>
      </c>
      <c r="D263" s="34">
        <f>IF(AND($A262&lt;&gt;"",'算罪台'!$B$5&lt;&gt;"",ISNUMBER(SEARCH($A262,'算罪台'!$B$5))),1,0)</f>
        <v/>
      </c>
      <c r="E263" s="34">
        <f>IF(AND($A262&lt;&gt;"",'算罪台'!$B$6&lt;&gt;"",ISNUMBER(SEARCH($A262,'算罪台'!$B$6))),1,0)</f>
        <v/>
      </c>
    </row>
    <row r="264">
      <c r="A264" s="34" t="inlineStr">
        <is>
          <t>虚假交易</t>
        </is>
      </c>
      <c r="B264" s="34" t="inlineStr">
        <is>
          <t>诈骗罪</t>
        </is>
      </c>
      <c r="C264" s="34">
        <f>IF(AND($A263&lt;&gt;"",'算罪台'!$B$4&lt;&gt;"",ISNUMBER(SEARCH($A263,'算罪台'!$B$4))),1,0)</f>
        <v/>
      </c>
      <c r="D264" s="34">
        <f>IF(AND($A263&lt;&gt;"",'算罪台'!$B$5&lt;&gt;"",ISNUMBER(SEARCH($A263,'算罪台'!$B$5))),1,0)</f>
        <v/>
      </c>
      <c r="E264" s="34">
        <f>IF(AND($A263&lt;&gt;"",'算罪台'!$B$6&lt;&gt;"",ISNUMBER(SEARCH($A263,'算罪台'!$B$6))),1,0)</f>
        <v/>
      </c>
    </row>
    <row r="265">
      <c r="A265" s="34" t="inlineStr">
        <is>
          <t>假买卖</t>
        </is>
      </c>
      <c r="B265" s="34" t="inlineStr">
        <is>
          <t>诈骗罪</t>
        </is>
      </c>
      <c r="C265" s="34">
        <f>IF(AND($A264&lt;&gt;"",'算罪台'!$B$4&lt;&gt;"",ISNUMBER(SEARCH($A264,'算罪台'!$B$4))),1,0)</f>
        <v/>
      </c>
      <c r="D265" s="34">
        <f>IF(AND($A264&lt;&gt;"",'算罪台'!$B$5&lt;&gt;"",ISNUMBER(SEARCH($A264,'算罪台'!$B$5))),1,0)</f>
        <v/>
      </c>
      <c r="E265" s="34">
        <f>IF(AND($A264&lt;&gt;"",'算罪台'!$B$6&lt;&gt;"",ISNUMBER(SEARCH($A264,'算罪台'!$B$6))),1,0)</f>
        <v/>
      </c>
    </row>
    <row r="266">
      <c r="A266" s="34" t="inlineStr">
        <is>
          <t>坑蒙拐骗</t>
        </is>
      </c>
      <c r="B266" s="34" t="inlineStr">
        <is>
          <t>诈骗罪</t>
        </is>
      </c>
      <c r="C266" s="34">
        <f>IF(AND($A265&lt;&gt;"",'算罪台'!$B$4&lt;&gt;"",ISNUMBER(SEARCH($A265,'算罪台'!$B$4))),1,0)</f>
        <v/>
      </c>
      <c r="D266" s="34">
        <f>IF(AND($A265&lt;&gt;"",'算罪台'!$B$5&lt;&gt;"",ISNUMBER(SEARCH($A265,'算罪台'!$B$5))),1,0)</f>
        <v/>
      </c>
      <c r="E266" s="34">
        <f>IF(AND($A265&lt;&gt;"",'算罪台'!$B$6&lt;&gt;"",ISNUMBER(SEARCH($A265,'算罪台'!$B$6))),1,0)</f>
        <v/>
      </c>
    </row>
    <row r="267">
      <c r="A267" s="34" t="inlineStr">
        <is>
          <t>设套骗</t>
        </is>
      </c>
      <c r="B267" s="34" t="inlineStr">
        <is>
          <t>诈骗罪</t>
        </is>
      </c>
      <c r="C267" s="34">
        <f>IF(AND($A266&lt;&gt;"",'算罪台'!$B$4&lt;&gt;"",ISNUMBER(SEARCH($A266,'算罪台'!$B$4))),1,0)</f>
        <v/>
      </c>
      <c r="D267" s="34">
        <f>IF(AND($A266&lt;&gt;"",'算罪台'!$B$5&lt;&gt;"",ISNUMBER(SEARCH($A266,'算罪台'!$B$5))),1,0)</f>
        <v/>
      </c>
      <c r="E267" s="34">
        <f>IF(AND($A266&lt;&gt;"",'算罪台'!$B$6&lt;&gt;"",ISNUMBER(SEARCH($A266,'算罪台'!$B$6))),1,0)</f>
        <v/>
      </c>
    </row>
    <row r="268">
      <c r="A268" s="34" t="inlineStr">
        <is>
          <t>忽悠钱</t>
        </is>
      </c>
      <c r="B268" s="34" t="inlineStr">
        <is>
          <t>诈骗罪</t>
        </is>
      </c>
      <c r="C268" s="34">
        <f>IF(AND($A267&lt;&gt;"",'算罪台'!$B$4&lt;&gt;"",ISNUMBER(SEARCH($A267,'算罪台'!$B$4))),1,0)</f>
        <v/>
      </c>
      <c r="D268" s="34">
        <f>IF(AND($A267&lt;&gt;"",'算罪台'!$B$5&lt;&gt;"",ISNUMBER(SEARCH($A267,'算罪台'!$B$5))),1,0)</f>
        <v/>
      </c>
      <c r="E268" s="34">
        <f>IF(AND($A267&lt;&gt;"",'算罪台'!$B$6&lt;&gt;"",ISNUMBER(SEARCH($A267,'算罪台'!$B$6))),1,0)</f>
        <v/>
      </c>
    </row>
    <row r="269">
      <c r="A269" s="34" t="inlineStr">
        <is>
          <t>诈骗团伙</t>
        </is>
      </c>
      <c r="B269" s="34" t="inlineStr">
        <is>
          <t>诈骗罪</t>
        </is>
      </c>
      <c r="C269" s="34">
        <f>IF(AND($A268&lt;&gt;"",'算罪台'!$B$4&lt;&gt;"",ISNUMBER(SEARCH($A268,'算罪台'!$B$4))),1,0)</f>
        <v/>
      </c>
      <c r="D269" s="34">
        <f>IF(AND($A268&lt;&gt;"",'算罪台'!$B$5&lt;&gt;"",ISNUMBER(SEARCH($A268,'算罪台'!$B$5))),1,0)</f>
        <v/>
      </c>
      <c r="E269" s="34">
        <f>IF(AND($A268&lt;&gt;"",'算罪台'!$B$6&lt;&gt;"",ISNUMBER(SEARCH($A268,'算罪台'!$B$6))),1,0)</f>
        <v/>
      </c>
    </row>
    <row r="270">
      <c r="A270" s="34" t="inlineStr">
        <is>
          <t>电信诈骗</t>
        </is>
      </c>
      <c r="B270" s="34" t="inlineStr">
        <is>
          <t>诈骗罪</t>
        </is>
      </c>
      <c r="C270" s="34">
        <f>IF(AND($A269&lt;&gt;"",'算罪台'!$B$4&lt;&gt;"",ISNUMBER(SEARCH($A269,'算罪台'!$B$4))),1,0)</f>
        <v/>
      </c>
      <c r="D270" s="34">
        <f>IF(AND($A269&lt;&gt;"",'算罪台'!$B$5&lt;&gt;"",ISNUMBER(SEARCH($A269,'算罪台'!$B$5))),1,0)</f>
        <v/>
      </c>
      <c r="E270" s="34">
        <f>IF(AND($A269&lt;&gt;"",'算罪台'!$B$6&lt;&gt;"",ISNUMBER(SEARCH($A269,'算罪台'!$B$6))),1,0)</f>
        <v/>
      </c>
    </row>
    <row r="271">
      <c r="A271" s="34" t="inlineStr">
        <is>
          <t>诈骗他人</t>
        </is>
      </c>
      <c r="B271" s="34" t="inlineStr">
        <is>
          <t>诈骗罪</t>
        </is>
      </c>
      <c r="C271" s="34">
        <f>IF(AND($A270&lt;&gt;"",'算罪台'!$B$4&lt;&gt;"",ISNUMBER(SEARCH($A270,'算罪台'!$B$4))),1,0)</f>
        <v/>
      </c>
      <c r="D271" s="34">
        <f>IF(AND($A270&lt;&gt;"",'算罪台'!$B$5&lt;&gt;"",ISNUMBER(SEARCH($A270,'算罪台'!$B$5))),1,0)</f>
        <v/>
      </c>
      <c r="E271" s="34">
        <f>IF(AND($A270&lt;&gt;"",'算罪台'!$B$6&lt;&gt;"",ISNUMBER(SEARCH($A270,'算罪台'!$B$6))),1,0)</f>
        <v/>
      </c>
    </row>
    <row r="272">
      <c r="A272" s="34" t="inlineStr">
        <is>
          <t>骗取钱财</t>
        </is>
      </c>
      <c r="B272" s="34" t="inlineStr">
        <is>
          <t>诈骗罪</t>
        </is>
      </c>
      <c r="C272" s="34">
        <f>IF(AND($A271&lt;&gt;"",'算罪台'!$B$4&lt;&gt;"",ISNUMBER(SEARCH($A271,'算罪台'!$B$4))),1,0)</f>
        <v/>
      </c>
      <c r="D272" s="34">
        <f>IF(AND($A271&lt;&gt;"",'算罪台'!$B$5&lt;&gt;"",ISNUMBER(SEARCH($A271,'算罪台'!$B$5))),1,0)</f>
        <v/>
      </c>
      <c r="E272" s="34">
        <f>IF(AND($A271&lt;&gt;"",'算罪台'!$B$6&lt;&gt;"",ISNUMBER(SEARCH($A271,'算罪台'!$B$6))),1,0)</f>
        <v/>
      </c>
    </row>
    <row r="273">
      <c r="A273" s="34" t="inlineStr">
        <is>
          <t>诱骗钱财</t>
        </is>
      </c>
      <c r="B273" s="34" t="inlineStr">
        <is>
          <t>诈骗罪</t>
        </is>
      </c>
      <c r="C273" s="34">
        <f>IF(AND($A272&lt;&gt;"",'算罪台'!$B$4&lt;&gt;"",ISNUMBER(SEARCH($A272,'算罪台'!$B$4))),1,0)</f>
        <v/>
      </c>
      <c r="D273" s="34">
        <f>IF(AND($A272&lt;&gt;"",'算罪台'!$B$5&lt;&gt;"",ISNUMBER(SEARCH($A272,'算罪台'!$B$5))),1,0)</f>
        <v/>
      </c>
      <c r="E273" s="34">
        <f>IF(AND($A272&lt;&gt;"",'算罪台'!$B$6&lt;&gt;"",ISNUMBER(SEARCH($A272,'算罪台'!$B$6))),1,0)</f>
        <v/>
      </c>
    </row>
    <row r="274">
      <c r="A274" s="34" t="inlineStr">
        <is>
          <t>合同诈骗</t>
        </is>
      </c>
      <c r="B274" s="34" t="inlineStr">
        <is>
          <t>诈骗罪</t>
        </is>
      </c>
      <c r="C274" s="34">
        <f>IF(AND($A273&lt;&gt;"",'算罪台'!$B$4&lt;&gt;"",ISNUMBER(SEARCH($A273,'算罪台'!$B$4))),1,0)</f>
        <v/>
      </c>
      <c r="D274" s="34">
        <f>IF(AND($A273&lt;&gt;"",'算罪台'!$B$5&lt;&gt;"",ISNUMBER(SEARCH($A273,'算罪台'!$B$5))),1,0)</f>
        <v/>
      </c>
      <c r="E274" s="34">
        <f>IF(AND($A273&lt;&gt;"",'算罪台'!$B$6&lt;&gt;"",ISNUMBER(SEARCH($A273,'算罪台'!$B$6))),1,0)</f>
        <v/>
      </c>
    </row>
    <row r="275">
      <c r="A275" s="34" t="inlineStr">
        <is>
          <t>网络诈骗</t>
        </is>
      </c>
      <c r="B275" s="34" t="inlineStr">
        <is>
          <t>诈骗罪</t>
        </is>
      </c>
      <c r="C275" s="34">
        <f>IF(AND($A274&lt;&gt;"",'算罪台'!$B$4&lt;&gt;"",ISNUMBER(SEARCH($A274,'算罪台'!$B$4))),1,0)</f>
        <v/>
      </c>
      <c r="D275" s="34">
        <f>IF(AND($A274&lt;&gt;"",'算罪台'!$B$5&lt;&gt;"",ISNUMBER(SEARCH($A274,'算罪台'!$B$5))),1,0)</f>
        <v/>
      </c>
      <c r="E275" s="34">
        <f>IF(AND($A274&lt;&gt;"",'算罪台'!$B$6&lt;&gt;"",ISNUMBER(SEARCH($A274,'算罪台'!$B$6))),1,0)</f>
        <v/>
      </c>
    </row>
    <row r="276">
      <c r="A276" s="34" t="inlineStr">
        <is>
          <t>假冒诈骗</t>
        </is>
      </c>
      <c r="B276" s="34" t="inlineStr">
        <is>
          <t>诈骗罪</t>
        </is>
      </c>
      <c r="C276" s="34">
        <f>IF(AND($A275&lt;&gt;"",'算罪台'!$B$4&lt;&gt;"",ISNUMBER(SEARCH($A275,'算罪台'!$B$4))),1,0)</f>
        <v/>
      </c>
      <c r="D276" s="34">
        <f>IF(AND($A275&lt;&gt;"",'算罪台'!$B$5&lt;&gt;"",ISNUMBER(SEARCH($A275,'算罪台'!$B$5))),1,0)</f>
        <v/>
      </c>
      <c r="E276" s="34">
        <f>IF(AND($A275&lt;&gt;"",'算罪台'!$B$6&lt;&gt;"",ISNUMBER(SEARCH($A275,'算罪台'!$B$6))),1,0)</f>
        <v/>
      </c>
    </row>
    <row r="277">
      <c r="A277" s="34" t="inlineStr">
        <is>
          <t>诈骗财物</t>
        </is>
      </c>
      <c r="B277" s="34" t="inlineStr">
        <is>
          <t>诈骗罪</t>
        </is>
      </c>
      <c r="C277" s="34">
        <f>IF(AND($A276&lt;&gt;"",'算罪台'!$B$4&lt;&gt;"",ISNUMBER(SEARCH($A276,'算罪台'!$B$4))),1,0)</f>
        <v/>
      </c>
      <c r="D277" s="34">
        <f>IF(AND($A276&lt;&gt;"",'算罪台'!$B$5&lt;&gt;"",ISNUMBER(SEARCH($A276,'算罪台'!$B$5))),1,0)</f>
        <v/>
      </c>
      <c r="E277" s="34">
        <f>IF(AND($A276&lt;&gt;"",'算罪台'!$B$6&lt;&gt;"",ISNUMBER(SEARCH($A276,'算罪台'!$B$6))),1,0)</f>
        <v/>
      </c>
    </row>
    <row r="278">
      <c r="A278" s="34" t="inlineStr">
        <is>
          <t>骗财</t>
        </is>
      </c>
      <c r="B278" s="34" t="inlineStr">
        <is>
          <t>诈骗罪</t>
        </is>
      </c>
      <c r="C278" s="34">
        <f>IF(AND($A277&lt;&gt;"",'算罪台'!$B$4&lt;&gt;"",ISNUMBER(SEARCH($A277,'算罪台'!$B$4))),1,0)</f>
        <v/>
      </c>
      <c r="D278" s="34">
        <f>IF(AND($A277&lt;&gt;"",'算罪台'!$B$5&lt;&gt;"",ISNUMBER(SEARCH($A277,'算罪台'!$B$5))),1,0)</f>
        <v/>
      </c>
      <c r="E278" s="34">
        <f>IF(AND($A277&lt;&gt;"",'算罪台'!$B$6&lt;&gt;"",ISNUMBER(SEARCH($A277,'算罪台'!$B$6))),1,0)</f>
        <v/>
      </c>
    </row>
    <row r="279">
      <c r="A279" s="34" t="inlineStr">
        <is>
          <t>诱骗财物</t>
        </is>
      </c>
      <c r="B279" s="34" t="inlineStr">
        <is>
          <t>诈骗罪</t>
        </is>
      </c>
      <c r="C279" s="34">
        <f>IF(AND($A278&lt;&gt;"",'算罪台'!$B$4&lt;&gt;"",ISNUMBER(SEARCH($A278,'算罪台'!$B$4))),1,0)</f>
        <v/>
      </c>
      <c r="D279" s="34">
        <f>IF(AND($A278&lt;&gt;"",'算罪台'!$B$5&lt;&gt;"",ISNUMBER(SEARCH($A278,'算罪台'!$B$5))),1,0)</f>
        <v/>
      </c>
      <c r="E279" s="34">
        <f>IF(AND($A278&lt;&gt;"",'算罪台'!$B$6&lt;&gt;"",ISNUMBER(SEARCH($A278,'算罪台'!$B$6))),1,0)</f>
        <v/>
      </c>
    </row>
    <row r="280">
      <c r="A280" s="34" t="inlineStr">
        <is>
          <t>非法入侵</t>
        </is>
      </c>
      <c r="B280" s="34" t="inlineStr">
        <is>
          <t>非法入侵罪</t>
        </is>
      </c>
      <c r="C280" s="34">
        <f>IF(AND($A279&lt;&gt;"",'算罪台'!$B$4&lt;&gt;"",ISNUMBER(SEARCH($A279,'算罪台'!$B$4))),1,0)</f>
        <v/>
      </c>
      <c r="D280" s="34">
        <f>IF(AND($A279&lt;&gt;"",'算罪台'!$B$5&lt;&gt;"",ISNUMBER(SEARCH($A279,'算罪台'!$B$5))),1,0)</f>
        <v/>
      </c>
      <c r="E280" s="34">
        <f>IF(AND($A279&lt;&gt;"",'算罪台'!$B$6&lt;&gt;"",ISNUMBER(SEARCH($A279,'算罪台'!$B$6))),1,0)</f>
        <v/>
      </c>
    </row>
    <row r="281">
      <c r="A281" s="34" t="inlineStr">
        <is>
          <t>拒绝离开</t>
        </is>
      </c>
      <c r="B281" s="34" t="inlineStr">
        <is>
          <t>非法入侵罪</t>
        </is>
      </c>
      <c r="C281" s="34">
        <f>IF(AND($A280&lt;&gt;"",'算罪台'!$B$4&lt;&gt;"",ISNUMBER(SEARCH($A280,'算罪台'!$B$4))),1,0)</f>
        <v/>
      </c>
      <c r="D281" s="34">
        <f>IF(AND($A280&lt;&gt;"",'算罪台'!$B$5&lt;&gt;"",ISNUMBER(SEARCH($A280,'算罪台'!$B$5))),1,0)</f>
        <v/>
      </c>
      <c r="E281" s="34">
        <f>IF(AND($A280&lt;&gt;"",'算罪台'!$B$6&lt;&gt;"",ISNUMBER(SEARCH($A280,'算罪台'!$B$6))),1,0)</f>
        <v/>
      </c>
    </row>
    <row r="282">
      <c r="A282" s="34" t="inlineStr">
        <is>
          <t>私闯</t>
        </is>
      </c>
      <c r="B282" s="34" t="inlineStr">
        <is>
          <t>非法入侵罪</t>
        </is>
      </c>
      <c r="C282" s="34">
        <f>IF(AND($A281&lt;&gt;"",'算罪台'!$B$4&lt;&gt;"",ISNUMBER(SEARCH($A281,'算罪台'!$B$4))),1,0)</f>
        <v/>
      </c>
      <c r="D282" s="34">
        <f>IF(AND($A281&lt;&gt;"",'算罪台'!$B$5&lt;&gt;"",ISNUMBER(SEARCH($A281,'算罪台'!$B$5))),1,0)</f>
        <v/>
      </c>
      <c r="E282" s="34">
        <f>IF(AND($A281&lt;&gt;"",'算罪台'!$B$6&lt;&gt;"",ISNUMBER(SEARCH($A281,'算罪台'!$B$6))),1,0)</f>
        <v/>
      </c>
    </row>
    <row r="283">
      <c r="A283" s="34" t="inlineStr">
        <is>
          <t>擅自闯入</t>
        </is>
      </c>
      <c r="B283" s="34" t="inlineStr">
        <is>
          <t>非法入侵罪</t>
        </is>
      </c>
      <c r="C283" s="34">
        <f>IF(AND($A282&lt;&gt;"",'算罪台'!$B$4&lt;&gt;"",ISNUMBER(SEARCH($A282,'算罪台'!$B$4))),1,0)</f>
        <v/>
      </c>
      <c r="D283" s="34">
        <f>IF(AND($A282&lt;&gt;"",'算罪台'!$B$5&lt;&gt;"",ISNUMBER(SEARCH($A282,'算罪台'!$B$5))),1,0)</f>
        <v/>
      </c>
      <c r="E283" s="34">
        <f>IF(AND($A282&lt;&gt;"",'算罪台'!$B$6&lt;&gt;"",ISNUMBER(SEARCH($A282,'算罪台'!$B$6))),1,0)</f>
        <v/>
      </c>
    </row>
    <row r="284">
      <c r="A284" s="34" t="inlineStr">
        <is>
          <t>赖着不走</t>
        </is>
      </c>
      <c r="B284" s="34" t="inlineStr">
        <is>
          <t>非法入侵罪</t>
        </is>
      </c>
      <c r="C284" s="34">
        <f>IF(AND($A283&lt;&gt;"",'算罪台'!$B$4&lt;&gt;"",ISNUMBER(SEARCH($A283,'算罪台'!$B$4))),1,0)</f>
        <v/>
      </c>
      <c r="D284" s="34">
        <f>IF(AND($A283&lt;&gt;"",'算罪台'!$B$5&lt;&gt;"",ISNUMBER(SEARCH($A283,'算罪台'!$B$5))),1,0)</f>
        <v/>
      </c>
      <c r="E284" s="34">
        <f>IF(AND($A283&lt;&gt;"",'算罪台'!$B$6&lt;&gt;"",ISNUMBER(SEARCH($A283,'算罪台'!$B$6))),1,0)</f>
        <v/>
      </c>
    </row>
    <row r="285">
      <c r="A285" s="34" t="inlineStr">
        <is>
          <t>不肯走</t>
        </is>
      </c>
      <c r="B285" s="34" t="inlineStr">
        <is>
          <t>非法入侵罪</t>
        </is>
      </c>
      <c r="C285" s="34">
        <f>IF(AND($A284&lt;&gt;"",'算罪台'!$B$4&lt;&gt;"",ISNUMBER(SEARCH($A284,'算罪台'!$B$4))),1,0)</f>
        <v/>
      </c>
      <c r="D285" s="34">
        <f>IF(AND($A284&lt;&gt;"",'算罪台'!$B$5&lt;&gt;"",ISNUMBER(SEARCH($A284,'算罪台'!$B$5))),1,0)</f>
        <v/>
      </c>
      <c r="E285" s="34">
        <f>IF(AND($A284&lt;&gt;"",'算罪台'!$B$6&lt;&gt;"",ISNUMBER(SEARCH($A284,'算罪台'!$B$6))),1,0)</f>
        <v/>
      </c>
    </row>
    <row r="286">
      <c r="A286" s="34" t="inlineStr">
        <is>
          <t>闯进别人</t>
        </is>
      </c>
      <c r="B286" s="34" t="inlineStr">
        <is>
          <t>非法入侵罪</t>
        </is>
      </c>
      <c r="C286" s="34">
        <f>IF(AND($A285&lt;&gt;"",'算罪台'!$B$4&lt;&gt;"",ISNUMBER(SEARCH($A285,'算罪台'!$B$4))),1,0)</f>
        <v/>
      </c>
      <c r="D286" s="34">
        <f>IF(AND($A285&lt;&gt;"",'算罪台'!$B$5&lt;&gt;"",ISNUMBER(SEARCH($A285,'算罪台'!$B$5))),1,0)</f>
        <v/>
      </c>
      <c r="E286" s="34">
        <f>IF(AND($A285&lt;&gt;"",'算罪台'!$B$6&lt;&gt;"",ISNUMBER(SEARCH($A285,'算罪台'!$B$6))),1,0)</f>
        <v/>
      </c>
    </row>
    <row r="287">
      <c r="A287" s="34" t="inlineStr">
        <is>
          <t>闯入民宅</t>
        </is>
      </c>
      <c r="B287" s="34" t="inlineStr">
        <is>
          <t>非法入侵罪</t>
        </is>
      </c>
      <c r="C287" s="34">
        <f>IF(AND($A286&lt;&gt;"",'算罪台'!$B$4&lt;&gt;"",ISNUMBER(SEARCH($A286,'算罪台'!$B$4))),1,0)</f>
        <v/>
      </c>
      <c r="D287" s="34">
        <f>IF(AND($A286&lt;&gt;"",'算罪台'!$B$5&lt;&gt;"",ISNUMBER(SEARCH($A286,'算罪台'!$B$5))),1,0)</f>
        <v/>
      </c>
      <c r="E287" s="34">
        <f>IF(AND($A286&lt;&gt;"",'算罪台'!$B$6&lt;&gt;"",ISNUMBER(SEARCH($A286,'算罪台'!$B$6))),1,0)</f>
        <v/>
      </c>
    </row>
    <row r="288">
      <c r="A288" s="34" t="inlineStr">
        <is>
          <t>硬闯</t>
        </is>
      </c>
      <c r="B288" s="34" t="inlineStr">
        <is>
          <t>非法入侵罪</t>
        </is>
      </c>
      <c r="C288" s="34">
        <f>IF(AND($A287&lt;&gt;"",'算罪台'!$B$4&lt;&gt;"",ISNUMBER(SEARCH($A287,'算罪台'!$B$4))),1,0)</f>
        <v/>
      </c>
      <c r="D288" s="34">
        <f>IF(AND($A287&lt;&gt;"",'算罪台'!$B$5&lt;&gt;"",ISNUMBER(SEARCH($A287,'算罪台'!$B$5))),1,0)</f>
        <v/>
      </c>
      <c r="E288" s="34">
        <f>IF(AND($A287&lt;&gt;"",'算罪台'!$B$6&lt;&gt;"",ISNUMBER(SEARCH($A287,'算罪台'!$B$6))),1,0)</f>
        <v/>
      </c>
    </row>
    <row r="289">
      <c r="A289" s="34" t="inlineStr">
        <is>
          <t>闯民宅</t>
        </is>
      </c>
      <c r="B289" s="34" t="inlineStr">
        <is>
          <t>非法入侵罪</t>
        </is>
      </c>
      <c r="C289" s="34">
        <f>IF(AND($A288&lt;&gt;"",'算罪台'!$B$4&lt;&gt;"",ISNUMBER(SEARCH($A288,'算罪台'!$B$4))),1,0)</f>
        <v/>
      </c>
      <c r="D289" s="34">
        <f>IF(AND($A288&lt;&gt;"",'算罪台'!$B$5&lt;&gt;"",ISNUMBER(SEARCH($A288,'算罪台'!$B$5))),1,0)</f>
        <v/>
      </c>
      <c r="E289" s="34">
        <f>IF(AND($A288&lt;&gt;"",'算罪台'!$B$6&lt;&gt;"",ISNUMBER(SEARCH($A288,'算罪台'!$B$6))),1,0)</f>
        <v/>
      </c>
    </row>
    <row r="290">
      <c r="A290" s="34" t="inlineStr">
        <is>
          <t>赖在别人家</t>
        </is>
      </c>
      <c r="B290" s="34" t="inlineStr">
        <is>
          <t>非法入侵罪</t>
        </is>
      </c>
      <c r="C290" s="34">
        <f>IF(AND($A289&lt;&gt;"",'算罪台'!$B$4&lt;&gt;"",ISNUMBER(SEARCH($A289,'算罪台'!$B$4))),1,0)</f>
        <v/>
      </c>
      <c r="D290" s="34">
        <f>IF(AND($A289&lt;&gt;"",'算罪台'!$B$5&lt;&gt;"",ISNUMBER(SEARCH($A289,'算罪台'!$B$5))),1,0)</f>
        <v/>
      </c>
      <c r="E290" s="34">
        <f>IF(AND($A289&lt;&gt;"",'算罪台'!$B$6&lt;&gt;"",ISNUMBER(SEARCH($A289,'算罪台'!$B$6))),1,0)</f>
        <v/>
      </c>
    </row>
    <row r="291">
      <c r="A291" s="34" t="inlineStr">
        <is>
          <t>不请自来</t>
        </is>
      </c>
      <c r="B291" s="34" t="inlineStr">
        <is>
          <t>非法入侵罪</t>
        </is>
      </c>
      <c r="C291" s="34">
        <f>IF(AND($A290&lt;&gt;"",'算罪台'!$B$4&lt;&gt;"",ISNUMBER(SEARCH($A290,'算罪台'!$B$4))),1,0)</f>
        <v/>
      </c>
      <c r="D291" s="34">
        <f>IF(AND($A290&lt;&gt;"",'算罪台'!$B$5&lt;&gt;"",ISNUMBER(SEARCH($A290,'算罪台'!$B$5))),1,0)</f>
        <v/>
      </c>
      <c r="E291" s="34">
        <f>IF(AND($A290&lt;&gt;"",'算罪台'!$B$6&lt;&gt;"",ISNUMBER(SEARCH($A290,'算罪台'!$B$6))),1,0)</f>
        <v/>
      </c>
    </row>
    <row r="292">
      <c r="A292" s="34" t="inlineStr">
        <is>
          <t>翻墙进</t>
        </is>
      </c>
      <c r="B292" s="34" t="inlineStr">
        <is>
          <t>非法入侵罪</t>
        </is>
      </c>
      <c r="C292" s="34">
        <f>IF(AND($A291&lt;&gt;"",'算罪台'!$B$4&lt;&gt;"",ISNUMBER(SEARCH($A291,'算罪台'!$B$4))),1,0)</f>
        <v/>
      </c>
      <c r="D292" s="34">
        <f>IF(AND($A291&lt;&gt;"",'算罪台'!$B$5&lt;&gt;"",ISNUMBER(SEARCH($A291,'算罪台'!$B$5))),1,0)</f>
        <v/>
      </c>
      <c r="E292" s="34">
        <f>IF(AND($A291&lt;&gt;"",'算罪台'!$B$6&lt;&gt;"",ISNUMBER(SEARCH($A291,'算罪台'!$B$6))),1,0)</f>
        <v/>
      </c>
    </row>
    <row r="293">
      <c r="A293" s="34" t="inlineStr">
        <is>
          <t>翻进院子</t>
        </is>
      </c>
      <c r="B293" s="34" t="inlineStr">
        <is>
          <t>非法入侵罪</t>
        </is>
      </c>
      <c r="C293" s="34">
        <f>IF(AND($A292&lt;&gt;"",'算罪台'!$B$4&lt;&gt;"",ISNUMBER(SEARCH($A292,'算罪台'!$B$4))),1,0)</f>
        <v/>
      </c>
      <c r="D293" s="34">
        <f>IF(AND($A292&lt;&gt;"",'算罪台'!$B$5&lt;&gt;"",ISNUMBER(SEARCH($A292,'算罪台'!$B$5))),1,0)</f>
        <v/>
      </c>
      <c r="E293" s="34">
        <f>IF(AND($A292&lt;&gt;"",'算罪台'!$B$6&lt;&gt;"",ISNUMBER(SEARCH($A292,'算罪台'!$B$6))),1,0)</f>
        <v/>
      </c>
    </row>
    <row r="294">
      <c r="A294" s="34" t="inlineStr">
        <is>
          <t>私闯民宅</t>
        </is>
      </c>
      <c r="B294" s="34" t="inlineStr">
        <is>
          <t>非法入侵罪</t>
        </is>
      </c>
      <c r="C294" s="34">
        <f>IF(AND($A293&lt;&gt;"",'算罪台'!$B$4&lt;&gt;"",ISNUMBER(SEARCH($A293,'算罪台'!$B$4))),1,0)</f>
        <v/>
      </c>
      <c r="D294" s="34">
        <f>IF(AND($A293&lt;&gt;"",'算罪台'!$B$5&lt;&gt;"",ISNUMBER(SEARCH($A293,'算罪台'!$B$5))),1,0)</f>
        <v/>
      </c>
      <c r="E294" s="34">
        <f>IF(AND($A293&lt;&gt;"",'算罪台'!$B$6&lt;&gt;"",ISNUMBER(SEARCH($A293,'算罪台'!$B$6))),1,0)</f>
        <v/>
      </c>
    </row>
    <row r="295">
      <c r="A295" s="34" t="inlineStr">
        <is>
          <t>强行进入</t>
        </is>
      </c>
      <c r="B295" s="34" t="inlineStr">
        <is>
          <t>非法入侵罪</t>
        </is>
      </c>
      <c r="C295" s="34">
        <f>IF(AND($A294&lt;&gt;"",'算罪台'!$B$4&lt;&gt;"",ISNUMBER(SEARCH($A294,'算罪台'!$B$4))),1,0)</f>
        <v/>
      </c>
      <c r="D295" s="34">
        <f>IF(AND($A294&lt;&gt;"",'算罪台'!$B$5&lt;&gt;"",ISNUMBER(SEARCH($A294,'算罪台'!$B$5))),1,0)</f>
        <v/>
      </c>
      <c r="E295" s="34">
        <f>IF(AND($A294&lt;&gt;"",'算罪台'!$B$6&lt;&gt;"",ISNUMBER(SEARCH($A294,'算罪台'!$B$6))),1,0)</f>
        <v/>
      </c>
    </row>
    <row r="296">
      <c r="A296" s="34" t="inlineStr">
        <is>
          <t>擅自进入</t>
        </is>
      </c>
      <c r="B296" s="34" t="inlineStr">
        <is>
          <t>非法入侵罪</t>
        </is>
      </c>
      <c r="C296" s="34">
        <f>IF(AND($A295&lt;&gt;"",'算罪台'!$B$4&lt;&gt;"",ISNUMBER(SEARCH($A295,'算罪台'!$B$4))),1,0)</f>
        <v/>
      </c>
      <c r="D296" s="34">
        <f>IF(AND($A295&lt;&gt;"",'算罪台'!$B$5&lt;&gt;"",ISNUMBER(SEARCH($A295,'算罪台'!$B$5))),1,0)</f>
        <v/>
      </c>
      <c r="E296" s="34">
        <f>IF(AND($A295&lt;&gt;"",'算罪台'!$B$6&lt;&gt;"",ISNUMBER(SEARCH($A295,'算罪台'!$B$6))),1,0)</f>
        <v/>
      </c>
    </row>
    <row r="297">
      <c r="A297" s="34" t="inlineStr">
        <is>
          <t>非法进入</t>
        </is>
      </c>
      <c r="B297" s="34" t="inlineStr">
        <is>
          <t>非法入侵罪</t>
        </is>
      </c>
      <c r="C297" s="34">
        <f>IF(AND($A296&lt;&gt;"",'算罪台'!$B$4&lt;&gt;"",ISNUMBER(SEARCH($A296,'算罪台'!$B$4))),1,0)</f>
        <v/>
      </c>
      <c r="D297" s="34">
        <f>IF(AND($A296&lt;&gt;"",'算罪台'!$B$5&lt;&gt;"",ISNUMBER(SEARCH($A296,'算罪台'!$B$5))),1,0)</f>
        <v/>
      </c>
      <c r="E297" s="34">
        <f>IF(AND($A296&lt;&gt;"",'算罪台'!$B$6&lt;&gt;"",ISNUMBER(SEARCH($A296,'算罪台'!$B$6))),1,0)</f>
        <v/>
      </c>
    </row>
    <row r="298">
      <c r="A298" s="34" t="inlineStr">
        <is>
          <t>闯入他人</t>
        </is>
      </c>
      <c r="B298" s="34" t="inlineStr">
        <is>
          <t>非法入侵罪</t>
        </is>
      </c>
      <c r="C298" s="34">
        <f>IF(AND($A297&lt;&gt;"",'算罪台'!$B$4&lt;&gt;"",ISNUMBER(SEARCH($A297,'算罪台'!$B$4))),1,0)</f>
        <v/>
      </c>
      <c r="D298" s="34">
        <f>IF(AND($A297&lt;&gt;"",'算罪台'!$B$5&lt;&gt;"",ISNUMBER(SEARCH($A297,'算罪台'!$B$5))),1,0)</f>
        <v/>
      </c>
      <c r="E298" s="34">
        <f>IF(AND($A297&lt;&gt;"",'算罪台'!$B$6&lt;&gt;"",ISNUMBER(SEARCH($A297,'算罪台'!$B$6))),1,0)</f>
        <v/>
      </c>
    </row>
    <row r="299">
      <c r="A299" s="34" t="inlineStr">
        <is>
          <t>强闯民宅</t>
        </is>
      </c>
      <c r="B299" s="34" t="inlineStr">
        <is>
          <t>非法入侵罪</t>
        </is>
      </c>
      <c r="C299" s="34">
        <f>IF(AND($A298&lt;&gt;"",'算罪台'!$B$4&lt;&gt;"",ISNUMBER(SEARCH($A298,'算罪台'!$B$4))),1,0)</f>
        <v/>
      </c>
      <c r="D299" s="34">
        <f>IF(AND($A298&lt;&gt;"",'算罪台'!$B$5&lt;&gt;"",ISNUMBER(SEARCH($A298,'算罪台'!$B$5))),1,0)</f>
        <v/>
      </c>
      <c r="E299" s="34">
        <f>IF(AND($A298&lt;&gt;"",'算罪台'!$B$6&lt;&gt;"",ISNUMBER(SEARCH($A298,'算罪台'!$B$6))),1,0)</f>
        <v/>
      </c>
    </row>
    <row r="300">
      <c r="A300" s="34" t="inlineStr">
        <is>
          <t>擅闯民宅</t>
        </is>
      </c>
      <c r="B300" s="34" t="inlineStr">
        <is>
          <t>非法入侵罪</t>
        </is>
      </c>
      <c r="C300" s="34">
        <f>IF(AND($A299&lt;&gt;"",'算罪台'!$B$4&lt;&gt;"",ISNUMBER(SEARCH($A299,'算罪台'!$B$4))),1,0)</f>
        <v/>
      </c>
      <c r="D300" s="34">
        <f>IF(AND($A299&lt;&gt;"",'算罪台'!$B$5&lt;&gt;"",ISNUMBER(SEARCH($A299,'算罪台'!$B$5))),1,0)</f>
        <v/>
      </c>
      <c r="E300" s="34">
        <f>IF(AND($A299&lt;&gt;"",'算罪台'!$B$6&lt;&gt;"",ISNUMBER(SEARCH($A299,'算罪台'!$B$6))),1,0)</f>
        <v/>
      </c>
    </row>
    <row r="301">
      <c r="A301" s="34" t="inlineStr">
        <is>
          <t>赖着不离开</t>
        </is>
      </c>
      <c r="B301" s="34" t="inlineStr">
        <is>
          <t>非法入侵罪</t>
        </is>
      </c>
      <c r="C301" s="34">
        <f>IF(AND($A300&lt;&gt;"",'算罪台'!$B$4&lt;&gt;"",ISNUMBER(SEARCH($A300,'算罪台'!$B$4))),1,0)</f>
        <v/>
      </c>
      <c r="D301" s="34">
        <f>IF(AND($A300&lt;&gt;"",'算罪台'!$B$5&lt;&gt;"",ISNUMBER(SEARCH($A300,'算罪台'!$B$5))),1,0)</f>
        <v/>
      </c>
      <c r="E301" s="34">
        <f>IF(AND($A300&lt;&gt;"",'算罪台'!$B$6&lt;&gt;"",ISNUMBER(SEARCH($A300,'算罪台'!$B$6))),1,0)</f>
        <v/>
      </c>
    </row>
    <row r="302">
      <c r="A302" s="34" t="inlineStr">
        <is>
          <t>死活不走</t>
        </is>
      </c>
      <c r="B302" s="34" t="inlineStr">
        <is>
          <t>非法入侵罪</t>
        </is>
      </c>
      <c r="C302" s="34">
        <f>IF(AND($A301&lt;&gt;"",'算罪台'!$B$4&lt;&gt;"",ISNUMBER(SEARCH($A301,'算罪台'!$B$4))),1,0)</f>
        <v/>
      </c>
      <c r="D302" s="34">
        <f>IF(AND($A301&lt;&gt;"",'算罪台'!$B$5&lt;&gt;"",ISNUMBER(SEARCH($A301,'算罪台'!$B$5))),1,0)</f>
        <v/>
      </c>
      <c r="E302" s="34">
        <f>IF(AND($A301&lt;&gt;"",'算罪台'!$B$6&lt;&gt;"",ISNUMBER(SEARCH($A301,'算罪台'!$B$6))),1,0)</f>
        <v/>
      </c>
    </row>
    <row r="303">
      <c r="A303" s="34" t="inlineStr">
        <is>
          <t>强行闯入</t>
        </is>
      </c>
      <c r="B303" s="34" t="inlineStr">
        <is>
          <t>非法入侵罪</t>
        </is>
      </c>
      <c r="C303" s="34">
        <f>IF(AND($A302&lt;&gt;"",'算罪台'!$B$4&lt;&gt;"",ISNUMBER(SEARCH($A302,'算罪台'!$B$4))),1,0)</f>
        <v/>
      </c>
      <c r="D303" s="34">
        <f>IF(AND($A302&lt;&gt;"",'算罪台'!$B$5&lt;&gt;"",ISNUMBER(SEARCH($A302,'算罪台'!$B$5))),1,0)</f>
        <v/>
      </c>
      <c r="E303" s="34">
        <f>IF(AND($A302&lt;&gt;"",'算罪台'!$B$6&lt;&gt;"",ISNUMBER(SEARCH($A302,'算罪台'!$B$6))),1,0)</f>
        <v/>
      </c>
    </row>
    <row r="304">
      <c r="A304" s="34" t="inlineStr">
        <is>
          <t>非法入侵禁区</t>
        </is>
      </c>
      <c r="B304" s="34" t="inlineStr">
        <is>
          <t>非法入侵禁区罪</t>
        </is>
      </c>
      <c r="C304" s="34">
        <f>IF(AND($A303&lt;&gt;"",'算罪台'!$B$4&lt;&gt;"",ISNUMBER(SEARCH($A303,'算罪台'!$B$4))),1,0)</f>
        <v/>
      </c>
      <c r="D304" s="34">
        <f>IF(AND($A303&lt;&gt;"",'算罪台'!$B$5&lt;&gt;"",ISNUMBER(SEARCH($A303,'算罪台'!$B$5))),1,0)</f>
        <v/>
      </c>
      <c r="E304" s="34">
        <f>IF(AND($A303&lt;&gt;"",'算罪台'!$B$6&lt;&gt;"",ISNUMBER(SEARCH($A303,'算罪台'!$B$6))),1,0)</f>
        <v/>
      </c>
    </row>
    <row r="305">
      <c r="A305" s="34" t="inlineStr">
        <is>
          <t>闯入禁区</t>
        </is>
      </c>
      <c r="B305" s="34" t="inlineStr">
        <is>
          <t>非法入侵禁区罪</t>
        </is>
      </c>
      <c r="C305" s="34">
        <f>IF(AND($A304&lt;&gt;"",'算罪台'!$B$4&lt;&gt;"",ISNUMBER(SEARCH($A304,'算罪台'!$B$4))),1,0)</f>
        <v/>
      </c>
      <c r="D305" s="34">
        <f>IF(AND($A304&lt;&gt;"",'算罪台'!$B$5&lt;&gt;"",ISNUMBER(SEARCH($A304,'算罪台'!$B$5))),1,0)</f>
        <v/>
      </c>
      <c r="E305" s="34">
        <f>IF(AND($A304&lt;&gt;"",'算罪台'!$B$6&lt;&gt;"",ISNUMBER(SEARCH($A304,'算罪台'!$B$6))),1,0)</f>
        <v/>
      </c>
    </row>
    <row r="306">
      <c r="A306" s="34" t="inlineStr">
        <is>
          <t>擅闯警局</t>
        </is>
      </c>
      <c r="B306" s="34" t="inlineStr">
        <is>
          <t>非法入侵禁区罪</t>
        </is>
      </c>
      <c r="C306" s="34">
        <f>IF(AND($A305&lt;&gt;"",'算罪台'!$B$4&lt;&gt;"",ISNUMBER(SEARCH($A305,'算罪台'!$B$4))),1,0)</f>
        <v/>
      </c>
      <c r="D306" s="34">
        <f>IF(AND($A305&lt;&gt;"",'算罪台'!$B$5&lt;&gt;"",ISNUMBER(SEARCH($A305,'算罪台'!$B$5))),1,0)</f>
        <v/>
      </c>
      <c r="E306" s="34">
        <f>IF(AND($A305&lt;&gt;"",'算罪台'!$B$6&lt;&gt;"",ISNUMBER(SEARCH($A305,'算罪台'!$B$6))),1,0)</f>
        <v/>
      </c>
    </row>
    <row r="307">
      <c r="A307" s="34" t="inlineStr">
        <is>
          <t>擅闯机场</t>
        </is>
      </c>
      <c r="B307" s="34" t="inlineStr">
        <is>
          <t>非法入侵禁区罪</t>
        </is>
      </c>
      <c r="C307" s="34">
        <f>IF(AND($A306&lt;&gt;"",'算罪台'!$B$4&lt;&gt;"",ISNUMBER(SEARCH($A306,'算罪台'!$B$4))),1,0)</f>
        <v/>
      </c>
      <c r="D307" s="34">
        <f>IF(AND($A306&lt;&gt;"",'算罪台'!$B$5&lt;&gt;"",ISNUMBER(SEARCH($A306,'算罪台'!$B$5))),1,0)</f>
        <v/>
      </c>
      <c r="E307" s="34">
        <f>IF(AND($A306&lt;&gt;"",'算罪台'!$B$6&lt;&gt;"",ISNUMBER(SEARCH($A306,'算罪台'!$B$6))),1,0)</f>
        <v/>
      </c>
    </row>
    <row r="308">
      <c r="A308" s="34" t="inlineStr">
        <is>
          <t>擅闯军事基地</t>
        </is>
      </c>
      <c r="B308" s="34" t="inlineStr">
        <is>
          <t>非法入侵禁区罪</t>
        </is>
      </c>
      <c r="C308" s="34">
        <f>IF(AND($A307&lt;&gt;"",'算罪台'!$B$4&lt;&gt;"",ISNUMBER(SEARCH($A307,'算罪台'!$B$4))),1,0)</f>
        <v/>
      </c>
      <c r="D308" s="34">
        <f>IF(AND($A307&lt;&gt;"",'算罪台'!$B$5&lt;&gt;"",ISNUMBER(SEARCH($A307,'算罪台'!$B$5))),1,0)</f>
        <v/>
      </c>
      <c r="E308" s="34">
        <f>IF(AND($A307&lt;&gt;"",'算罪台'!$B$6&lt;&gt;"",ISNUMBER(SEARCH($A307,'算罪台'!$B$6))),1,0)</f>
        <v/>
      </c>
    </row>
    <row r="309">
      <c r="A309" s="34" t="inlineStr">
        <is>
          <t>限制区域</t>
        </is>
      </c>
      <c r="B309" s="34" t="inlineStr">
        <is>
          <t>非法入侵禁区罪</t>
        </is>
      </c>
      <c r="C309" s="34">
        <f>IF(AND($A308&lt;&gt;"",'算罪台'!$B$4&lt;&gt;"",ISNUMBER(SEARCH($A308,'算罪台'!$B$4))),1,0)</f>
        <v/>
      </c>
      <c r="D309" s="34">
        <f>IF(AND($A308&lt;&gt;"",'算罪台'!$B$5&lt;&gt;"",ISNUMBER(SEARCH($A308,'算罪台'!$B$5))),1,0)</f>
        <v/>
      </c>
      <c r="E309" s="34">
        <f>IF(AND($A308&lt;&gt;"",'算罪台'!$B$6&lt;&gt;"",ISNUMBER(SEARCH($A308,'算罪台'!$B$6))),1,0)</f>
        <v/>
      </c>
    </row>
    <row r="310">
      <c r="A310" s="34" t="inlineStr">
        <is>
          <t>闯入监狱</t>
        </is>
      </c>
      <c r="B310" s="34" t="inlineStr">
        <is>
          <t>非法入侵禁区罪</t>
        </is>
      </c>
      <c r="C310" s="34">
        <f>IF(AND($A309&lt;&gt;"",'算罪台'!$B$4&lt;&gt;"",ISNUMBER(SEARCH($A309,'算罪台'!$B$4))),1,0)</f>
        <v/>
      </c>
      <c r="D310" s="34">
        <f>IF(AND($A309&lt;&gt;"",'算罪台'!$B$5&lt;&gt;"",ISNUMBER(SEARCH($A309,'算罪台'!$B$5))),1,0)</f>
        <v/>
      </c>
      <c r="E310" s="34">
        <f>IF(AND($A309&lt;&gt;"",'算罪台'!$B$6&lt;&gt;"",ISNUMBER(SEARCH($A309,'算罪台'!$B$6))),1,0)</f>
        <v/>
      </c>
    </row>
    <row r="311">
      <c r="A311" s="34" t="inlineStr">
        <is>
          <t>翻进警局</t>
        </is>
      </c>
      <c r="B311" s="34" t="inlineStr">
        <is>
          <t>非法入侵禁区罪</t>
        </is>
      </c>
      <c r="C311" s="34">
        <f>IF(AND($A310&lt;&gt;"",'算罪台'!$B$4&lt;&gt;"",ISNUMBER(SEARCH($A310,'算罪台'!$B$4))),1,0)</f>
        <v/>
      </c>
      <c r="D311" s="34">
        <f>IF(AND($A310&lt;&gt;"",'算罪台'!$B$5&lt;&gt;"",ISNUMBER(SEARCH($A310,'算罪台'!$B$5))),1,0)</f>
        <v/>
      </c>
      <c r="E311" s="34">
        <f>IF(AND($A310&lt;&gt;"",'算罪台'!$B$6&lt;&gt;"",ISNUMBER(SEARCH($A310,'算罪台'!$B$6))),1,0)</f>
        <v/>
      </c>
    </row>
    <row r="312">
      <c r="A312" s="34" t="inlineStr">
        <is>
          <t>闯警局</t>
        </is>
      </c>
      <c r="B312" s="34" t="inlineStr">
        <is>
          <t>非法入侵禁区罪</t>
        </is>
      </c>
      <c r="C312" s="34">
        <f>IF(AND($A311&lt;&gt;"",'算罪台'!$B$4&lt;&gt;"",ISNUMBER(SEARCH($A311,'算罪台'!$B$4))),1,0)</f>
        <v/>
      </c>
      <c r="D312" s="34">
        <f>IF(AND($A311&lt;&gt;"",'算罪台'!$B$5&lt;&gt;"",ISNUMBER(SEARCH($A311,'算罪台'!$B$5))),1,0)</f>
        <v/>
      </c>
      <c r="E312" s="34">
        <f>IF(AND($A311&lt;&gt;"",'算罪台'!$B$6&lt;&gt;"",ISNUMBER(SEARCH($A311,'算罪台'!$B$6))),1,0)</f>
        <v/>
      </c>
    </row>
    <row r="313">
      <c r="A313" s="34" t="inlineStr">
        <is>
          <t>闯军事区</t>
        </is>
      </c>
      <c r="B313" s="34" t="inlineStr">
        <is>
          <t>非法入侵禁区罪</t>
        </is>
      </c>
      <c r="C313" s="34">
        <f>IF(AND($A312&lt;&gt;"",'算罪台'!$B$4&lt;&gt;"",ISNUMBER(SEARCH($A312,'算罪台'!$B$4))),1,0)</f>
        <v/>
      </c>
      <c r="D313" s="34">
        <f>IF(AND($A312&lt;&gt;"",'算罪台'!$B$5&lt;&gt;"",ISNUMBER(SEARCH($A312,'算罪台'!$B$5))),1,0)</f>
        <v/>
      </c>
      <c r="E313" s="34">
        <f>IF(AND($A312&lt;&gt;"",'算罪台'!$B$6&lt;&gt;"",ISNUMBER(SEARCH($A312,'算罪台'!$B$6))),1,0)</f>
        <v/>
      </c>
    </row>
    <row r="314">
      <c r="A314" s="34" t="inlineStr">
        <is>
          <t>溜进警局</t>
        </is>
      </c>
      <c r="B314" s="34" t="inlineStr">
        <is>
          <t>非法入侵禁区罪</t>
        </is>
      </c>
      <c r="C314" s="34">
        <f>IF(AND($A313&lt;&gt;"",'算罪台'!$B$4&lt;&gt;"",ISNUMBER(SEARCH($A313,'算罪台'!$B$4))),1,0)</f>
        <v/>
      </c>
      <c r="D314" s="34">
        <f>IF(AND($A313&lt;&gt;"",'算罪台'!$B$5&lt;&gt;"",ISNUMBER(SEARCH($A313,'算罪台'!$B$5))),1,0)</f>
        <v/>
      </c>
      <c r="E314" s="34">
        <f>IF(AND($A313&lt;&gt;"",'算罪台'!$B$6&lt;&gt;"",ISNUMBER(SEARCH($A313,'算罪台'!$B$6))),1,0)</f>
        <v/>
      </c>
    </row>
    <row r="315">
      <c r="A315" s="34" t="inlineStr">
        <is>
          <t>潜入基地</t>
        </is>
      </c>
      <c r="B315" s="34" t="inlineStr">
        <is>
          <t>非法入侵禁区罪</t>
        </is>
      </c>
      <c r="C315" s="34">
        <f>IF(AND($A314&lt;&gt;"",'算罪台'!$B$4&lt;&gt;"",ISNUMBER(SEARCH($A314,'算罪台'!$B$4))),1,0)</f>
        <v/>
      </c>
      <c r="D315" s="34">
        <f>IF(AND($A314&lt;&gt;"",'算罪台'!$B$5&lt;&gt;"",ISNUMBER(SEARCH($A314,'算罪台'!$B$5))),1,0)</f>
        <v/>
      </c>
      <c r="E315" s="34">
        <f>IF(AND($A314&lt;&gt;"",'算罪台'!$B$6&lt;&gt;"",ISNUMBER(SEARCH($A314,'算罪台'!$B$6))),1,0)</f>
        <v/>
      </c>
    </row>
    <row r="316">
      <c r="A316" s="34" t="inlineStr">
        <is>
          <t>翻进机场</t>
        </is>
      </c>
      <c r="B316" s="34" t="inlineStr">
        <is>
          <t>非法入侵禁区罪</t>
        </is>
      </c>
      <c r="C316" s="34">
        <f>IF(AND($A315&lt;&gt;"",'算罪台'!$B$4&lt;&gt;"",ISNUMBER(SEARCH($A315,'算罪台'!$B$4))),1,0)</f>
        <v/>
      </c>
      <c r="D316" s="34">
        <f>IF(AND($A315&lt;&gt;"",'算罪台'!$B$5&lt;&gt;"",ISNUMBER(SEARCH($A315,'算罪台'!$B$5))),1,0)</f>
        <v/>
      </c>
      <c r="E316" s="34">
        <f>IF(AND($A315&lt;&gt;"",'算罪台'!$B$6&lt;&gt;"",ISNUMBER(SEARCH($A315,'算罪台'!$B$6))),1,0)</f>
        <v/>
      </c>
    </row>
    <row r="317">
      <c r="A317" s="34" t="inlineStr">
        <is>
          <t>闯禁地</t>
        </is>
      </c>
      <c r="B317" s="34" t="inlineStr">
        <is>
          <t>非法入侵禁区罪</t>
        </is>
      </c>
      <c r="C317" s="34">
        <f>IF(AND($A316&lt;&gt;"",'算罪台'!$B$4&lt;&gt;"",ISNUMBER(SEARCH($A316,'算罪台'!$B$4))),1,0)</f>
        <v/>
      </c>
      <c r="D317" s="34">
        <f>IF(AND($A316&lt;&gt;"",'算罪台'!$B$5&lt;&gt;"",ISNUMBER(SEARCH($A316,'算罪台'!$B$5))),1,0)</f>
        <v/>
      </c>
      <c r="E317" s="34">
        <f>IF(AND($A316&lt;&gt;"",'算罪台'!$B$6&lt;&gt;"",ISNUMBER(SEARCH($A316,'算罪台'!$B$6))),1,0)</f>
        <v/>
      </c>
    </row>
    <row r="318">
      <c r="A318" s="34" t="inlineStr">
        <is>
          <t>私闯警局</t>
        </is>
      </c>
      <c r="B318" s="34" t="inlineStr">
        <is>
          <t>非法入侵禁区罪</t>
        </is>
      </c>
      <c r="C318" s="34">
        <f>IF(AND($A317&lt;&gt;"",'算罪台'!$B$4&lt;&gt;"",ISNUMBER(SEARCH($A317,'算罪台'!$B$4))),1,0)</f>
        <v/>
      </c>
      <c r="D318" s="34">
        <f>IF(AND($A317&lt;&gt;"",'算罪台'!$B$5&lt;&gt;"",ISNUMBER(SEARCH($A317,'算罪台'!$B$5))),1,0)</f>
        <v/>
      </c>
      <c r="E318" s="34">
        <f>IF(AND($A317&lt;&gt;"",'算罪台'!$B$6&lt;&gt;"",ISNUMBER(SEARCH($A317,'算罪台'!$B$6))),1,0)</f>
        <v/>
      </c>
    </row>
    <row r="319">
      <c r="A319" s="34" t="inlineStr">
        <is>
          <t>擅入禁区</t>
        </is>
      </c>
      <c r="B319" s="34" t="inlineStr">
        <is>
          <t>非法入侵禁区罪</t>
        </is>
      </c>
      <c r="C319" s="34">
        <f>IF(AND($A318&lt;&gt;"",'算罪台'!$B$4&lt;&gt;"",ISNUMBER(SEARCH($A318,'算罪台'!$B$4))),1,0)</f>
        <v/>
      </c>
      <c r="D319" s="34">
        <f>IF(AND($A318&lt;&gt;"",'算罪台'!$B$5&lt;&gt;"",ISNUMBER(SEARCH($A318,'算罪台'!$B$5))),1,0)</f>
        <v/>
      </c>
      <c r="E319" s="34">
        <f>IF(AND($A318&lt;&gt;"",'算罪台'!$B$6&lt;&gt;"",ISNUMBER(SEARCH($A318,'算罪台'!$B$6))),1,0)</f>
        <v/>
      </c>
    </row>
    <row r="320">
      <c r="A320" s="34" t="inlineStr">
        <is>
          <t>非法进入警局</t>
        </is>
      </c>
      <c r="B320" s="34" t="inlineStr">
        <is>
          <t>非法入侵禁区罪</t>
        </is>
      </c>
      <c r="C320" s="34">
        <f>IF(AND($A319&lt;&gt;"",'算罪台'!$B$4&lt;&gt;"",ISNUMBER(SEARCH($A319,'算罪台'!$B$4))),1,0)</f>
        <v/>
      </c>
      <c r="D320" s="34">
        <f>IF(AND($A319&lt;&gt;"",'算罪台'!$B$5&lt;&gt;"",ISNUMBER(SEARCH($A319,'算罪台'!$B$5))),1,0)</f>
        <v/>
      </c>
      <c r="E320" s="34">
        <f>IF(AND($A319&lt;&gt;"",'算罪台'!$B$6&lt;&gt;"",ISNUMBER(SEARCH($A319,'算罪台'!$B$6))),1,0)</f>
        <v/>
      </c>
    </row>
    <row r="321">
      <c r="A321" s="34" t="inlineStr">
        <is>
          <t>潜入禁区</t>
        </is>
      </c>
      <c r="B321" s="34" t="inlineStr">
        <is>
          <t>非法入侵禁区罪</t>
        </is>
      </c>
      <c r="C321" s="34">
        <f>IF(AND($A320&lt;&gt;"",'算罪台'!$B$4&lt;&gt;"",ISNUMBER(SEARCH($A320,'算罪台'!$B$4))),1,0)</f>
        <v/>
      </c>
      <c r="D321" s="34">
        <f>IF(AND($A320&lt;&gt;"",'算罪台'!$B$5&lt;&gt;"",ISNUMBER(SEARCH($A320,'算罪台'!$B$5))),1,0)</f>
        <v/>
      </c>
      <c r="E321" s="34">
        <f>IF(AND($A320&lt;&gt;"",'算罪台'!$B$6&lt;&gt;"",ISNUMBER(SEARCH($A320,'算罪台'!$B$6))),1,0)</f>
        <v/>
      </c>
    </row>
    <row r="322">
      <c r="A322" s="34" t="inlineStr">
        <is>
          <t>翻越进入</t>
        </is>
      </c>
      <c r="B322" s="34" t="inlineStr">
        <is>
          <t>非法入侵禁区罪</t>
        </is>
      </c>
      <c r="C322" s="34">
        <f>IF(AND($A321&lt;&gt;"",'算罪台'!$B$4&lt;&gt;"",ISNUMBER(SEARCH($A321,'算罪台'!$B$4))),1,0)</f>
        <v/>
      </c>
      <c r="D322" s="34">
        <f>IF(AND($A321&lt;&gt;"",'算罪台'!$B$5&lt;&gt;"",ISNUMBER(SEARCH($A321,'算罪台'!$B$5))),1,0)</f>
        <v/>
      </c>
      <c r="E322" s="34">
        <f>IF(AND($A321&lt;&gt;"",'算罪台'!$B$6&lt;&gt;"",ISNUMBER(SEARCH($A321,'算罪台'!$B$6))),1,0)</f>
        <v/>
      </c>
    </row>
    <row r="323">
      <c r="A323" s="34" t="inlineStr">
        <is>
          <t>闯军营</t>
        </is>
      </c>
      <c r="B323" s="34" t="inlineStr">
        <is>
          <t>非法入侵禁区罪</t>
        </is>
      </c>
      <c r="C323" s="34">
        <f>IF(AND($A322&lt;&gt;"",'算罪台'!$B$4&lt;&gt;"",ISNUMBER(SEARCH($A322,'算罪台'!$B$4))),1,0)</f>
        <v/>
      </c>
      <c r="D323" s="34">
        <f>IF(AND($A322&lt;&gt;"",'算罪台'!$B$5&lt;&gt;"",ISNUMBER(SEARCH($A322,'算罪台'!$B$5))),1,0)</f>
        <v/>
      </c>
      <c r="E323" s="34">
        <f>IF(AND($A322&lt;&gt;"",'算罪台'!$B$6&lt;&gt;"",ISNUMBER(SEARCH($A322,'算罪台'!$B$6))),1,0)</f>
        <v/>
      </c>
    </row>
    <row r="324">
      <c r="A324" s="34" t="inlineStr">
        <is>
          <t>强闯禁区</t>
        </is>
      </c>
      <c r="B324" s="34" t="inlineStr">
        <is>
          <t>非法入侵禁区罪</t>
        </is>
      </c>
      <c r="C324" s="34">
        <f>IF(AND($A323&lt;&gt;"",'算罪台'!$B$4&lt;&gt;"",ISNUMBER(SEARCH($A323,'算罪台'!$B$4))),1,0)</f>
        <v/>
      </c>
      <c r="D324" s="34">
        <f>IF(AND($A323&lt;&gt;"",'算罪台'!$B$5&lt;&gt;"",ISNUMBER(SEARCH($A323,'算罪台'!$B$5))),1,0)</f>
        <v/>
      </c>
      <c r="E324" s="34">
        <f>IF(AND($A323&lt;&gt;"",'算罪台'!$B$6&lt;&gt;"",ISNUMBER(SEARCH($A323,'算罪台'!$B$6))),1,0)</f>
        <v/>
      </c>
    </row>
    <row r="325">
      <c r="A325" s="34" t="inlineStr">
        <is>
          <t>入室盗窃</t>
        </is>
      </c>
      <c r="B325" s="34" t="inlineStr">
        <is>
          <t>入室盗窃罪</t>
        </is>
      </c>
      <c r="C325" s="34">
        <f>IF(AND($A324&lt;&gt;"",'算罪台'!$B$4&lt;&gt;"",ISNUMBER(SEARCH($A324,'算罪台'!$B$4))),1,0)</f>
        <v/>
      </c>
      <c r="D325" s="34">
        <f>IF(AND($A324&lt;&gt;"",'算罪台'!$B$5&lt;&gt;"",ISNUMBER(SEARCH($A324,'算罪台'!$B$5))),1,0)</f>
        <v/>
      </c>
      <c r="E325" s="34">
        <f>IF(AND($A324&lt;&gt;"",'算罪台'!$B$6&lt;&gt;"",ISNUMBER(SEARCH($A324,'算罪台'!$B$6))),1,0)</f>
        <v/>
      </c>
    </row>
    <row r="326">
      <c r="A326" s="34" t="inlineStr">
        <is>
          <t>入室</t>
        </is>
      </c>
      <c r="B326" s="34" t="inlineStr">
        <is>
          <t>入室盗窃罪</t>
        </is>
      </c>
      <c r="C326" s="34">
        <f>IF(AND($A325&lt;&gt;"",'算罪台'!$B$4&lt;&gt;"",ISNUMBER(SEARCH($A325,'算罪台'!$B$4))),1,0)</f>
        <v/>
      </c>
      <c r="D326" s="34">
        <f>IF(AND($A325&lt;&gt;"",'算罪台'!$B$5&lt;&gt;"",ISNUMBER(SEARCH($A325,'算罪台'!$B$5))),1,0)</f>
        <v/>
      </c>
      <c r="E326" s="34">
        <f>IF(AND($A325&lt;&gt;"",'算罪台'!$B$6&lt;&gt;"",ISNUMBER(SEARCH($A325,'算罪台'!$B$6))),1,0)</f>
        <v/>
      </c>
    </row>
    <row r="327">
      <c r="A327" s="34" t="inlineStr">
        <is>
          <t>撬门盗窃</t>
        </is>
      </c>
      <c r="B327" s="34" t="inlineStr">
        <is>
          <t>入室盗窃罪</t>
        </is>
      </c>
      <c r="C327" s="34">
        <f>IF(AND($A326&lt;&gt;"",'算罪台'!$B$4&lt;&gt;"",ISNUMBER(SEARCH($A326,'算罪台'!$B$4))),1,0)</f>
        <v/>
      </c>
      <c r="D327" s="34">
        <f>IF(AND($A326&lt;&gt;"",'算罪台'!$B$5&lt;&gt;"",ISNUMBER(SEARCH($A326,'算罪台'!$B$5))),1,0)</f>
        <v/>
      </c>
      <c r="E327" s="34">
        <f>IF(AND($A326&lt;&gt;"",'算罪台'!$B$6&lt;&gt;"",ISNUMBER(SEARCH($A326,'算罪台'!$B$6))),1,0)</f>
        <v/>
      </c>
    </row>
    <row r="328">
      <c r="A328" s="34" t="inlineStr">
        <is>
          <t>闯入盗窃</t>
        </is>
      </c>
      <c r="B328" s="34" t="inlineStr">
        <is>
          <t>入室盗窃罪</t>
        </is>
      </c>
      <c r="C328" s="34">
        <f>IF(AND($A327&lt;&gt;"",'算罪台'!$B$4&lt;&gt;"",ISNUMBER(SEARCH($A327,'算罪台'!$B$4))),1,0)</f>
        <v/>
      </c>
      <c r="D328" s="34">
        <f>IF(AND($A327&lt;&gt;"",'算罪台'!$B$5&lt;&gt;"",ISNUMBER(SEARCH($A327,'算罪台'!$B$5))),1,0)</f>
        <v/>
      </c>
      <c r="E328" s="34">
        <f>IF(AND($A327&lt;&gt;"",'算罪台'!$B$6&lt;&gt;"",ISNUMBER(SEARCH($A327,'算罪台'!$B$6))),1,0)</f>
        <v/>
      </c>
    </row>
    <row r="329">
      <c r="A329" s="34" t="inlineStr">
        <is>
          <t>破门盗窃</t>
        </is>
      </c>
      <c r="B329" s="34" t="inlineStr">
        <is>
          <t>入室盗窃罪</t>
        </is>
      </c>
      <c r="C329" s="34">
        <f>IF(AND($A328&lt;&gt;"",'算罪台'!$B$4&lt;&gt;"",ISNUMBER(SEARCH($A328,'算罪台'!$B$4))),1,0)</f>
        <v/>
      </c>
      <c r="D329" s="34">
        <f>IF(AND($A328&lt;&gt;"",'算罪台'!$B$5&lt;&gt;"",ISNUMBER(SEARCH($A328,'算罪台'!$B$5))),1,0)</f>
        <v/>
      </c>
      <c r="E329" s="34">
        <f>IF(AND($A328&lt;&gt;"",'算罪台'!$B$6&lt;&gt;"",ISNUMBER(SEARCH($A328,'算罪台'!$B$6))),1,0)</f>
        <v/>
      </c>
    </row>
    <row r="330">
      <c r="A330" s="34" t="inlineStr">
        <is>
          <t>翻窗偷</t>
        </is>
      </c>
      <c r="B330" s="34" t="inlineStr">
        <is>
          <t>入室盗窃罪</t>
        </is>
      </c>
      <c r="C330" s="34">
        <f>IF(AND($A329&lt;&gt;"",'算罪台'!$B$4&lt;&gt;"",ISNUMBER(SEARCH($A329,'算罪台'!$B$4))),1,0)</f>
        <v/>
      </c>
      <c r="D330" s="34">
        <f>IF(AND($A329&lt;&gt;"",'算罪台'!$B$5&lt;&gt;"",ISNUMBER(SEARCH($A329,'算罪台'!$B$5))),1,0)</f>
        <v/>
      </c>
      <c r="E330" s="34">
        <f>IF(AND($A329&lt;&gt;"",'算罪台'!$B$6&lt;&gt;"",ISNUMBER(SEARCH($A329,'算罪台'!$B$6))),1,0)</f>
        <v/>
      </c>
    </row>
    <row r="331">
      <c r="A331" s="34" t="inlineStr">
        <is>
          <t>撬锁进</t>
        </is>
      </c>
      <c r="B331" s="34" t="inlineStr">
        <is>
          <t>入室盗窃罪</t>
        </is>
      </c>
      <c r="C331" s="34">
        <f>IF(AND($A330&lt;&gt;"",'算罪台'!$B$4&lt;&gt;"",ISNUMBER(SEARCH($A330,'算罪台'!$B$4))),1,0)</f>
        <v/>
      </c>
      <c r="D331" s="34">
        <f>IF(AND($A330&lt;&gt;"",'算罪台'!$B$5&lt;&gt;"",ISNUMBER(SEARCH($A330,'算罪台'!$B$5))),1,0)</f>
        <v/>
      </c>
      <c r="E331" s="34">
        <f>IF(AND($A330&lt;&gt;"",'算罪台'!$B$6&lt;&gt;"",ISNUMBER(SEARCH($A330,'算罪台'!$B$6))),1,0)</f>
        <v/>
      </c>
    </row>
    <row r="332">
      <c r="A332" s="34" t="inlineStr">
        <is>
          <t>入室行窃</t>
        </is>
      </c>
      <c r="B332" s="34" t="inlineStr">
        <is>
          <t>入室盗窃罪</t>
        </is>
      </c>
      <c r="C332" s="34">
        <f>IF(AND($A331&lt;&gt;"",'算罪台'!$B$4&lt;&gt;"",ISNUMBER(SEARCH($A331,'算罪台'!$B$4))),1,0)</f>
        <v/>
      </c>
      <c r="D332" s="34">
        <f>IF(AND($A331&lt;&gt;"",'算罪台'!$B$5&lt;&gt;"",ISNUMBER(SEARCH($A331,'算罪台'!$B$5))),1,0)</f>
        <v/>
      </c>
      <c r="E332" s="34">
        <f>IF(AND($A331&lt;&gt;"",'算罪台'!$B$6&lt;&gt;"",ISNUMBER(SEARCH($A331,'算罪台'!$B$6))),1,0)</f>
        <v/>
      </c>
    </row>
    <row r="333">
      <c r="A333" s="34" t="inlineStr">
        <is>
          <t>翻窗入室</t>
        </is>
      </c>
      <c r="B333" s="34" t="inlineStr">
        <is>
          <t>入室盗窃罪</t>
        </is>
      </c>
      <c r="C333" s="34">
        <f>IF(AND($A332&lt;&gt;"",'算罪台'!$B$4&lt;&gt;"",ISNUMBER(SEARCH($A332,'算罪台'!$B$4))),1,0)</f>
        <v/>
      </c>
      <c r="D333" s="34">
        <f>IF(AND($A332&lt;&gt;"",'算罪台'!$B$5&lt;&gt;"",ISNUMBER(SEARCH($A332,'算罪台'!$B$5))),1,0)</f>
        <v/>
      </c>
      <c r="E333" s="34">
        <f>IF(AND($A332&lt;&gt;"",'算罪台'!$B$6&lt;&gt;"",ISNUMBER(SEARCH($A332,'算罪台'!$B$6))),1,0)</f>
        <v/>
      </c>
    </row>
    <row r="334">
      <c r="A334" s="34" t="inlineStr">
        <is>
          <t>撬门偷</t>
        </is>
      </c>
      <c r="B334" s="34" t="inlineStr">
        <is>
          <t>入室盗窃罪</t>
        </is>
      </c>
      <c r="C334" s="34">
        <f>IF(AND($A333&lt;&gt;"",'算罪台'!$B$4&lt;&gt;"",ISNUMBER(SEARCH($A333,'算罪台'!$B$4))),1,0)</f>
        <v/>
      </c>
      <c r="D334" s="34">
        <f>IF(AND($A333&lt;&gt;"",'算罪台'!$B$5&lt;&gt;"",ISNUMBER(SEARCH($A333,'算罪台'!$B$5))),1,0)</f>
        <v/>
      </c>
      <c r="E334" s="34">
        <f>IF(AND($A333&lt;&gt;"",'算罪台'!$B$6&lt;&gt;"",ISNUMBER(SEARCH($A333,'算罪台'!$B$6))),1,0)</f>
        <v/>
      </c>
    </row>
    <row r="335">
      <c r="A335" s="34" t="inlineStr">
        <is>
          <t>入屋行窃</t>
        </is>
      </c>
      <c r="B335" s="34" t="inlineStr">
        <is>
          <t>入室盗窃罪</t>
        </is>
      </c>
      <c r="C335" s="34">
        <f>IF(AND($A334&lt;&gt;"",'算罪台'!$B$4&lt;&gt;"",ISNUMBER(SEARCH($A334,'算罪台'!$B$4))),1,0)</f>
        <v/>
      </c>
      <c r="D335" s="34">
        <f>IF(AND($A334&lt;&gt;"",'算罪台'!$B$5&lt;&gt;"",ISNUMBER(SEARCH($A334,'算罪台'!$B$5))),1,0)</f>
        <v/>
      </c>
      <c r="E335" s="34">
        <f>IF(AND($A334&lt;&gt;"",'算罪台'!$B$6&lt;&gt;"",ISNUMBER(SEARCH($A334,'算罪台'!$B$6))),1,0)</f>
        <v/>
      </c>
    </row>
    <row r="336">
      <c r="A336" s="34" t="inlineStr">
        <is>
          <t>夜盗</t>
        </is>
      </c>
      <c r="B336" s="34" t="inlineStr">
        <is>
          <t>入室盗窃罪</t>
        </is>
      </c>
      <c r="C336" s="34">
        <f>IF(AND($A335&lt;&gt;"",'算罪台'!$B$4&lt;&gt;"",ISNUMBER(SEARCH($A335,'算罪台'!$B$4))),1,0)</f>
        <v/>
      </c>
      <c r="D336" s="34">
        <f>IF(AND($A335&lt;&gt;"",'算罪台'!$B$5&lt;&gt;"",ISNUMBER(SEARCH($A335,'算罪台'!$B$5))),1,0)</f>
        <v/>
      </c>
      <c r="E336" s="34">
        <f>IF(AND($A335&lt;&gt;"",'算罪台'!$B$6&lt;&gt;"",ISNUMBER(SEARCH($A335,'算罪台'!$B$6))),1,0)</f>
        <v/>
      </c>
    </row>
    <row r="337">
      <c r="A337" s="34" t="inlineStr">
        <is>
          <t>爬窗偷</t>
        </is>
      </c>
      <c r="B337" s="34" t="inlineStr">
        <is>
          <t>入室盗窃罪</t>
        </is>
      </c>
      <c r="C337" s="34">
        <f>IF(AND($A336&lt;&gt;"",'算罪台'!$B$4&lt;&gt;"",ISNUMBER(SEARCH($A336,'算罪台'!$B$4))),1,0)</f>
        <v/>
      </c>
      <c r="D337" s="34">
        <f>IF(AND($A336&lt;&gt;"",'算罪台'!$B$5&lt;&gt;"",ISNUMBER(SEARCH($A336,'算罪台'!$B$5))),1,0)</f>
        <v/>
      </c>
      <c r="E337" s="34">
        <f>IF(AND($A336&lt;&gt;"",'算罪台'!$B$6&lt;&gt;"",ISNUMBER(SEARCH($A336,'算罪台'!$B$6))),1,0)</f>
        <v/>
      </c>
    </row>
    <row r="338">
      <c r="A338" s="34" t="inlineStr">
        <is>
          <t>溜门撬锁</t>
        </is>
      </c>
      <c r="B338" s="34" t="inlineStr">
        <is>
          <t>入室盗窃罪</t>
        </is>
      </c>
      <c r="C338" s="34">
        <f>IF(AND($A337&lt;&gt;"",'算罪台'!$B$4&lt;&gt;"",ISNUMBER(SEARCH($A337,'算罪台'!$B$4))),1,0)</f>
        <v/>
      </c>
      <c r="D338" s="34">
        <f>IF(AND($A337&lt;&gt;"",'算罪台'!$B$5&lt;&gt;"",ISNUMBER(SEARCH($A337,'算罪台'!$B$5))),1,0)</f>
        <v/>
      </c>
      <c r="E338" s="34">
        <f>IF(AND($A337&lt;&gt;"",'算罪台'!$B$6&lt;&gt;"",ISNUMBER(SEARCH($A337,'算罪台'!$B$6))),1,0)</f>
        <v/>
      </c>
    </row>
    <row r="339">
      <c r="A339" s="34" t="inlineStr">
        <is>
          <t>破窗偷</t>
        </is>
      </c>
      <c r="B339" s="34" t="inlineStr">
        <is>
          <t>入室盗窃罪</t>
        </is>
      </c>
      <c r="C339" s="34">
        <f>IF(AND($A338&lt;&gt;"",'算罪台'!$B$4&lt;&gt;"",ISNUMBER(SEARCH($A338,'算罪台'!$B$4))),1,0)</f>
        <v/>
      </c>
      <c r="D339" s="34">
        <f>IF(AND($A338&lt;&gt;"",'算罪台'!$B$5&lt;&gt;"",ISNUMBER(SEARCH($A338,'算罪台'!$B$5))),1,0)</f>
        <v/>
      </c>
      <c r="E339" s="34">
        <f>IF(AND($A338&lt;&gt;"",'算罪台'!$B$6&lt;&gt;"",ISNUMBER(SEARCH($A338,'算罪台'!$B$6))),1,0)</f>
        <v/>
      </c>
    </row>
    <row r="340">
      <c r="A340" s="34" t="inlineStr">
        <is>
          <t>潜入盗窃</t>
        </is>
      </c>
      <c r="B340" s="34" t="inlineStr">
        <is>
          <t>入室盗窃罪</t>
        </is>
      </c>
      <c r="C340" s="34">
        <f>IF(AND($A339&lt;&gt;"",'算罪台'!$B$4&lt;&gt;"",ISNUMBER(SEARCH($A339,'算罪台'!$B$4))),1,0)</f>
        <v/>
      </c>
      <c r="D340" s="34">
        <f>IF(AND($A339&lt;&gt;"",'算罪台'!$B$5&lt;&gt;"",ISNUMBER(SEARCH($A339,'算罪台'!$B$5))),1,0)</f>
        <v/>
      </c>
      <c r="E340" s="34">
        <f>IF(AND($A339&lt;&gt;"",'算罪台'!$B$6&lt;&gt;"",ISNUMBER(SEARCH($A339,'算罪台'!$B$6))),1,0)</f>
        <v/>
      </c>
    </row>
    <row r="341">
      <c r="A341" s="34" t="inlineStr">
        <is>
          <t>撬锁入室</t>
        </is>
      </c>
      <c r="B341" s="34" t="inlineStr">
        <is>
          <t>入室盗窃罪</t>
        </is>
      </c>
      <c r="C341" s="34">
        <f>IF(AND($A340&lt;&gt;"",'算罪台'!$B$4&lt;&gt;"",ISNUMBER(SEARCH($A340,'算罪台'!$B$4))),1,0)</f>
        <v/>
      </c>
      <c r="D341" s="34">
        <f>IF(AND($A340&lt;&gt;"",'算罪台'!$B$5&lt;&gt;"",ISNUMBER(SEARCH($A340,'算罪台'!$B$5))),1,0)</f>
        <v/>
      </c>
      <c r="E341" s="34">
        <f>IF(AND($A340&lt;&gt;"",'算罪台'!$B$6&lt;&gt;"",ISNUMBER(SEARCH($A340,'算罪台'!$B$6))),1,0)</f>
        <v/>
      </c>
    </row>
    <row r="342">
      <c r="A342" s="34" t="inlineStr">
        <is>
          <t>翻墙入室</t>
        </is>
      </c>
      <c r="B342" s="34" t="inlineStr">
        <is>
          <t>入室盗窃罪</t>
        </is>
      </c>
      <c r="C342" s="34">
        <f>IF(AND($A341&lt;&gt;"",'算罪台'!$B$4&lt;&gt;"",ISNUMBER(SEARCH($A341,'算罪台'!$B$4))),1,0)</f>
        <v/>
      </c>
      <c r="D342" s="34">
        <f>IF(AND($A341&lt;&gt;"",'算罪台'!$B$5&lt;&gt;"",ISNUMBER(SEARCH($A341,'算罪台'!$B$5))),1,0)</f>
        <v/>
      </c>
      <c r="E342" s="34">
        <f>IF(AND($A341&lt;&gt;"",'算罪台'!$B$6&lt;&gt;"",ISNUMBER(SEARCH($A341,'算罪台'!$B$6))),1,0)</f>
        <v/>
      </c>
    </row>
    <row r="343">
      <c r="A343" s="34" t="inlineStr">
        <is>
          <t>破门而入偷</t>
        </is>
      </c>
      <c r="B343" s="34" t="inlineStr">
        <is>
          <t>入室盗窃罪</t>
        </is>
      </c>
      <c r="C343" s="34">
        <f>IF(AND($A342&lt;&gt;"",'算罪台'!$B$4&lt;&gt;"",ISNUMBER(SEARCH($A342,'算罪台'!$B$4))),1,0)</f>
        <v/>
      </c>
      <c r="D343" s="34">
        <f>IF(AND($A342&lt;&gt;"",'算罪台'!$B$5&lt;&gt;"",ISNUMBER(SEARCH($A342,'算罪台'!$B$5))),1,0)</f>
        <v/>
      </c>
      <c r="E343" s="34">
        <f>IF(AND($A342&lt;&gt;"",'算罪台'!$B$6&lt;&gt;"",ISNUMBER(SEARCH($A342,'算罪台'!$B$6))),1,0)</f>
        <v/>
      </c>
    </row>
    <row r="344">
      <c r="A344" s="34" t="inlineStr">
        <is>
          <t>入户盗窃</t>
        </is>
      </c>
      <c r="B344" s="34" t="inlineStr">
        <is>
          <t>入室盗窃罪</t>
        </is>
      </c>
      <c r="C344" s="34">
        <f>IF(AND($A343&lt;&gt;"",'算罪台'!$B$4&lt;&gt;"",ISNUMBER(SEARCH($A343,'算罪台'!$B$4))),1,0)</f>
        <v/>
      </c>
      <c r="D344" s="34">
        <f>IF(AND($A343&lt;&gt;"",'算罪台'!$B$5&lt;&gt;"",ISNUMBER(SEARCH($A343,'算罪台'!$B$5))),1,0)</f>
        <v/>
      </c>
      <c r="E344" s="34">
        <f>IF(AND($A343&lt;&gt;"",'算罪台'!$B$6&lt;&gt;"",ISNUMBER(SEARCH($A343,'算罪台'!$B$6))),1,0)</f>
        <v/>
      </c>
    </row>
    <row r="345">
      <c r="A345" s="34" t="inlineStr">
        <is>
          <t>翻入屋内偷</t>
        </is>
      </c>
      <c r="B345" s="34" t="inlineStr">
        <is>
          <t>入室盗窃罪</t>
        </is>
      </c>
      <c r="C345" s="34">
        <f>IF(AND($A344&lt;&gt;"",'算罪台'!$B$4&lt;&gt;"",ISNUMBER(SEARCH($A344,'算罪台'!$B$4))),1,0)</f>
        <v/>
      </c>
      <c r="D345" s="34">
        <f>IF(AND($A344&lt;&gt;"",'算罪台'!$B$5&lt;&gt;"",ISNUMBER(SEARCH($A344,'算罪台'!$B$5))),1,0)</f>
        <v/>
      </c>
      <c r="E345" s="34">
        <f>IF(AND($A344&lt;&gt;"",'算罪台'!$B$6&lt;&gt;"",ISNUMBER(SEARCH($A344,'算罪台'!$B$6))),1,0)</f>
        <v/>
      </c>
    </row>
    <row r="346">
      <c r="A346" s="34" t="inlineStr">
        <is>
          <t>抢劫</t>
        </is>
      </c>
      <c r="B346" s="34" t="inlineStr">
        <is>
          <t>抢劫罪</t>
        </is>
      </c>
      <c r="C346" s="34">
        <f>IF(AND($A345&lt;&gt;"",'算罪台'!$B$4&lt;&gt;"",ISNUMBER(SEARCH($A345,'算罪台'!$B$4))),1,0)</f>
        <v/>
      </c>
      <c r="D346" s="34">
        <f>IF(AND($A345&lt;&gt;"",'算罪台'!$B$5&lt;&gt;"",ISNUMBER(SEARCH($A345,'算罪台'!$B$5))),1,0)</f>
        <v/>
      </c>
      <c r="E346" s="34">
        <f>IF(AND($A345&lt;&gt;"",'算罪台'!$B$6&lt;&gt;"",ISNUMBER(SEARCH($A345,'算罪台'!$B$6))),1,0)</f>
        <v/>
      </c>
    </row>
    <row r="347">
      <c r="A347" s="34" t="inlineStr">
        <is>
          <t>持械抢劫</t>
        </is>
      </c>
      <c r="B347" s="34" t="inlineStr">
        <is>
          <t>抢劫罪</t>
        </is>
      </c>
      <c r="C347" s="34">
        <f>IF(AND($A346&lt;&gt;"",'算罪台'!$B$4&lt;&gt;"",ISNUMBER(SEARCH($A346,'算罪台'!$B$4))),1,0)</f>
        <v/>
      </c>
      <c r="D347" s="34">
        <f>IF(AND($A346&lt;&gt;"",'算罪台'!$B$5&lt;&gt;"",ISNUMBER(SEARCH($A346,'算罪台'!$B$5))),1,0)</f>
        <v/>
      </c>
      <c r="E347" s="34">
        <f>IF(AND($A346&lt;&gt;"",'算罪台'!$B$6&lt;&gt;"",ISNUMBER(SEARCH($A346,'算罪台'!$B$6))),1,0)</f>
        <v/>
      </c>
    </row>
    <row r="348">
      <c r="A348" s="34" t="inlineStr">
        <is>
          <t>持枪抢劫</t>
        </is>
      </c>
      <c r="B348" s="34" t="inlineStr">
        <is>
          <t>抢劫罪</t>
        </is>
      </c>
      <c r="C348" s="34">
        <f>IF(AND($A347&lt;&gt;"",'算罪台'!$B$4&lt;&gt;"",ISNUMBER(SEARCH($A347,'算罪台'!$B$4))),1,0)</f>
        <v/>
      </c>
      <c r="D348" s="34">
        <f>IF(AND($A347&lt;&gt;"",'算罪台'!$B$5&lt;&gt;"",ISNUMBER(SEARCH($A347,'算罪台'!$B$5))),1,0)</f>
        <v/>
      </c>
      <c r="E348" s="34">
        <f>IF(AND($A347&lt;&gt;"",'算罪台'!$B$6&lt;&gt;"",ISNUMBER(SEARCH($A347,'算罪台'!$B$6))),1,0)</f>
        <v/>
      </c>
    </row>
    <row r="349">
      <c r="A349" s="34" t="inlineStr">
        <is>
          <t>抢夺财物</t>
        </is>
      </c>
      <c r="B349" s="34" t="inlineStr">
        <is>
          <t>抢劫罪</t>
        </is>
      </c>
      <c r="C349" s="34">
        <f>IF(AND($A348&lt;&gt;"",'算罪台'!$B$4&lt;&gt;"",ISNUMBER(SEARCH($A348,'算罪台'!$B$4))),1,0)</f>
        <v/>
      </c>
      <c r="D349" s="34">
        <f>IF(AND($A348&lt;&gt;"",'算罪台'!$B$5&lt;&gt;"",ISNUMBER(SEARCH($A348,'算罪台'!$B$5))),1,0)</f>
        <v/>
      </c>
      <c r="E349" s="34">
        <f>IF(AND($A348&lt;&gt;"",'算罪台'!$B$6&lt;&gt;"",ISNUMBER(SEARCH($A348,'算罪台'!$B$6))),1,0)</f>
        <v/>
      </c>
    </row>
    <row r="350">
      <c r="A350" s="34" t="inlineStr">
        <is>
          <t>武力抢</t>
        </is>
      </c>
      <c r="B350" s="34" t="inlineStr">
        <is>
          <t>抢劫罪</t>
        </is>
      </c>
      <c r="C350" s="34">
        <f>IF(AND($A349&lt;&gt;"",'算罪台'!$B$4&lt;&gt;"",ISNUMBER(SEARCH($A349,'算罪台'!$B$4))),1,0)</f>
        <v/>
      </c>
      <c r="D350" s="34">
        <f>IF(AND($A349&lt;&gt;"",'算罪台'!$B$5&lt;&gt;"",ISNUMBER(SEARCH($A349,'算罪台'!$B$5))),1,0)</f>
        <v/>
      </c>
      <c r="E350" s="34">
        <f>IF(AND($A349&lt;&gt;"",'算罪台'!$B$6&lt;&gt;"",ISNUMBER(SEARCH($A349,'算罪台'!$B$6))),1,0)</f>
        <v/>
      </c>
    </row>
    <row r="351">
      <c r="A351" s="34" t="inlineStr">
        <is>
          <t>威胁抢</t>
        </is>
      </c>
      <c r="B351" s="34" t="inlineStr">
        <is>
          <t>抢劫罪</t>
        </is>
      </c>
      <c r="C351" s="34">
        <f>IF(AND($A350&lt;&gt;"",'算罪台'!$B$4&lt;&gt;"",ISNUMBER(SEARCH($A350,'算罪台'!$B$4))),1,0)</f>
        <v/>
      </c>
      <c r="D351" s="34">
        <f>IF(AND($A350&lt;&gt;"",'算罪台'!$B$5&lt;&gt;"",ISNUMBER(SEARCH($A350,'算罪台'!$B$5))),1,0)</f>
        <v/>
      </c>
      <c r="E351" s="34">
        <f>IF(AND($A350&lt;&gt;"",'算罪台'!$B$6&lt;&gt;"",ISNUMBER(SEARCH($A350,'算罪台'!$B$6))),1,0)</f>
        <v/>
      </c>
    </row>
    <row r="352">
      <c r="A352" s="34" t="inlineStr">
        <is>
          <t>打劫</t>
        </is>
      </c>
      <c r="B352" s="34" t="inlineStr">
        <is>
          <t>抢劫罪</t>
        </is>
      </c>
      <c r="C352" s="34">
        <f>IF(AND($A351&lt;&gt;"",'算罪台'!$B$4&lt;&gt;"",ISNUMBER(SEARCH($A351,'算罪台'!$B$4))),1,0)</f>
        <v/>
      </c>
      <c r="D352" s="34">
        <f>IF(AND($A351&lt;&gt;"",'算罪台'!$B$5&lt;&gt;"",ISNUMBER(SEARCH($A351,'算罪台'!$B$5))),1,0)</f>
        <v/>
      </c>
      <c r="E352" s="34">
        <f>IF(AND($A351&lt;&gt;"",'算罪台'!$B$6&lt;&gt;"",ISNUMBER(SEARCH($A351,'算罪台'!$B$6))),1,0)</f>
        <v/>
      </c>
    </row>
    <row r="353">
      <c r="A353" s="34" t="inlineStr">
        <is>
          <t>抢东西</t>
        </is>
      </c>
      <c r="B353" s="34" t="inlineStr">
        <is>
          <t>抢劫罪</t>
        </is>
      </c>
      <c r="C353" s="34">
        <f>IF(AND($A352&lt;&gt;"",'算罪台'!$B$4&lt;&gt;"",ISNUMBER(SEARCH($A352,'算罪台'!$B$4))),1,0)</f>
        <v/>
      </c>
      <c r="D353" s="34">
        <f>IF(AND($A352&lt;&gt;"",'算罪台'!$B$5&lt;&gt;"",ISNUMBER(SEARCH($A352,'算罪台'!$B$5))),1,0)</f>
        <v/>
      </c>
      <c r="E353" s="34">
        <f>IF(AND($A352&lt;&gt;"",'算罪台'!$B$6&lt;&gt;"",ISNUMBER(SEARCH($A352,'算罪台'!$B$6))),1,0)</f>
        <v/>
      </c>
    </row>
    <row r="354">
      <c r="A354" s="34" t="inlineStr">
        <is>
          <t>抢钱</t>
        </is>
      </c>
      <c r="B354" s="34" t="inlineStr">
        <is>
          <t>抢劫罪</t>
        </is>
      </c>
      <c r="C354" s="34">
        <f>IF(AND($A353&lt;&gt;"",'算罪台'!$B$4&lt;&gt;"",ISNUMBER(SEARCH($A353,'算罪台'!$B$4))),1,0)</f>
        <v/>
      </c>
      <c r="D354" s="34">
        <f>IF(AND($A353&lt;&gt;"",'算罪台'!$B$5&lt;&gt;"",ISNUMBER(SEARCH($A353,'算罪台'!$B$5))),1,0)</f>
        <v/>
      </c>
      <c r="E354" s="34">
        <f>IF(AND($A353&lt;&gt;"",'算罪台'!$B$6&lt;&gt;"",ISNUMBER(SEARCH($A353,'算罪台'!$B$6))),1,0)</f>
        <v/>
      </c>
    </row>
    <row r="355">
      <c r="A355" s="34" t="inlineStr">
        <is>
          <t>洗劫</t>
        </is>
      </c>
      <c r="B355" s="34" t="inlineStr">
        <is>
          <t>抢劫罪</t>
        </is>
      </c>
      <c r="C355" s="34">
        <f>IF(AND($A354&lt;&gt;"",'算罪台'!$B$4&lt;&gt;"",ISNUMBER(SEARCH($A354,'算罪台'!$B$4))),1,0)</f>
        <v/>
      </c>
      <c r="D355" s="34">
        <f>IF(AND($A354&lt;&gt;"",'算罪台'!$B$5&lt;&gt;"",ISNUMBER(SEARCH($A354,'算罪台'!$B$5))),1,0)</f>
        <v/>
      </c>
      <c r="E355" s="34">
        <f>IF(AND($A354&lt;&gt;"",'算罪台'!$B$6&lt;&gt;"",ISNUMBER(SEARCH($A354,'算罪台'!$B$6))),1,0)</f>
        <v/>
      </c>
    </row>
    <row r="356">
      <c r="A356" s="34" t="inlineStr">
        <is>
          <t>抢了</t>
        </is>
      </c>
      <c r="B356" s="34" t="inlineStr">
        <is>
          <t>抢劫罪</t>
        </is>
      </c>
      <c r="C356" s="34">
        <f>IF(AND($A355&lt;&gt;"",'算罪台'!$B$4&lt;&gt;"",ISNUMBER(SEARCH($A355,'算罪台'!$B$4))),1,0)</f>
        <v/>
      </c>
      <c r="D356" s="34">
        <f>IF(AND($A355&lt;&gt;"",'算罪台'!$B$5&lt;&gt;"",ISNUMBER(SEARCH($A355,'算罪台'!$B$5))),1,0)</f>
        <v/>
      </c>
      <c r="E356" s="34">
        <f>IF(AND($A355&lt;&gt;"",'算罪台'!$B$6&lt;&gt;"",ISNUMBER(SEARCH($A355,'算罪台'!$B$6))),1,0)</f>
        <v/>
      </c>
    </row>
    <row r="357">
      <c r="A357" s="34" t="inlineStr">
        <is>
          <t>抢了他</t>
        </is>
      </c>
      <c r="B357" s="34" t="inlineStr">
        <is>
          <t>抢劫罪</t>
        </is>
      </c>
      <c r="C357" s="34">
        <f>IF(AND($A356&lt;&gt;"",'算罪台'!$B$4&lt;&gt;"",ISNUMBER(SEARCH($A356,'算罪台'!$B$4))),1,0)</f>
        <v/>
      </c>
      <c r="D357" s="34">
        <f>IF(AND($A356&lt;&gt;"",'算罪台'!$B$5&lt;&gt;"",ISNUMBER(SEARCH($A356,'算罪台'!$B$5))),1,0)</f>
        <v/>
      </c>
      <c r="E357" s="34">
        <f>IF(AND($A356&lt;&gt;"",'算罪台'!$B$6&lt;&gt;"",ISNUMBER(SEARCH($A356,'算罪台'!$B$6))),1,0)</f>
        <v/>
      </c>
    </row>
    <row r="358">
      <c r="A358" s="34" t="inlineStr">
        <is>
          <t>持枪打劫</t>
        </is>
      </c>
      <c r="B358" s="34" t="inlineStr">
        <is>
          <t>抢劫罪</t>
        </is>
      </c>
      <c r="C358" s="34">
        <f>IF(AND($A357&lt;&gt;"",'算罪台'!$B$4&lt;&gt;"",ISNUMBER(SEARCH($A357,'算罪台'!$B$4))),1,0)</f>
        <v/>
      </c>
      <c r="D358" s="34">
        <f>IF(AND($A357&lt;&gt;"",'算罪台'!$B$5&lt;&gt;"",ISNUMBER(SEARCH($A357,'算罪台'!$B$5))),1,0)</f>
        <v/>
      </c>
      <c r="E358" s="34">
        <f>IF(AND($A357&lt;&gt;"",'算罪台'!$B$6&lt;&gt;"",ISNUMBER(SEARCH($A357,'算罪台'!$B$6))),1,0)</f>
        <v/>
      </c>
    </row>
    <row r="359">
      <c r="A359" s="34" t="inlineStr">
        <is>
          <t>拦路抢</t>
        </is>
      </c>
      <c r="B359" s="34" t="inlineStr">
        <is>
          <t>抢劫罪</t>
        </is>
      </c>
      <c r="C359" s="34">
        <f>IF(AND($A358&lt;&gt;"",'算罪台'!$B$4&lt;&gt;"",ISNUMBER(SEARCH($A358,'算罪台'!$B$4))),1,0)</f>
        <v/>
      </c>
      <c r="D359" s="34">
        <f>IF(AND($A358&lt;&gt;"",'算罪台'!$B$5&lt;&gt;"",ISNUMBER(SEARCH($A358,'算罪台'!$B$5))),1,0)</f>
        <v/>
      </c>
      <c r="E359" s="34">
        <f>IF(AND($A358&lt;&gt;"",'算罪台'!$B$6&lt;&gt;"",ISNUMBER(SEARCH($A358,'算罪台'!$B$6))),1,0)</f>
        <v/>
      </c>
    </row>
    <row r="360">
      <c r="A360" s="34" t="inlineStr">
        <is>
          <t>抢店</t>
        </is>
      </c>
      <c r="B360" s="34" t="inlineStr">
        <is>
          <t>抢劫罪</t>
        </is>
      </c>
      <c r="C360" s="34">
        <f>IF(AND($A359&lt;&gt;"",'算罪台'!$B$4&lt;&gt;"",ISNUMBER(SEARCH($A359,'算罪台'!$B$4))),1,0)</f>
        <v/>
      </c>
      <c r="D360" s="34">
        <f>IF(AND($A359&lt;&gt;"",'算罪台'!$B$5&lt;&gt;"",ISNUMBER(SEARCH($A359,'算罪台'!$B$5))),1,0)</f>
        <v/>
      </c>
      <c r="E360" s="34">
        <f>IF(AND($A359&lt;&gt;"",'算罪台'!$B$6&lt;&gt;"",ISNUMBER(SEARCH($A359,'算罪台'!$B$6))),1,0)</f>
        <v/>
      </c>
    </row>
    <row r="361">
      <c r="A361" s="34" t="inlineStr">
        <is>
          <t>抢包</t>
        </is>
      </c>
      <c r="B361" s="34" t="inlineStr">
        <is>
          <t>抢劫罪</t>
        </is>
      </c>
      <c r="C361" s="34">
        <f>IF(AND($A360&lt;&gt;"",'算罪台'!$B$4&lt;&gt;"",ISNUMBER(SEARCH($A360,'算罪台'!$B$4))),1,0)</f>
        <v/>
      </c>
      <c r="D361" s="34">
        <f>IF(AND($A360&lt;&gt;"",'算罪台'!$B$5&lt;&gt;"",ISNUMBER(SEARCH($A360,'算罪台'!$B$5))),1,0)</f>
        <v/>
      </c>
      <c r="E361" s="34">
        <f>IF(AND($A360&lt;&gt;"",'算罪台'!$B$6&lt;&gt;"",ISNUMBER(SEARCH($A360,'算罪台'!$B$6))),1,0)</f>
        <v/>
      </c>
    </row>
    <row r="362">
      <c r="A362" s="34" t="inlineStr">
        <is>
          <t>明抢</t>
        </is>
      </c>
      <c r="B362" s="34" t="inlineStr">
        <is>
          <t>抢劫罪</t>
        </is>
      </c>
      <c r="C362" s="34">
        <f>IF(AND($A361&lt;&gt;"",'算罪台'!$B$4&lt;&gt;"",ISNUMBER(SEARCH($A361,'算罪台'!$B$4))),1,0)</f>
        <v/>
      </c>
      <c r="D362" s="34">
        <f>IF(AND($A361&lt;&gt;"",'算罪台'!$B$5&lt;&gt;"",ISNUMBER(SEARCH($A361,'算罪台'!$B$5))),1,0)</f>
        <v/>
      </c>
      <c r="E362" s="34">
        <f>IF(AND($A361&lt;&gt;"",'算罪台'!$B$6&lt;&gt;"",ISNUMBER(SEARCH($A361,'算罪台'!$B$6))),1,0)</f>
        <v/>
      </c>
    </row>
    <row r="363">
      <c r="A363" s="34" t="inlineStr">
        <is>
          <t>逼着交钱包</t>
        </is>
      </c>
      <c r="B363" s="34" t="inlineStr">
        <is>
          <t>抢劫罪</t>
        </is>
      </c>
      <c r="C363" s="34">
        <f>IF(AND($A362&lt;&gt;"",'算罪台'!$B$4&lt;&gt;"",ISNUMBER(SEARCH($A362,'算罪台'!$B$4))),1,0)</f>
        <v/>
      </c>
      <c r="D363" s="34">
        <f>IF(AND($A362&lt;&gt;"",'算罪台'!$B$5&lt;&gt;"",ISNUMBER(SEARCH($A362,'算罪台'!$B$5))),1,0)</f>
        <v/>
      </c>
      <c r="E363" s="34">
        <f>IF(AND($A362&lt;&gt;"",'算罪台'!$B$6&lt;&gt;"",ISNUMBER(SEARCH($A362,'算罪台'!$B$6))),1,0)</f>
        <v/>
      </c>
    </row>
    <row r="364">
      <c r="A364" s="34" t="inlineStr">
        <is>
          <t>持刀抢</t>
        </is>
      </c>
      <c r="B364" s="34" t="inlineStr">
        <is>
          <t>抢劫罪</t>
        </is>
      </c>
      <c r="C364" s="34">
        <f>IF(AND($A363&lt;&gt;"",'算罪台'!$B$4&lt;&gt;"",ISNUMBER(SEARCH($A363,'算罪台'!$B$4))),1,0)</f>
        <v/>
      </c>
      <c r="D364" s="34">
        <f>IF(AND($A363&lt;&gt;"",'算罪台'!$B$5&lt;&gt;"",ISNUMBER(SEARCH($A363,'算罪台'!$B$5))),1,0)</f>
        <v/>
      </c>
      <c r="E364" s="34">
        <f>IF(AND($A363&lt;&gt;"",'算罪台'!$B$6&lt;&gt;"",ISNUMBER(SEARCH($A363,'算罪台'!$B$6))),1,0)</f>
        <v/>
      </c>
    </row>
    <row r="365">
      <c r="A365" s="34" t="inlineStr">
        <is>
          <t>拦车抢</t>
        </is>
      </c>
      <c r="B365" s="34" t="inlineStr">
        <is>
          <t>抢劫罪</t>
        </is>
      </c>
      <c r="C365" s="34">
        <f>IF(AND($A364&lt;&gt;"",'算罪台'!$B$4&lt;&gt;"",ISNUMBER(SEARCH($A364,'算罪台'!$B$4))),1,0)</f>
        <v/>
      </c>
      <c r="D365" s="34">
        <f>IF(AND($A364&lt;&gt;"",'算罪台'!$B$5&lt;&gt;"",ISNUMBER(SEARCH($A364,'算罪台'!$B$5))),1,0)</f>
        <v/>
      </c>
      <c r="E365" s="34">
        <f>IF(AND($A364&lt;&gt;"",'算罪台'!$B$6&lt;&gt;"",ISNUMBER(SEARCH($A364,'算罪台'!$B$6))),1,0)</f>
        <v/>
      </c>
    </row>
    <row r="366">
      <c r="A366" s="34" t="inlineStr">
        <is>
          <t>抢了一把</t>
        </is>
      </c>
      <c r="B366" s="34" t="inlineStr">
        <is>
          <t>抢劫罪</t>
        </is>
      </c>
      <c r="C366" s="34">
        <f>IF(AND($A365&lt;&gt;"",'算罪台'!$B$4&lt;&gt;"",ISNUMBER(SEARCH($A365,'算罪台'!$B$4))),1,0)</f>
        <v/>
      </c>
      <c r="D366" s="34">
        <f>IF(AND($A365&lt;&gt;"",'算罪台'!$B$5&lt;&gt;"",ISNUMBER(SEARCH($A365,'算罪台'!$B$5))),1,0)</f>
        <v/>
      </c>
      <c r="E366" s="34">
        <f>IF(AND($A365&lt;&gt;"",'算罪台'!$B$6&lt;&gt;"",ISNUMBER(SEARCH($A365,'算罪台'!$B$6))),1,0)</f>
        <v/>
      </c>
    </row>
    <row r="367">
      <c r="A367" s="34" t="inlineStr">
        <is>
          <t>抢劫财物</t>
        </is>
      </c>
      <c r="B367" s="34" t="inlineStr">
        <is>
          <t>抢劫罪</t>
        </is>
      </c>
      <c r="C367" s="34">
        <f>IF(AND($A366&lt;&gt;"",'算罪台'!$B$4&lt;&gt;"",ISNUMBER(SEARCH($A366,'算罪台'!$B$4))),1,0)</f>
        <v/>
      </c>
      <c r="D367" s="34">
        <f>IF(AND($A366&lt;&gt;"",'算罪台'!$B$5&lt;&gt;"",ISNUMBER(SEARCH($A366,'算罪台'!$B$5))),1,0)</f>
        <v/>
      </c>
      <c r="E367" s="34">
        <f>IF(AND($A366&lt;&gt;"",'算罪台'!$B$6&lt;&gt;"",ISNUMBER(SEARCH($A366,'算罪台'!$B$6))),1,0)</f>
        <v/>
      </c>
    </row>
    <row r="368">
      <c r="A368" s="34" t="inlineStr">
        <is>
          <t>持枪抢</t>
        </is>
      </c>
      <c r="B368" s="34" t="inlineStr">
        <is>
          <t>抢劫罪</t>
        </is>
      </c>
      <c r="C368" s="34">
        <f>IF(AND($A367&lt;&gt;"",'算罪台'!$B$4&lt;&gt;"",ISNUMBER(SEARCH($A367,'算罪台'!$B$4))),1,0)</f>
        <v/>
      </c>
      <c r="D368" s="34">
        <f>IF(AND($A367&lt;&gt;"",'算罪台'!$B$5&lt;&gt;"",ISNUMBER(SEARCH($A367,'算罪台'!$B$5))),1,0)</f>
        <v/>
      </c>
      <c r="E368" s="34">
        <f>IF(AND($A367&lt;&gt;"",'算罪台'!$B$6&lt;&gt;"",ISNUMBER(SEARCH($A367,'算罪台'!$B$6))),1,0)</f>
        <v/>
      </c>
    </row>
    <row r="369">
      <c r="A369" s="34" t="inlineStr">
        <is>
          <t>武装抢劫</t>
        </is>
      </c>
      <c r="B369" s="34" t="inlineStr">
        <is>
          <t>抢劫罪</t>
        </is>
      </c>
      <c r="C369" s="34">
        <f>IF(AND($A368&lt;&gt;"",'算罪台'!$B$4&lt;&gt;"",ISNUMBER(SEARCH($A368,'算罪台'!$B$4))),1,0)</f>
        <v/>
      </c>
      <c r="D369" s="34">
        <f>IF(AND($A368&lt;&gt;"",'算罪台'!$B$5&lt;&gt;"",ISNUMBER(SEARCH($A368,'算罪台'!$B$5))),1,0)</f>
        <v/>
      </c>
      <c r="E369" s="34">
        <f>IF(AND($A368&lt;&gt;"",'算罪台'!$B$6&lt;&gt;"",ISNUMBER(SEARCH($A368,'算罪台'!$B$6))),1,0)</f>
        <v/>
      </c>
    </row>
    <row r="370">
      <c r="A370" s="34" t="inlineStr">
        <is>
          <t>抢钱包</t>
        </is>
      </c>
      <c r="B370" s="34" t="inlineStr">
        <is>
          <t>抢劫罪</t>
        </is>
      </c>
      <c r="C370" s="34">
        <f>IF(AND($A369&lt;&gt;"",'算罪台'!$B$4&lt;&gt;"",ISNUMBER(SEARCH($A369,'算罪台'!$B$4))),1,0)</f>
        <v/>
      </c>
      <c r="D370" s="34">
        <f>IF(AND($A369&lt;&gt;"",'算罪台'!$B$5&lt;&gt;"",ISNUMBER(SEARCH($A369,'算罪台'!$B$5))),1,0)</f>
        <v/>
      </c>
      <c r="E370" s="34">
        <f>IF(AND($A369&lt;&gt;"",'算罪台'!$B$6&lt;&gt;"",ISNUMBER(SEARCH($A369,'算罪台'!$B$6))),1,0)</f>
        <v/>
      </c>
    </row>
    <row r="371">
      <c r="A371" s="34" t="inlineStr">
        <is>
          <t>抢手机</t>
        </is>
      </c>
      <c r="B371" s="34" t="inlineStr">
        <is>
          <t>抢劫罪</t>
        </is>
      </c>
      <c r="C371" s="34">
        <f>IF(AND($A370&lt;&gt;"",'算罪台'!$B$4&lt;&gt;"",ISNUMBER(SEARCH($A370,'算罪台'!$B$4))),1,0)</f>
        <v/>
      </c>
      <c r="D371" s="34">
        <f>IF(AND($A370&lt;&gt;"",'算罪台'!$B$5&lt;&gt;"",ISNUMBER(SEARCH($A370,'算罪台'!$B$5))),1,0)</f>
        <v/>
      </c>
      <c r="E371" s="34">
        <f>IF(AND($A370&lt;&gt;"",'算罪台'!$B$6&lt;&gt;"",ISNUMBER(SEARCH($A370,'算罪台'!$B$6))),1,0)</f>
        <v/>
      </c>
    </row>
    <row r="372">
      <c r="A372" s="34" t="inlineStr">
        <is>
          <t>当街抢劫</t>
        </is>
      </c>
      <c r="B372" s="34" t="inlineStr">
        <is>
          <t>抢劫罪</t>
        </is>
      </c>
      <c r="C372" s="34">
        <f>IF(AND($A371&lt;&gt;"",'算罪台'!$B$4&lt;&gt;"",ISNUMBER(SEARCH($A371,'算罪台'!$B$4))),1,0)</f>
        <v/>
      </c>
      <c r="D372" s="34">
        <f>IF(AND($A371&lt;&gt;"",'算罪台'!$B$5&lt;&gt;"",ISNUMBER(SEARCH($A371,'算罪台'!$B$5))),1,0)</f>
        <v/>
      </c>
      <c r="E372" s="34">
        <f>IF(AND($A371&lt;&gt;"",'算罪台'!$B$6&lt;&gt;"",ISNUMBER(SEARCH($A371,'算罪台'!$B$6))),1,0)</f>
        <v/>
      </c>
    </row>
    <row r="373">
      <c r="A373" s="34" t="inlineStr">
        <is>
          <t>拦截抢劫</t>
        </is>
      </c>
      <c r="B373" s="34" t="inlineStr">
        <is>
          <t>抢劫罪</t>
        </is>
      </c>
      <c r="C373" s="34">
        <f>IF(AND($A372&lt;&gt;"",'算罪台'!$B$4&lt;&gt;"",ISNUMBER(SEARCH($A372,'算罪台'!$B$4))),1,0)</f>
        <v/>
      </c>
      <c r="D373" s="34">
        <f>IF(AND($A372&lt;&gt;"",'算罪台'!$B$5&lt;&gt;"",ISNUMBER(SEARCH($A372,'算罪台'!$B$5))),1,0)</f>
        <v/>
      </c>
      <c r="E373" s="34">
        <f>IF(AND($A372&lt;&gt;"",'算罪台'!$B$6&lt;&gt;"",ISNUMBER(SEARCH($A372,'算罪台'!$B$6))),1,0)</f>
        <v/>
      </c>
    </row>
    <row r="374">
      <c r="A374" s="34" t="inlineStr">
        <is>
          <t>抢夺</t>
        </is>
      </c>
      <c r="B374" s="34" t="inlineStr">
        <is>
          <t>抢劫罪</t>
        </is>
      </c>
      <c r="C374" s="34">
        <f>IF(AND($A373&lt;&gt;"",'算罪台'!$B$4&lt;&gt;"",ISNUMBER(SEARCH($A373,'算罪台'!$B$4))),1,0)</f>
        <v/>
      </c>
      <c r="D374" s="34">
        <f>IF(AND($A373&lt;&gt;"",'算罪台'!$B$5&lt;&gt;"",ISNUMBER(SEARCH($A373,'算罪台'!$B$5))),1,0)</f>
        <v/>
      </c>
      <c r="E374" s="34">
        <f>IF(AND($A373&lt;&gt;"",'算罪台'!$B$6&lt;&gt;"",ISNUMBER(SEARCH($A373,'算罪台'!$B$6))),1,0)</f>
        <v/>
      </c>
    </row>
    <row r="375">
      <c r="A375" s="34" t="inlineStr">
        <is>
          <t>强抢</t>
        </is>
      </c>
      <c r="B375" s="34" t="inlineStr">
        <is>
          <t>抢劫罪</t>
        </is>
      </c>
      <c r="C375" s="34">
        <f>IF(AND($A374&lt;&gt;"",'算罪台'!$B$4&lt;&gt;"",ISNUMBER(SEARCH($A374,'算罪台'!$B$4))),1,0)</f>
        <v/>
      </c>
      <c r="D375" s="34">
        <f>IF(AND($A374&lt;&gt;"",'算罪台'!$B$5&lt;&gt;"",ISNUMBER(SEARCH($A374,'算罪台'!$B$5))),1,0)</f>
        <v/>
      </c>
      <c r="E375" s="34">
        <f>IF(AND($A374&lt;&gt;"",'算罪台'!$B$6&lt;&gt;"",ISNUMBER(SEARCH($A374,'算罪台'!$B$6))),1,0)</f>
        <v/>
      </c>
    </row>
    <row r="376">
      <c r="A376" s="34" t="inlineStr">
        <is>
          <t>抢劫他人</t>
        </is>
      </c>
      <c r="B376" s="34" t="inlineStr">
        <is>
          <t>抢劫罪</t>
        </is>
      </c>
      <c r="C376" s="34">
        <f>IF(AND($A375&lt;&gt;"",'算罪台'!$B$4&lt;&gt;"",ISNUMBER(SEARCH($A375,'算罪台'!$B$4))),1,0)</f>
        <v/>
      </c>
      <c r="D376" s="34">
        <f>IF(AND($A375&lt;&gt;"",'算罪台'!$B$5&lt;&gt;"",ISNUMBER(SEARCH($A375,'算罪台'!$B$5))),1,0)</f>
        <v/>
      </c>
      <c r="E376" s="34">
        <f>IF(AND($A375&lt;&gt;"",'算罪台'!$B$6&lt;&gt;"",ISNUMBER(SEARCH($A375,'算罪台'!$B$6))),1,0)</f>
        <v/>
      </c>
    </row>
    <row r="377">
      <c r="A377" s="34" t="inlineStr">
        <is>
          <t>盗窃</t>
        </is>
      </c>
      <c r="B377" s="34" t="inlineStr">
        <is>
          <t>盗窃罪</t>
        </is>
      </c>
      <c r="C377" s="34">
        <f>IF(AND($A376&lt;&gt;"",'算罪台'!$B$4&lt;&gt;"",ISNUMBER(SEARCH($A376,'算罪台'!$B$4))),1,0)</f>
        <v/>
      </c>
      <c r="D377" s="34">
        <f>IF(AND($A376&lt;&gt;"",'算罪台'!$B$5&lt;&gt;"",ISNUMBER(SEARCH($A376,'算罪台'!$B$5))),1,0)</f>
        <v/>
      </c>
      <c r="E377" s="34">
        <f>IF(AND($A376&lt;&gt;"",'算罪台'!$B$6&lt;&gt;"",ISNUMBER(SEARCH($A376,'算罪台'!$B$6))),1,0)</f>
        <v/>
      </c>
    </row>
    <row r="378">
      <c r="A378" s="34" t="inlineStr">
        <is>
          <t>偷窃</t>
        </is>
      </c>
      <c r="B378" s="34" t="inlineStr">
        <is>
          <t>盗窃罪</t>
        </is>
      </c>
      <c r="C378" s="34">
        <f>IF(AND($A377&lt;&gt;"",'算罪台'!$B$4&lt;&gt;"",ISNUMBER(SEARCH($A377,'算罪台'!$B$4))),1,0)</f>
        <v/>
      </c>
      <c r="D378" s="34">
        <f>IF(AND($A377&lt;&gt;"",'算罪台'!$B$5&lt;&gt;"",ISNUMBER(SEARCH($A377,'算罪台'!$B$5))),1,0)</f>
        <v/>
      </c>
      <c r="E378" s="34">
        <f>IF(AND($A377&lt;&gt;"",'算罪台'!$B$6&lt;&gt;"",ISNUMBER(SEARCH($A377,'算罪台'!$B$6))),1,0)</f>
        <v/>
      </c>
    </row>
    <row r="379">
      <c r="A379" s="34" t="inlineStr">
        <is>
          <t>偷东西</t>
        </is>
      </c>
      <c r="B379" s="34" t="inlineStr">
        <is>
          <t>盗窃罪</t>
        </is>
      </c>
      <c r="C379" s="34">
        <f>IF(AND($A378&lt;&gt;"",'算罪台'!$B$4&lt;&gt;"",ISNUMBER(SEARCH($A378,'算罪台'!$B$4))),1,0)</f>
        <v/>
      </c>
      <c r="D379" s="34">
        <f>IF(AND($A378&lt;&gt;"",'算罪台'!$B$5&lt;&gt;"",ISNUMBER(SEARCH($A378,'算罪台'!$B$5))),1,0)</f>
        <v/>
      </c>
      <c r="E379" s="34">
        <f>IF(AND($A378&lt;&gt;"",'算罪台'!$B$6&lt;&gt;"",ISNUMBER(SEARCH($A378,'算罪台'!$B$6))),1,0)</f>
        <v/>
      </c>
    </row>
    <row r="380">
      <c r="A380" s="34" t="inlineStr">
        <is>
          <t>顺走</t>
        </is>
      </c>
      <c r="B380" s="34" t="inlineStr">
        <is>
          <t>盗窃罪</t>
        </is>
      </c>
      <c r="C380" s="34">
        <f>IF(AND($A379&lt;&gt;"",'算罪台'!$B$4&lt;&gt;"",ISNUMBER(SEARCH($A379,'算罪台'!$B$4))),1,0)</f>
        <v/>
      </c>
      <c r="D380" s="34">
        <f>IF(AND($A379&lt;&gt;"",'算罪台'!$B$5&lt;&gt;"",ISNUMBER(SEARCH($A379,'算罪台'!$B$5))),1,0)</f>
        <v/>
      </c>
      <c r="E380" s="34">
        <f>IF(AND($A379&lt;&gt;"",'算罪台'!$B$6&lt;&gt;"",ISNUMBER(SEARCH($A379,'算罪台'!$B$6))),1,0)</f>
        <v/>
      </c>
    </row>
    <row r="381">
      <c r="A381" s="34" t="inlineStr">
        <is>
          <t>擅自使用他人财物</t>
        </is>
      </c>
      <c r="B381" s="34" t="inlineStr">
        <is>
          <t>盗窃罪</t>
        </is>
      </c>
      <c r="C381" s="34">
        <f>IF(AND($A380&lt;&gt;"",'算罪台'!$B$4&lt;&gt;"",ISNUMBER(SEARCH($A380,'算罪台'!$B$4))),1,0)</f>
        <v/>
      </c>
      <c r="D381" s="34">
        <f>IF(AND($A380&lt;&gt;"",'算罪台'!$B$5&lt;&gt;"",ISNUMBER(SEARCH($A380,'算罪台'!$B$5))),1,0)</f>
        <v/>
      </c>
      <c r="E381" s="34">
        <f>IF(AND($A380&lt;&gt;"",'算罪台'!$B$6&lt;&gt;"",ISNUMBER(SEARCH($A380,'算罪台'!$B$6))),1,0)</f>
        <v/>
      </c>
    </row>
    <row r="382">
      <c r="A382" s="34" t="inlineStr">
        <is>
          <t>偷走</t>
        </is>
      </c>
      <c r="B382" s="34" t="inlineStr">
        <is>
          <t>盗窃罪</t>
        </is>
      </c>
      <c r="C382" s="34">
        <f>IF(AND($A381&lt;&gt;"",'算罪台'!$B$4&lt;&gt;"",ISNUMBER(SEARCH($A381,'算罪台'!$B$4))),1,0)</f>
        <v/>
      </c>
      <c r="D382" s="34">
        <f>IF(AND($A381&lt;&gt;"",'算罪台'!$B$5&lt;&gt;"",ISNUMBER(SEARCH($A381,'算罪台'!$B$5))),1,0)</f>
        <v/>
      </c>
      <c r="E382" s="34">
        <f>IF(AND($A381&lt;&gt;"",'算罪台'!$B$6&lt;&gt;"",ISNUMBER(SEARCH($A381,'算罪台'!$B$6))),1,0)</f>
        <v/>
      </c>
    </row>
    <row r="383">
      <c r="A383" s="34" t="inlineStr">
        <is>
          <t>小偷</t>
        </is>
      </c>
      <c r="B383" s="34" t="inlineStr">
        <is>
          <t>盗窃罪</t>
        </is>
      </c>
      <c r="C383" s="34">
        <f>IF(AND($A382&lt;&gt;"",'算罪台'!$B$4&lt;&gt;"",ISNUMBER(SEARCH($A382,'算罪台'!$B$4))),1,0)</f>
        <v/>
      </c>
      <c r="D383" s="34">
        <f>IF(AND($A382&lt;&gt;"",'算罪台'!$B$5&lt;&gt;"",ISNUMBER(SEARCH($A382,'算罪台'!$B$5))),1,0)</f>
        <v/>
      </c>
      <c r="E383" s="34">
        <f>IF(AND($A382&lt;&gt;"",'算罪台'!$B$6&lt;&gt;"",ISNUMBER(SEARCH($A382,'算罪台'!$B$6))),1,0)</f>
        <v/>
      </c>
    </row>
    <row r="384">
      <c r="A384" s="34" t="inlineStr">
        <is>
          <t>扒窃</t>
        </is>
      </c>
      <c r="B384" s="34" t="inlineStr">
        <is>
          <t>盗窃罪</t>
        </is>
      </c>
      <c r="C384" s="34">
        <f>IF(AND($A383&lt;&gt;"",'算罪台'!$B$4&lt;&gt;"",ISNUMBER(SEARCH($A383,'算罪台'!$B$4))),1,0)</f>
        <v/>
      </c>
      <c r="D384" s="34">
        <f>IF(AND($A383&lt;&gt;"",'算罪台'!$B$5&lt;&gt;"",ISNUMBER(SEARCH($A383,'算罪台'!$B$5))),1,0)</f>
        <v/>
      </c>
      <c r="E384" s="34">
        <f>IF(AND($A383&lt;&gt;"",'算罪台'!$B$6&lt;&gt;"",ISNUMBER(SEARCH($A383,'算罪台'!$B$6))),1,0)</f>
        <v/>
      </c>
    </row>
    <row r="385">
      <c r="A385" s="34" t="inlineStr">
        <is>
          <t>顺手牵羊</t>
        </is>
      </c>
      <c r="B385" s="34" t="inlineStr">
        <is>
          <t>盗窃罪</t>
        </is>
      </c>
      <c r="C385" s="34">
        <f>IF(AND($A384&lt;&gt;"",'算罪台'!$B$4&lt;&gt;"",ISNUMBER(SEARCH($A384,'算罪台'!$B$4))),1,0)</f>
        <v/>
      </c>
      <c r="D385" s="34">
        <f>IF(AND($A384&lt;&gt;"",'算罪台'!$B$5&lt;&gt;"",ISNUMBER(SEARCH($A384,'算罪台'!$B$5))),1,0)</f>
        <v/>
      </c>
      <c r="E385" s="34">
        <f>IF(AND($A384&lt;&gt;"",'算罪台'!$B$6&lt;&gt;"",ISNUMBER(SEARCH($A384,'算罪台'!$B$6))),1,0)</f>
        <v/>
      </c>
    </row>
    <row r="386">
      <c r="A386" s="34" t="inlineStr">
        <is>
          <t>偷拿</t>
        </is>
      </c>
      <c r="B386" s="34" t="inlineStr">
        <is>
          <t>盗窃罪</t>
        </is>
      </c>
      <c r="C386" s="34">
        <f>IF(AND($A385&lt;&gt;"",'算罪台'!$B$4&lt;&gt;"",ISNUMBER(SEARCH($A385,'算罪台'!$B$4))),1,0)</f>
        <v/>
      </c>
      <c r="D386" s="34">
        <f>IF(AND($A385&lt;&gt;"",'算罪台'!$B$5&lt;&gt;"",ISNUMBER(SEARCH($A385,'算罪台'!$B$5))),1,0)</f>
        <v/>
      </c>
      <c r="E386" s="34">
        <f>IF(AND($A385&lt;&gt;"",'算罪台'!$B$6&lt;&gt;"",ISNUMBER(SEARCH($A385,'算罪台'!$B$6))),1,0)</f>
        <v/>
      </c>
    </row>
    <row r="387">
      <c r="A387" s="34" t="inlineStr">
        <is>
          <t>偷了</t>
        </is>
      </c>
      <c r="B387" s="34" t="inlineStr">
        <is>
          <t>盗窃罪</t>
        </is>
      </c>
      <c r="C387" s="34">
        <f>IF(AND($A386&lt;&gt;"",'算罪台'!$B$4&lt;&gt;"",ISNUMBER(SEARCH($A386,'算罪台'!$B$4))),1,0)</f>
        <v/>
      </c>
      <c r="D387" s="34">
        <f>IF(AND($A386&lt;&gt;"",'算罪台'!$B$5&lt;&gt;"",ISNUMBER(SEARCH($A386,'算罪台'!$B$5))),1,0)</f>
        <v/>
      </c>
      <c r="E387" s="34">
        <f>IF(AND($A386&lt;&gt;"",'算罪台'!$B$6&lt;&gt;"",ISNUMBER(SEARCH($A386,'算罪台'!$B$6))),1,0)</f>
        <v/>
      </c>
    </row>
    <row r="388">
      <c r="A388" s="34" t="inlineStr">
        <is>
          <t>顺东西</t>
        </is>
      </c>
      <c r="B388" s="34" t="inlineStr">
        <is>
          <t>盗窃罪</t>
        </is>
      </c>
      <c r="C388" s="34">
        <f>IF(AND($A387&lt;&gt;"",'算罪台'!$B$4&lt;&gt;"",ISNUMBER(SEARCH($A387,'算罪台'!$B$4))),1,0)</f>
        <v/>
      </c>
      <c r="D388" s="34">
        <f>IF(AND($A387&lt;&gt;"",'算罪台'!$B$5&lt;&gt;"",ISNUMBER(SEARCH($A387,'算罪台'!$B$5))),1,0)</f>
        <v/>
      </c>
      <c r="E388" s="34">
        <f>IF(AND($A387&lt;&gt;"",'算罪台'!$B$6&lt;&gt;"",ISNUMBER(SEARCH($A387,'算罪台'!$B$6))),1,0)</f>
        <v/>
      </c>
    </row>
    <row r="389">
      <c r="A389" s="34" t="inlineStr">
        <is>
          <t>摸走</t>
        </is>
      </c>
      <c r="B389" s="34" t="inlineStr">
        <is>
          <t>盗窃罪</t>
        </is>
      </c>
      <c r="C389" s="34">
        <f>IF(AND($A388&lt;&gt;"",'算罪台'!$B$4&lt;&gt;"",ISNUMBER(SEARCH($A388,'算罪台'!$B$4))),1,0)</f>
        <v/>
      </c>
      <c r="D389" s="34">
        <f>IF(AND($A388&lt;&gt;"",'算罪台'!$B$5&lt;&gt;"",ISNUMBER(SEARCH($A388,'算罪台'!$B$5))),1,0)</f>
        <v/>
      </c>
      <c r="E389" s="34">
        <f>IF(AND($A388&lt;&gt;"",'算罪台'!$B$6&lt;&gt;"",ISNUMBER(SEARCH($A388,'算罪台'!$B$6))),1,0)</f>
        <v/>
      </c>
    </row>
    <row r="390">
      <c r="A390" s="34" t="inlineStr">
        <is>
          <t>偷摸</t>
        </is>
      </c>
      <c r="B390" s="34" t="inlineStr">
        <is>
          <t>盗窃罪</t>
        </is>
      </c>
      <c r="C390" s="34">
        <f>IF(AND($A389&lt;&gt;"",'算罪台'!$B$4&lt;&gt;"",ISNUMBER(SEARCH($A389,'算罪台'!$B$4))),1,0)</f>
        <v/>
      </c>
      <c r="D390" s="34">
        <f>IF(AND($A389&lt;&gt;"",'算罪台'!$B$5&lt;&gt;"",ISNUMBER(SEARCH($A389,'算罪台'!$B$5))),1,0)</f>
        <v/>
      </c>
      <c r="E390" s="34">
        <f>IF(AND($A389&lt;&gt;"",'算罪台'!$B$6&lt;&gt;"",ISNUMBER(SEARCH($A389,'算罪台'!$B$6))),1,0)</f>
        <v/>
      </c>
    </row>
    <row r="391">
      <c r="A391" s="34" t="inlineStr">
        <is>
          <t>偷拿东西</t>
        </is>
      </c>
      <c r="B391" s="34" t="inlineStr">
        <is>
          <t>盗窃罪</t>
        </is>
      </c>
      <c r="C391" s="34">
        <f>IF(AND($A390&lt;&gt;"",'算罪台'!$B$4&lt;&gt;"",ISNUMBER(SEARCH($A390,'算罪台'!$B$4))),1,0)</f>
        <v/>
      </c>
      <c r="D391" s="34">
        <f>IF(AND($A390&lt;&gt;"",'算罪台'!$B$5&lt;&gt;"",ISNUMBER(SEARCH($A390,'算罪台'!$B$5))),1,0)</f>
        <v/>
      </c>
      <c r="E391" s="34">
        <f>IF(AND($A390&lt;&gt;"",'算罪台'!$B$6&lt;&gt;"",ISNUMBER(SEARCH($A390,'算罪台'!$B$6))),1,0)</f>
        <v/>
      </c>
    </row>
    <row r="392">
      <c r="A392" s="34" t="inlineStr">
        <is>
          <t>小偷小摸</t>
        </is>
      </c>
      <c r="B392" s="34" t="inlineStr">
        <is>
          <t>盗窃罪</t>
        </is>
      </c>
      <c r="C392" s="34">
        <f>IF(AND($A391&lt;&gt;"",'算罪台'!$B$4&lt;&gt;"",ISNUMBER(SEARCH($A391,'算罪台'!$B$4))),1,0)</f>
        <v/>
      </c>
      <c r="D392" s="34">
        <f>IF(AND($A391&lt;&gt;"",'算罪台'!$B$5&lt;&gt;"",ISNUMBER(SEARCH($A391,'算罪台'!$B$5))),1,0)</f>
        <v/>
      </c>
      <c r="E392" s="34">
        <f>IF(AND($A391&lt;&gt;"",'算罪台'!$B$6&lt;&gt;"",ISNUMBER(SEARCH($A391,'算罪台'!$B$6))),1,0)</f>
        <v/>
      </c>
    </row>
    <row r="393">
      <c r="A393" s="34" t="inlineStr">
        <is>
          <t>顺手拿走</t>
        </is>
      </c>
      <c r="B393" s="34" t="inlineStr">
        <is>
          <t>盗窃罪</t>
        </is>
      </c>
      <c r="C393" s="34">
        <f>IF(AND($A392&lt;&gt;"",'算罪台'!$B$4&lt;&gt;"",ISNUMBER(SEARCH($A392,'算罪台'!$B$4))),1,0)</f>
        <v/>
      </c>
      <c r="D393" s="34">
        <f>IF(AND($A392&lt;&gt;"",'算罪台'!$B$5&lt;&gt;"",ISNUMBER(SEARCH($A392,'算罪台'!$B$5))),1,0)</f>
        <v/>
      </c>
      <c r="E393" s="34">
        <f>IF(AND($A392&lt;&gt;"",'算罪台'!$B$6&lt;&gt;"",ISNUMBER(SEARCH($A392,'算罪台'!$B$6))),1,0)</f>
        <v/>
      </c>
    </row>
    <row r="394">
      <c r="A394" s="34" t="inlineStr">
        <is>
          <t>薅走</t>
        </is>
      </c>
      <c r="B394" s="34" t="inlineStr">
        <is>
          <t>盗窃罪</t>
        </is>
      </c>
      <c r="C394" s="34">
        <f>IF(AND($A393&lt;&gt;"",'算罪台'!$B$4&lt;&gt;"",ISNUMBER(SEARCH($A393,'算罪台'!$B$4))),1,0)</f>
        <v/>
      </c>
      <c r="D394" s="34">
        <f>IF(AND($A393&lt;&gt;"",'算罪台'!$B$5&lt;&gt;"",ISNUMBER(SEARCH($A393,'算罪台'!$B$5))),1,0)</f>
        <v/>
      </c>
      <c r="E394" s="34">
        <f>IF(AND($A393&lt;&gt;"",'算罪台'!$B$6&lt;&gt;"",ISNUMBER(SEARCH($A393,'算罪台'!$B$6))),1,0)</f>
        <v/>
      </c>
    </row>
    <row r="395">
      <c r="A395" s="34" t="inlineStr">
        <is>
          <t>拿走不还</t>
        </is>
      </c>
      <c r="B395" s="34" t="inlineStr">
        <is>
          <t>盗窃罪</t>
        </is>
      </c>
      <c r="C395" s="34">
        <f>IF(AND($A394&lt;&gt;"",'算罪台'!$B$4&lt;&gt;"",ISNUMBER(SEARCH($A394,'算罪台'!$B$4))),1,0)</f>
        <v/>
      </c>
      <c r="D395" s="34">
        <f>IF(AND($A394&lt;&gt;"",'算罪台'!$B$5&lt;&gt;"",ISNUMBER(SEARCH($A394,'算罪台'!$B$5))),1,0)</f>
        <v/>
      </c>
      <c r="E395" s="34">
        <f>IF(AND($A394&lt;&gt;"",'算罪台'!$B$6&lt;&gt;"",ISNUMBER(SEARCH($A394,'算罪台'!$B$6))),1,0)</f>
        <v/>
      </c>
    </row>
    <row r="396">
      <c r="A396" s="34" t="inlineStr">
        <is>
          <t>偷偷拿走</t>
        </is>
      </c>
      <c r="B396" s="34" t="inlineStr">
        <is>
          <t>盗窃罪</t>
        </is>
      </c>
      <c r="C396" s="34">
        <f>IF(AND($A395&lt;&gt;"",'算罪台'!$B$4&lt;&gt;"",ISNUMBER(SEARCH($A395,'算罪台'!$B$4))),1,0)</f>
        <v/>
      </c>
      <c r="D396" s="34">
        <f>IF(AND($A395&lt;&gt;"",'算罪台'!$B$5&lt;&gt;"",ISNUMBER(SEARCH($A395,'算罪台'!$B$5))),1,0)</f>
        <v/>
      </c>
      <c r="E396" s="34">
        <f>IF(AND($A395&lt;&gt;"",'算罪台'!$B$6&lt;&gt;"",ISNUMBER(SEARCH($A395,'算罪台'!$B$6))),1,0)</f>
        <v/>
      </c>
    </row>
    <row r="397">
      <c r="A397" s="34" t="inlineStr">
        <is>
          <t>扒手</t>
        </is>
      </c>
      <c r="B397" s="34" t="inlineStr">
        <is>
          <t>盗窃罪</t>
        </is>
      </c>
      <c r="C397" s="34">
        <f>IF(AND($A396&lt;&gt;"",'算罪台'!$B$4&lt;&gt;"",ISNUMBER(SEARCH($A396,'算罪台'!$B$4))),1,0)</f>
        <v/>
      </c>
      <c r="D397" s="34">
        <f>IF(AND($A396&lt;&gt;"",'算罪台'!$B$5&lt;&gt;"",ISNUMBER(SEARCH($A396,'算罪台'!$B$5))),1,0)</f>
        <v/>
      </c>
      <c r="E397" s="34">
        <f>IF(AND($A396&lt;&gt;"",'算罪台'!$B$6&lt;&gt;"",ISNUMBER(SEARCH($A396,'算罪台'!$B$6))),1,0)</f>
        <v/>
      </c>
    </row>
    <row r="398">
      <c r="A398" s="34" t="inlineStr">
        <is>
          <t>偷窃财物</t>
        </is>
      </c>
      <c r="B398" s="34" t="inlineStr">
        <is>
          <t>盗窃罪</t>
        </is>
      </c>
      <c r="C398" s="34">
        <f>IF(AND($A397&lt;&gt;"",'算罪台'!$B$4&lt;&gt;"",ISNUMBER(SEARCH($A397,'算罪台'!$B$4))),1,0)</f>
        <v/>
      </c>
      <c r="D398" s="34">
        <f>IF(AND($A397&lt;&gt;"",'算罪台'!$B$5&lt;&gt;"",ISNUMBER(SEARCH($A397,'算罪台'!$B$5))),1,0)</f>
        <v/>
      </c>
      <c r="E398" s="34">
        <f>IF(AND($A397&lt;&gt;"",'算罪台'!$B$6&lt;&gt;"",ISNUMBER(SEARCH($A397,'算罪台'!$B$6))),1,0)</f>
        <v/>
      </c>
    </row>
    <row r="399">
      <c r="A399" s="34" t="inlineStr">
        <is>
          <t>行窃</t>
        </is>
      </c>
      <c r="B399" s="34" t="inlineStr">
        <is>
          <t>盗窃罪</t>
        </is>
      </c>
      <c r="C399" s="34">
        <f>IF(AND($A398&lt;&gt;"",'算罪台'!$B$4&lt;&gt;"",ISNUMBER(SEARCH($A398,'算罪台'!$B$4))),1,0)</f>
        <v/>
      </c>
      <c r="D399" s="34">
        <f>IF(AND($A398&lt;&gt;"",'算罪台'!$B$5&lt;&gt;"",ISNUMBER(SEARCH($A398,'算罪台'!$B$5))),1,0)</f>
        <v/>
      </c>
      <c r="E399" s="34">
        <f>IF(AND($A398&lt;&gt;"",'算罪台'!$B$6&lt;&gt;"",ISNUMBER(SEARCH($A398,'算罪台'!$B$6))),1,0)</f>
        <v/>
      </c>
    </row>
    <row r="400">
      <c r="A400" s="34" t="inlineStr">
        <is>
          <t>盗取</t>
        </is>
      </c>
      <c r="B400" s="34" t="inlineStr">
        <is>
          <t>盗窃罪</t>
        </is>
      </c>
      <c r="C400" s="34">
        <f>IF(AND($A399&lt;&gt;"",'算罪台'!$B$4&lt;&gt;"",ISNUMBER(SEARCH($A399,'算罪台'!$B$4))),1,0)</f>
        <v/>
      </c>
      <c r="D400" s="34">
        <f>IF(AND($A399&lt;&gt;"",'算罪台'!$B$5&lt;&gt;"",ISNUMBER(SEARCH($A399,'算罪台'!$B$5))),1,0)</f>
        <v/>
      </c>
      <c r="E400" s="34">
        <f>IF(AND($A399&lt;&gt;"",'算罪台'!$B$6&lt;&gt;"",ISNUMBER(SEARCH($A399,'算罪台'!$B$6))),1,0)</f>
        <v/>
      </c>
    </row>
    <row r="401">
      <c r="A401" s="34" t="inlineStr">
        <is>
          <t>趁机偷</t>
        </is>
      </c>
      <c r="B401" s="34" t="inlineStr">
        <is>
          <t>盗窃罪</t>
        </is>
      </c>
      <c r="C401" s="34">
        <f>IF(AND($A400&lt;&gt;"",'算罪台'!$B$4&lt;&gt;"",ISNUMBER(SEARCH($A400,'算罪台'!$B$4))),1,0)</f>
        <v/>
      </c>
      <c r="D401" s="34">
        <f>IF(AND($A400&lt;&gt;"",'算罪台'!$B$5&lt;&gt;"",ISNUMBER(SEARCH($A400,'算罪台'!$B$5))),1,0)</f>
        <v/>
      </c>
      <c r="E401" s="34">
        <f>IF(AND($A400&lt;&gt;"",'算罪台'!$B$6&lt;&gt;"",ISNUMBER(SEARCH($A400,'算罪台'!$B$6))),1,0)</f>
        <v/>
      </c>
    </row>
    <row r="402">
      <c r="A402" s="34" t="inlineStr">
        <is>
          <t>偷拿财物</t>
        </is>
      </c>
      <c r="B402" s="34" t="inlineStr">
        <is>
          <t>盗窃罪</t>
        </is>
      </c>
      <c r="C402" s="34">
        <f>IF(AND($A401&lt;&gt;"",'算罪台'!$B$4&lt;&gt;"",ISNUMBER(SEARCH($A401,'算罪台'!$B$4))),1,0)</f>
        <v/>
      </c>
      <c r="D402" s="34">
        <f>IF(AND($A401&lt;&gt;"",'算罪台'!$B$5&lt;&gt;"",ISNUMBER(SEARCH($A401,'算罪台'!$B$5))),1,0)</f>
        <v/>
      </c>
      <c r="E402" s="34">
        <f>IF(AND($A401&lt;&gt;"",'算罪台'!$B$6&lt;&gt;"",ISNUMBER(SEARCH($A401,'算罪台'!$B$6))),1,0)</f>
        <v/>
      </c>
    </row>
    <row r="403">
      <c r="A403" s="34" t="inlineStr">
        <is>
          <t>窃取</t>
        </is>
      </c>
      <c r="B403" s="34" t="inlineStr">
        <is>
          <t>盗窃罪</t>
        </is>
      </c>
      <c r="C403" s="34">
        <f>IF(AND($A402&lt;&gt;"",'算罪台'!$B$4&lt;&gt;"",ISNUMBER(SEARCH($A402,'算罪台'!$B$4))),1,0)</f>
        <v/>
      </c>
      <c r="D403" s="34">
        <f>IF(AND($A402&lt;&gt;"",'算罪台'!$B$5&lt;&gt;"",ISNUMBER(SEARCH($A402,'算罪台'!$B$5))),1,0)</f>
        <v/>
      </c>
      <c r="E403" s="34">
        <f>IF(AND($A402&lt;&gt;"",'算罪台'!$B$6&lt;&gt;"",ISNUMBER(SEARCH($A402,'算罪台'!$B$6))),1,0)</f>
        <v/>
      </c>
    </row>
    <row r="404">
      <c r="A404" s="34" t="inlineStr">
        <is>
          <t>偷盗财物</t>
        </is>
      </c>
      <c r="B404" s="34" t="inlineStr">
        <is>
          <t>盗窃罪</t>
        </is>
      </c>
      <c r="C404" s="34">
        <f>IF(AND($A403&lt;&gt;"",'算罪台'!$B$4&lt;&gt;"",ISNUMBER(SEARCH($A403,'算罪台'!$B$4))),1,0)</f>
        <v/>
      </c>
      <c r="D404" s="34">
        <f>IF(AND($A403&lt;&gt;"",'算罪台'!$B$5&lt;&gt;"",ISNUMBER(SEARCH($A403,'算罪台'!$B$5))),1,0)</f>
        <v/>
      </c>
      <c r="E404" s="34">
        <f>IF(AND($A403&lt;&gt;"",'算罪台'!$B$6&lt;&gt;"",ISNUMBER(SEARCH($A403,'算罪台'!$B$6))),1,0)</f>
        <v/>
      </c>
    </row>
    <row r="405">
      <c r="A405" s="34" t="inlineStr">
        <is>
          <t>盗窃他人</t>
        </is>
      </c>
      <c r="B405" s="34" t="inlineStr">
        <is>
          <t>盗窃罪</t>
        </is>
      </c>
      <c r="C405" s="34">
        <f>IF(AND($A404&lt;&gt;"",'算罪台'!$B$4&lt;&gt;"",ISNUMBER(SEARCH($A404,'算罪台'!$B$4))),1,0)</f>
        <v/>
      </c>
      <c r="D405" s="34">
        <f>IF(AND($A404&lt;&gt;"",'算罪台'!$B$5&lt;&gt;"",ISNUMBER(SEARCH($A404,'算罪台'!$B$5))),1,0)</f>
        <v/>
      </c>
      <c r="E405" s="34">
        <f>IF(AND($A404&lt;&gt;"",'算罪台'!$B$6&lt;&gt;"",ISNUMBER(SEARCH($A404,'算罪台'!$B$6))),1,0)</f>
        <v/>
      </c>
    </row>
    <row r="406">
      <c r="A406" s="34" t="inlineStr">
        <is>
          <t>盗窃车辆</t>
        </is>
      </c>
      <c r="B406" s="34" t="inlineStr">
        <is>
          <t>盗窃车辆罪</t>
        </is>
      </c>
      <c r="C406" s="34">
        <f>IF(AND($A405&lt;&gt;"",'算罪台'!$B$4&lt;&gt;"",ISNUMBER(SEARCH($A405,'算罪台'!$B$4))),1,0)</f>
        <v/>
      </c>
      <c r="D406" s="34">
        <f>IF(AND($A405&lt;&gt;"",'算罪台'!$B$5&lt;&gt;"",ISNUMBER(SEARCH($A405,'算罪台'!$B$5))),1,0)</f>
        <v/>
      </c>
      <c r="E406" s="34">
        <f>IF(AND($A405&lt;&gt;"",'算罪台'!$B$6&lt;&gt;"",ISNUMBER(SEARCH($A405,'算罪台'!$B$6))),1,0)</f>
        <v/>
      </c>
    </row>
    <row r="407">
      <c r="A407" s="34" t="inlineStr">
        <is>
          <t>偷车</t>
        </is>
      </c>
      <c r="B407" s="34" t="inlineStr">
        <is>
          <t>盗窃车辆罪</t>
        </is>
      </c>
      <c r="C407" s="34">
        <f>IF(AND($A406&lt;&gt;"",'算罪台'!$B$4&lt;&gt;"",ISNUMBER(SEARCH($A406,'算罪台'!$B$4))),1,0)</f>
        <v/>
      </c>
      <c r="D407" s="34">
        <f>IF(AND($A406&lt;&gt;"",'算罪台'!$B$5&lt;&gt;"",ISNUMBER(SEARCH($A406,'算罪台'!$B$5))),1,0)</f>
        <v/>
      </c>
      <c r="E407" s="34">
        <f>IF(AND($A406&lt;&gt;"",'算罪台'!$B$6&lt;&gt;"",ISNUMBER(SEARCH($A406,'算罪台'!$B$6))),1,0)</f>
        <v/>
      </c>
    </row>
    <row r="408">
      <c r="A408" s="34" t="inlineStr">
        <is>
          <t>偷公务车</t>
        </is>
      </c>
      <c r="B408" s="34" t="inlineStr">
        <is>
          <t>盗窃车辆罪</t>
        </is>
      </c>
      <c r="C408" s="34">
        <f>IF(AND($A407&lt;&gt;"",'算罪台'!$B$4&lt;&gt;"",ISNUMBER(SEARCH($A407,'算罪台'!$B$4))),1,0)</f>
        <v/>
      </c>
      <c r="D408" s="34">
        <f>IF(AND($A407&lt;&gt;"",'算罪台'!$B$5&lt;&gt;"",ISNUMBER(SEARCH($A407,'算罪台'!$B$5))),1,0)</f>
        <v/>
      </c>
      <c r="E408" s="34">
        <f>IF(AND($A407&lt;&gt;"",'算罪台'!$B$6&lt;&gt;"",ISNUMBER(SEARCH($A407,'算罪台'!$B$6))),1,0)</f>
        <v/>
      </c>
    </row>
    <row r="409">
      <c r="A409" s="34" t="inlineStr">
        <is>
          <t>开走他人车</t>
        </is>
      </c>
      <c r="B409" s="34" t="inlineStr">
        <is>
          <t>盗窃车辆罪</t>
        </is>
      </c>
      <c r="C409" s="34">
        <f>IF(AND($A408&lt;&gt;"",'算罪台'!$B$4&lt;&gt;"",ISNUMBER(SEARCH($A408,'算罪台'!$B$4))),1,0)</f>
        <v/>
      </c>
      <c r="D409" s="34">
        <f>IF(AND($A408&lt;&gt;"",'算罪台'!$B$5&lt;&gt;"",ISNUMBER(SEARCH($A408,'算罪台'!$B$5))),1,0)</f>
        <v/>
      </c>
      <c r="E409" s="34">
        <f>IF(AND($A408&lt;&gt;"",'算罪台'!$B$6&lt;&gt;"",ISNUMBER(SEARCH($A408,'算罪台'!$B$6))),1,0)</f>
        <v/>
      </c>
    </row>
    <row r="410">
      <c r="A410" s="34" t="inlineStr">
        <is>
          <t>擅自开走</t>
        </is>
      </c>
      <c r="B410" s="34" t="inlineStr">
        <is>
          <t>盗窃车辆罪</t>
        </is>
      </c>
      <c r="C410" s="34">
        <f>IF(AND($A409&lt;&gt;"",'算罪台'!$B$4&lt;&gt;"",ISNUMBER(SEARCH($A409,'算罪台'!$B$4))),1,0)</f>
        <v/>
      </c>
      <c r="D410" s="34">
        <f>IF(AND($A409&lt;&gt;"",'算罪台'!$B$5&lt;&gt;"",ISNUMBER(SEARCH($A409,'算罪台'!$B$5))),1,0)</f>
        <v/>
      </c>
      <c r="E410" s="34">
        <f>IF(AND($A409&lt;&gt;"",'算罪台'!$B$6&lt;&gt;"",ISNUMBER(SEARCH($A409,'算罪台'!$B$6))),1,0)</f>
        <v/>
      </c>
    </row>
    <row r="411">
      <c r="A411" s="34" t="inlineStr">
        <is>
          <t>顺走车</t>
        </is>
      </c>
      <c r="B411" s="34" t="inlineStr">
        <is>
          <t>盗窃车辆罪</t>
        </is>
      </c>
      <c r="C411" s="34">
        <f>IF(AND($A410&lt;&gt;"",'算罪台'!$B$4&lt;&gt;"",ISNUMBER(SEARCH($A410,'算罪台'!$B$4))),1,0)</f>
        <v/>
      </c>
      <c r="D411" s="34">
        <f>IF(AND($A410&lt;&gt;"",'算罪台'!$B$5&lt;&gt;"",ISNUMBER(SEARCH($A410,'算罪台'!$B$5))),1,0)</f>
        <v/>
      </c>
      <c r="E411" s="34">
        <f>IF(AND($A410&lt;&gt;"",'算罪台'!$B$6&lt;&gt;"",ISNUMBER(SEARCH($A410,'算罪台'!$B$6))),1,0)</f>
        <v/>
      </c>
    </row>
    <row r="412">
      <c r="A412" s="34" t="inlineStr">
        <is>
          <t>撬车</t>
        </is>
      </c>
      <c r="B412" s="34" t="inlineStr">
        <is>
          <t>盗窃车辆罪</t>
        </is>
      </c>
      <c r="C412" s="34">
        <f>IF(AND($A411&lt;&gt;"",'算罪台'!$B$4&lt;&gt;"",ISNUMBER(SEARCH($A411,'算罪台'!$B$4))),1,0)</f>
        <v/>
      </c>
      <c r="D412" s="34">
        <f>IF(AND($A411&lt;&gt;"",'算罪台'!$B$5&lt;&gt;"",ISNUMBER(SEARCH($A411,'算罪台'!$B$5))),1,0)</f>
        <v/>
      </c>
      <c r="E412" s="34">
        <f>IF(AND($A411&lt;&gt;"",'算罪台'!$B$6&lt;&gt;"",ISNUMBER(SEARCH($A411,'算罪台'!$B$6))),1,0)</f>
        <v/>
      </c>
    </row>
    <row r="413">
      <c r="A413" s="34" t="inlineStr">
        <is>
          <t>把车开走</t>
        </is>
      </c>
      <c r="B413" s="34" t="inlineStr">
        <is>
          <t>盗窃车辆罪</t>
        </is>
      </c>
      <c r="C413" s="34">
        <f>IF(AND($A412&lt;&gt;"",'算罪台'!$B$4&lt;&gt;"",ISNUMBER(SEARCH($A412,'算罪台'!$B$4))),1,0)</f>
        <v/>
      </c>
      <c r="D413" s="34">
        <f>IF(AND($A412&lt;&gt;"",'算罪台'!$B$5&lt;&gt;"",ISNUMBER(SEARCH($A412,'算罪台'!$B$5))),1,0)</f>
        <v/>
      </c>
      <c r="E413" s="34">
        <f>IF(AND($A412&lt;&gt;"",'算罪台'!$B$6&lt;&gt;"",ISNUMBER(SEARCH($A412,'算罪台'!$B$6))),1,0)</f>
        <v/>
      </c>
    </row>
    <row r="414">
      <c r="A414" s="34" t="inlineStr">
        <is>
          <t>偷了车</t>
        </is>
      </c>
      <c r="B414" s="34" t="inlineStr">
        <is>
          <t>盗窃车辆罪</t>
        </is>
      </c>
      <c r="C414" s="34">
        <f>IF(AND($A413&lt;&gt;"",'算罪台'!$B$4&lt;&gt;"",ISNUMBER(SEARCH($A413,'算罪台'!$B$4))),1,0)</f>
        <v/>
      </c>
      <c r="D414" s="34">
        <f>IF(AND($A413&lt;&gt;"",'算罪台'!$B$5&lt;&gt;"",ISNUMBER(SEARCH($A413,'算罪台'!$B$5))),1,0)</f>
        <v/>
      </c>
      <c r="E414" s="34">
        <f>IF(AND($A413&lt;&gt;"",'算罪台'!$B$6&lt;&gt;"",ISNUMBER(SEARCH($A413,'算罪台'!$B$6))),1,0)</f>
        <v/>
      </c>
    </row>
    <row r="415">
      <c r="A415" s="34" t="inlineStr">
        <is>
          <t>把车开跑</t>
        </is>
      </c>
      <c r="B415" s="34" t="inlineStr">
        <is>
          <t>盗窃车辆罪</t>
        </is>
      </c>
      <c r="C415" s="34">
        <f>IF(AND($A414&lt;&gt;"",'算罪台'!$B$4&lt;&gt;"",ISNUMBER(SEARCH($A414,'算罪台'!$B$4))),1,0)</f>
        <v/>
      </c>
      <c r="D415" s="34">
        <f>IF(AND($A414&lt;&gt;"",'算罪台'!$B$5&lt;&gt;"",ISNUMBER(SEARCH($A414,'算罪台'!$B$5))),1,0)</f>
        <v/>
      </c>
      <c r="E415" s="34">
        <f>IF(AND($A414&lt;&gt;"",'算罪台'!$B$6&lt;&gt;"",ISNUMBER(SEARCH($A414,'算罪台'!$B$6))),1,0)</f>
        <v/>
      </c>
    </row>
    <row r="416">
      <c r="A416" s="34" t="inlineStr">
        <is>
          <t>顺车</t>
        </is>
      </c>
      <c r="B416" s="34" t="inlineStr">
        <is>
          <t>盗窃车辆罪</t>
        </is>
      </c>
      <c r="C416" s="34">
        <f>IF(AND($A415&lt;&gt;"",'算罪台'!$B$4&lt;&gt;"",ISNUMBER(SEARCH($A415,'算罪台'!$B$4))),1,0)</f>
        <v/>
      </c>
      <c r="D416" s="34">
        <f>IF(AND($A415&lt;&gt;"",'算罪台'!$B$5&lt;&gt;"",ISNUMBER(SEARCH($A415,'算罪台'!$B$5))),1,0)</f>
        <v/>
      </c>
      <c r="E416" s="34">
        <f>IF(AND($A415&lt;&gt;"",'算罪台'!$B$6&lt;&gt;"",ISNUMBER(SEARCH($A415,'算罪台'!$B$6))),1,0)</f>
        <v/>
      </c>
    </row>
    <row r="417">
      <c r="A417" s="34" t="inlineStr">
        <is>
          <t>撬车偷开</t>
        </is>
      </c>
      <c r="B417" s="34" t="inlineStr">
        <is>
          <t>盗窃车辆罪</t>
        </is>
      </c>
      <c r="C417" s="34">
        <f>IF(AND($A416&lt;&gt;"",'算罪台'!$B$4&lt;&gt;"",ISNUMBER(SEARCH($A416,'算罪台'!$B$4))),1,0)</f>
        <v/>
      </c>
      <c r="D417" s="34">
        <f>IF(AND($A416&lt;&gt;"",'算罪台'!$B$5&lt;&gt;"",ISNUMBER(SEARCH($A416,'算罪台'!$B$5))),1,0)</f>
        <v/>
      </c>
      <c r="E417" s="34">
        <f>IF(AND($A416&lt;&gt;"",'算罪台'!$B$6&lt;&gt;"",ISNUMBER(SEARCH($A416,'算罪台'!$B$6))),1,0)</f>
        <v/>
      </c>
    </row>
    <row r="418">
      <c r="A418" s="34" t="inlineStr">
        <is>
          <t>顺走摩托</t>
        </is>
      </c>
      <c r="B418" s="34" t="inlineStr">
        <is>
          <t>盗窃车辆罪</t>
        </is>
      </c>
      <c r="C418" s="34">
        <f>IF(AND($A417&lt;&gt;"",'算罪台'!$B$4&lt;&gt;"",ISNUMBER(SEARCH($A417,'算罪台'!$B$4))),1,0)</f>
        <v/>
      </c>
      <c r="D418" s="34">
        <f>IF(AND($A417&lt;&gt;"",'算罪台'!$B$5&lt;&gt;"",ISNUMBER(SEARCH($A417,'算罪台'!$B$5))),1,0)</f>
        <v/>
      </c>
      <c r="E418" s="34">
        <f>IF(AND($A417&lt;&gt;"",'算罪台'!$B$6&lt;&gt;"",ISNUMBER(SEARCH($A417,'算罪台'!$B$6))),1,0)</f>
        <v/>
      </c>
    </row>
    <row r="419">
      <c r="A419" s="34" t="inlineStr">
        <is>
          <t>偷电动车</t>
        </is>
      </c>
      <c r="B419" s="34" t="inlineStr">
        <is>
          <t>盗窃车辆罪</t>
        </is>
      </c>
      <c r="C419" s="34">
        <f>IF(AND($A418&lt;&gt;"",'算罪台'!$B$4&lt;&gt;"",ISNUMBER(SEARCH($A418,'算罪台'!$B$4))),1,0)</f>
        <v/>
      </c>
      <c r="D419" s="34">
        <f>IF(AND($A418&lt;&gt;"",'算罪台'!$B$5&lt;&gt;"",ISNUMBER(SEARCH($A418,'算罪台'!$B$5))),1,0)</f>
        <v/>
      </c>
      <c r="E419" s="34">
        <f>IF(AND($A418&lt;&gt;"",'算罪台'!$B$6&lt;&gt;"",ISNUMBER(SEARCH($A418,'算罪台'!$B$6))),1,0)</f>
        <v/>
      </c>
    </row>
    <row r="420">
      <c r="A420" s="34" t="inlineStr">
        <is>
          <t>开别人车跑</t>
        </is>
      </c>
      <c r="B420" s="34" t="inlineStr">
        <is>
          <t>盗窃车辆罪</t>
        </is>
      </c>
      <c r="C420" s="34">
        <f>IF(AND($A419&lt;&gt;"",'算罪台'!$B$4&lt;&gt;"",ISNUMBER(SEARCH($A419,'算罪台'!$B$4))),1,0)</f>
        <v/>
      </c>
      <c r="D420" s="34">
        <f>IF(AND($A419&lt;&gt;"",'算罪台'!$B$5&lt;&gt;"",ISNUMBER(SEARCH($A419,'算罪台'!$B$5))),1,0)</f>
        <v/>
      </c>
      <c r="E420" s="34">
        <f>IF(AND($A419&lt;&gt;"",'算罪台'!$B$6&lt;&gt;"",ISNUMBER(SEARCH($A419,'算罪台'!$B$6))),1,0)</f>
        <v/>
      </c>
    </row>
    <row r="421">
      <c r="A421" s="34" t="inlineStr">
        <is>
          <t>顺辆车</t>
        </is>
      </c>
      <c r="B421" s="34" t="inlineStr">
        <is>
          <t>盗窃车辆罪</t>
        </is>
      </c>
      <c r="C421" s="34">
        <f>IF(AND($A420&lt;&gt;"",'算罪台'!$B$4&lt;&gt;"",ISNUMBER(SEARCH($A420,'算罪台'!$B$4))),1,0)</f>
        <v/>
      </c>
      <c r="D421" s="34">
        <f>IF(AND($A420&lt;&gt;"",'算罪台'!$B$5&lt;&gt;"",ISNUMBER(SEARCH($A420,'算罪台'!$B$5))),1,0)</f>
        <v/>
      </c>
      <c r="E421" s="34">
        <f>IF(AND($A420&lt;&gt;"",'算罪台'!$B$6&lt;&gt;"",ISNUMBER(SEARCH($A420,'算罪台'!$B$6))),1,0)</f>
        <v/>
      </c>
    </row>
    <row r="422">
      <c r="A422" s="34" t="inlineStr">
        <is>
          <t>偷骑摩托</t>
        </is>
      </c>
      <c r="B422" s="34" t="inlineStr">
        <is>
          <t>盗窃车辆罪</t>
        </is>
      </c>
      <c r="C422" s="34">
        <f>IF(AND($A421&lt;&gt;"",'算罪台'!$B$4&lt;&gt;"",ISNUMBER(SEARCH($A421,'算罪台'!$B$4))),1,0)</f>
        <v/>
      </c>
      <c r="D422" s="34">
        <f>IF(AND($A421&lt;&gt;"",'算罪台'!$B$5&lt;&gt;"",ISNUMBER(SEARCH($A421,'算罪台'!$B$5))),1,0)</f>
        <v/>
      </c>
      <c r="E422" s="34">
        <f>IF(AND($A421&lt;&gt;"",'算罪台'!$B$6&lt;&gt;"",ISNUMBER(SEARCH($A421,'算罪台'!$B$6))),1,0)</f>
        <v/>
      </c>
    </row>
    <row r="423">
      <c r="A423" s="34" t="inlineStr">
        <is>
          <t>盗车</t>
        </is>
      </c>
      <c r="B423" s="34" t="inlineStr">
        <is>
          <t>盗窃车辆罪</t>
        </is>
      </c>
      <c r="C423" s="34">
        <f>IF(AND($A422&lt;&gt;"",'算罪台'!$B$4&lt;&gt;"",ISNUMBER(SEARCH($A422,'算罪台'!$B$4))),1,0)</f>
        <v/>
      </c>
      <c r="D423" s="34">
        <f>IF(AND($A422&lt;&gt;"",'算罪台'!$B$5&lt;&gt;"",ISNUMBER(SEARCH($A422,'算罪台'!$B$5))),1,0)</f>
        <v/>
      </c>
      <c r="E423" s="34">
        <f>IF(AND($A422&lt;&gt;"",'算罪台'!$B$6&lt;&gt;"",ISNUMBER(SEARCH($A422,'算罪台'!$B$6))),1,0)</f>
        <v/>
      </c>
    </row>
    <row r="424">
      <c r="A424" s="34" t="inlineStr">
        <is>
          <t>偷盗车辆</t>
        </is>
      </c>
      <c r="B424" s="34" t="inlineStr">
        <is>
          <t>盗窃车辆罪</t>
        </is>
      </c>
      <c r="C424" s="34">
        <f>IF(AND($A423&lt;&gt;"",'算罪台'!$B$4&lt;&gt;"",ISNUMBER(SEARCH($A423,'算罪台'!$B$4))),1,0)</f>
        <v/>
      </c>
      <c r="D424" s="34">
        <f>IF(AND($A423&lt;&gt;"",'算罪台'!$B$5&lt;&gt;"",ISNUMBER(SEARCH($A423,'算罪台'!$B$5))),1,0)</f>
        <v/>
      </c>
      <c r="E424" s="34">
        <f>IF(AND($A423&lt;&gt;"",'算罪台'!$B$6&lt;&gt;"",ISNUMBER(SEARCH($A423,'算罪台'!$B$6))),1,0)</f>
        <v/>
      </c>
    </row>
    <row r="425">
      <c r="A425" s="34" t="inlineStr">
        <is>
          <t>开走车辆</t>
        </is>
      </c>
      <c r="B425" s="34" t="inlineStr">
        <is>
          <t>盗窃车辆罪</t>
        </is>
      </c>
      <c r="C425" s="34">
        <f>IF(AND($A424&lt;&gt;"",'算罪台'!$B$4&lt;&gt;"",ISNUMBER(SEARCH($A424,'算罪台'!$B$4))),1,0)</f>
        <v/>
      </c>
      <c r="D425" s="34">
        <f>IF(AND($A424&lt;&gt;"",'算罪台'!$B$5&lt;&gt;"",ISNUMBER(SEARCH($A424,'算罪台'!$B$5))),1,0)</f>
        <v/>
      </c>
      <c r="E425" s="34">
        <f>IF(AND($A424&lt;&gt;"",'算罪台'!$B$6&lt;&gt;"",ISNUMBER(SEARCH($A424,'算罪台'!$B$6))),1,0)</f>
        <v/>
      </c>
    </row>
    <row r="426">
      <c r="A426" s="34" t="inlineStr">
        <is>
          <t>擅自开车</t>
        </is>
      </c>
      <c r="B426" s="34" t="inlineStr">
        <is>
          <t>盗窃车辆罪</t>
        </is>
      </c>
      <c r="C426" s="34">
        <f>IF(AND($A425&lt;&gt;"",'算罪台'!$B$4&lt;&gt;"",ISNUMBER(SEARCH($A425,'算罪台'!$B$4))),1,0)</f>
        <v/>
      </c>
      <c r="D426" s="34">
        <f>IF(AND($A425&lt;&gt;"",'算罪台'!$B$5&lt;&gt;"",ISNUMBER(SEARCH($A425,'算罪台'!$B$5))),1,0)</f>
        <v/>
      </c>
      <c r="E426" s="34">
        <f>IF(AND($A425&lt;&gt;"",'算罪台'!$B$6&lt;&gt;"",ISNUMBER(SEARCH($A425,'算罪台'!$B$6))),1,0)</f>
        <v/>
      </c>
    </row>
    <row r="427">
      <c r="A427" s="34" t="inlineStr">
        <is>
          <t>偷开他人车</t>
        </is>
      </c>
      <c r="B427" s="34" t="inlineStr">
        <is>
          <t>盗窃车辆罪</t>
        </is>
      </c>
      <c r="C427" s="34">
        <f>IF(AND($A426&lt;&gt;"",'算罪台'!$B$4&lt;&gt;"",ISNUMBER(SEARCH($A426,'算罪台'!$B$4))),1,0)</f>
        <v/>
      </c>
      <c r="D427" s="34">
        <f>IF(AND($A426&lt;&gt;"",'算罪台'!$B$5&lt;&gt;"",ISNUMBER(SEARCH($A426,'算罪台'!$B$5))),1,0)</f>
        <v/>
      </c>
      <c r="E427" s="34">
        <f>IF(AND($A426&lt;&gt;"",'算罪台'!$B$6&lt;&gt;"",ISNUMBER(SEARCH($A426,'算罪台'!$B$6))),1,0)</f>
        <v/>
      </c>
    </row>
    <row r="428">
      <c r="A428" s="34" t="inlineStr">
        <is>
          <t>顺走车辆</t>
        </is>
      </c>
      <c r="B428" s="34" t="inlineStr">
        <is>
          <t>盗窃车辆罪</t>
        </is>
      </c>
      <c r="C428" s="34">
        <f>IF(AND($A427&lt;&gt;"",'算罪台'!$B$4&lt;&gt;"",ISNUMBER(SEARCH($A427,'算罪台'!$B$4))),1,0)</f>
        <v/>
      </c>
      <c r="D428" s="34">
        <f>IF(AND($A427&lt;&gt;"",'算罪台'!$B$5&lt;&gt;"",ISNUMBER(SEARCH($A427,'算罪台'!$B$5))),1,0)</f>
        <v/>
      </c>
      <c r="E428" s="34">
        <f>IF(AND($A427&lt;&gt;"",'算罪台'!$B$6&lt;&gt;"",ISNUMBER(SEARCH($A427,'算罪台'!$B$6))),1,0)</f>
        <v/>
      </c>
    </row>
    <row r="429">
      <c r="A429" s="34" t="inlineStr">
        <is>
          <t>窃取车辆</t>
        </is>
      </c>
      <c r="B429" s="34" t="inlineStr">
        <is>
          <t>盗窃车辆罪</t>
        </is>
      </c>
      <c r="C429" s="34">
        <f>IF(AND($A428&lt;&gt;"",'算罪台'!$B$4&lt;&gt;"",ISNUMBER(SEARCH($A428,'算罪台'!$B$4))),1,0)</f>
        <v/>
      </c>
      <c r="D429" s="34">
        <f>IF(AND($A428&lt;&gt;"",'算罪台'!$B$5&lt;&gt;"",ISNUMBER(SEARCH($A428,'算罪台'!$B$5))),1,0)</f>
        <v/>
      </c>
      <c r="E429" s="34">
        <f>IF(AND($A428&lt;&gt;"",'算罪台'!$B$6&lt;&gt;"",ISNUMBER(SEARCH($A428,'算罪台'!$B$6))),1,0)</f>
        <v/>
      </c>
    </row>
    <row r="430">
      <c r="A430" s="34" t="inlineStr">
        <is>
          <t>偷走车辆</t>
        </is>
      </c>
      <c r="B430" s="34" t="inlineStr">
        <is>
          <t>盗窃车辆罪</t>
        </is>
      </c>
      <c r="C430" s="34">
        <f>IF(AND($A429&lt;&gt;"",'算罪台'!$B$4&lt;&gt;"",ISNUMBER(SEARCH($A429,'算罪台'!$B$4))),1,0)</f>
        <v/>
      </c>
      <c r="D430" s="34">
        <f>IF(AND($A429&lt;&gt;"",'算罪台'!$B$5&lt;&gt;"",ISNUMBER(SEARCH($A429,'算罪台'!$B$5))),1,0)</f>
        <v/>
      </c>
      <c r="E430" s="34">
        <f>IF(AND($A429&lt;&gt;"",'算罪台'!$B$6&lt;&gt;"",ISNUMBER(SEARCH($A429,'算罪台'!$B$6))),1,0)</f>
        <v/>
      </c>
    </row>
    <row r="431">
      <c r="A431" s="34" t="inlineStr">
        <is>
          <t>收受赃物</t>
        </is>
      </c>
      <c r="B431" s="34" t="inlineStr">
        <is>
          <t>收受赃物罪</t>
        </is>
      </c>
      <c r="C431" s="34">
        <f>IF(AND($A430&lt;&gt;"",'算罪台'!$B$4&lt;&gt;"",ISNUMBER(SEARCH($A430,'算罪台'!$B$4))),1,0)</f>
        <v/>
      </c>
      <c r="D431" s="34">
        <f>IF(AND($A430&lt;&gt;"",'算罪台'!$B$5&lt;&gt;"",ISNUMBER(SEARCH($A430,'算罪台'!$B$5))),1,0)</f>
        <v/>
      </c>
      <c r="E431" s="34">
        <f>IF(AND($A430&lt;&gt;"",'算罪台'!$B$6&lt;&gt;"",ISNUMBER(SEARCH($A430,'算罪台'!$B$6))),1,0)</f>
        <v/>
      </c>
    </row>
    <row r="432">
      <c r="A432" s="34" t="inlineStr">
        <is>
          <t>销赃</t>
        </is>
      </c>
      <c r="B432" s="34" t="inlineStr">
        <is>
          <t>收受赃物罪</t>
        </is>
      </c>
      <c r="C432" s="34">
        <f>IF(AND($A431&lt;&gt;"",'算罪台'!$B$4&lt;&gt;"",ISNUMBER(SEARCH($A431,'算罪台'!$B$4))),1,0)</f>
        <v/>
      </c>
      <c r="D432" s="34">
        <f>IF(AND($A431&lt;&gt;"",'算罪台'!$B$5&lt;&gt;"",ISNUMBER(SEARCH($A431,'算罪台'!$B$5))),1,0)</f>
        <v/>
      </c>
      <c r="E432" s="34">
        <f>IF(AND($A431&lt;&gt;"",'算罪台'!$B$6&lt;&gt;"",ISNUMBER(SEARCH($A431,'算罪台'!$B$6))),1,0)</f>
        <v/>
      </c>
    </row>
    <row r="433">
      <c r="A433" s="34" t="inlineStr">
        <is>
          <t>买赃物</t>
        </is>
      </c>
      <c r="B433" s="34" t="inlineStr">
        <is>
          <t>收受赃物罪</t>
        </is>
      </c>
      <c r="C433" s="34">
        <f>IF(AND($A432&lt;&gt;"",'算罪台'!$B$4&lt;&gt;"",ISNUMBER(SEARCH($A432,'算罪台'!$B$4))),1,0)</f>
        <v/>
      </c>
      <c r="D433" s="34">
        <f>IF(AND($A432&lt;&gt;"",'算罪台'!$B$5&lt;&gt;"",ISNUMBER(SEARCH($A432,'算罪台'!$B$5))),1,0)</f>
        <v/>
      </c>
      <c r="E433" s="34">
        <f>IF(AND($A432&lt;&gt;"",'算罪台'!$B$6&lt;&gt;"",ISNUMBER(SEARCH($A432,'算罪台'!$B$6))),1,0)</f>
        <v/>
      </c>
    </row>
    <row r="434">
      <c r="A434" s="34" t="inlineStr">
        <is>
          <t>藏赃</t>
        </is>
      </c>
      <c r="B434" s="34" t="inlineStr">
        <is>
          <t>收受赃物罪</t>
        </is>
      </c>
      <c r="C434" s="34">
        <f>IF(AND($A433&lt;&gt;"",'算罪台'!$B$4&lt;&gt;"",ISNUMBER(SEARCH($A433,'算罪台'!$B$4))),1,0)</f>
        <v/>
      </c>
      <c r="D434" s="34">
        <f>IF(AND($A433&lt;&gt;"",'算罪台'!$B$5&lt;&gt;"",ISNUMBER(SEARCH($A433,'算罪台'!$B$5))),1,0)</f>
        <v/>
      </c>
      <c r="E434" s="34">
        <f>IF(AND($A433&lt;&gt;"",'算罪台'!$B$6&lt;&gt;"",ISNUMBER(SEARCH($A433,'算罪台'!$B$6))),1,0)</f>
        <v/>
      </c>
    </row>
    <row r="435">
      <c r="A435" s="34" t="inlineStr">
        <is>
          <t>收赃</t>
        </is>
      </c>
      <c r="B435" s="34" t="inlineStr">
        <is>
          <t>收受赃物罪</t>
        </is>
      </c>
      <c r="C435" s="34">
        <f>IF(AND($A434&lt;&gt;"",'算罪台'!$B$4&lt;&gt;"",ISNUMBER(SEARCH($A434,'算罪台'!$B$4))),1,0)</f>
        <v/>
      </c>
      <c r="D435" s="34">
        <f>IF(AND($A434&lt;&gt;"",'算罪台'!$B$5&lt;&gt;"",ISNUMBER(SEARCH($A434,'算罪台'!$B$5))),1,0)</f>
        <v/>
      </c>
      <c r="E435" s="34">
        <f>IF(AND($A434&lt;&gt;"",'算罪台'!$B$6&lt;&gt;"",ISNUMBER(SEARCH($A434,'算罪台'!$B$6))),1,0)</f>
        <v/>
      </c>
    </row>
    <row r="436">
      <c r="A436" s="34" t="inlineStr">
        <is>
          <t>收黑货</t>
        </is>
      </c>
      <c r="B436" s="34" t="inlineStr">
        <is>
          <t>收受赃物罪</t>
        </is>
      </c>
      <c r="C436" s="34">
        <f>IF(AND($A435&lt;&gt;"",'算罪台'!$B$4&lt;&gt;"",ISNUMBER(SEARCH($A435,'算罪台'!$B$4))),1,0)</f>
        <v/>
      </c>
      <c r="D436" s="34">
        <f>IF(AND($A435&lt;&gt;"",'算罪台'!$B$5&lt;&gt;"",ISNUMBER(SEARCH($A435,'算罪台'!$B$5))),1,0)</f>
        <v/>
      </c>
      <c r="E436" s="34">
        <f>IF(AND($A435&lt;&gt;"",'算罪台'!$B$6&lt;&gt;"",ISNUMBER(SEARCH($A435,'算罪台'!$B$6))),1,0)</f>
        <v/>
      </c>
    </row>
    <row r="437">
      <c r="A437" s="34" t="inlineStr">
        <is>
          <t>买黑车</t>
        </is>
      </c>
      <c r="B437" s="34" t="inlineStr">
        <is>
          <t>收受赃物罪</t>
        </is>
      </c>
      <c r="C437" s="34">
        <f>IF(AND($A436&lt;&gt;"",'算罪台'!$B$4&lt;&gt;"",ISNUMBER(SEARCH($A436,'算罪台'!$B$4))),1,0)</f>
        <v/>
      </c>
      <c r="D437" s="34">
        <f>IF(AND($A436&lt;&gt;"",'算罪台'!$B$5&lt;&gt;"",ISNUMBER(SEARCH($A436,'算罪台'!$B$5))),1,0)</f>
        <v/>
      </c>
      <c r="E437" s="34">
        <f>IF(AND($A436&lt;&gt;"",'算罪台'!$B$6&lt;&gt;"",ISNUMBER(SEARCH($A436,'算罪台'!$B$6))),1,0)</f>
        <v/>
      </c>
    </row>
    <row r="438">
      <c r="A438" s="34" t="inlineStr">
        <is>
          <t>买赃</t>
        </is>
      </c>
      <c r="B438" s="34" t="inlineStr">
        <is>
          <t>收受赃物罪</t>
        </is>
      </c>
      <c r="C438" s="34">
        <f>IF(AND($A437&lt;&gt;"",'算罪台'!$B$4&lt;&gt;"",ISNUMBER(SEARCH($A437,'算罪台'!$B$4))),1,0)</f>
        <v/>
      </c>
      <c r="D438" s="34">
        <f>IF(AND($A437&lt;&gt;"",'算罪台'!$B$5&lt;&gt;"",ISNUMBER(SEARCH($A437,'算罪台'!$B$5))),1,0)</f>
        <v/>
      </c>
      <c r="E438" s="34">
        <f>IF(AND($A437&lt;&gt;"",'算罪台'!$B$6&lt;&gt;"",ISNUMBER(SEARCH($A437,'算罪台'!$B$6))),1,0)</f>
        <v/>
      </c>
    </row>
    <row r="439">
      <c r="A439" s="34" t="inlineStr">
        <is>
          <t>接赃</t>
        </is>
      </c>
      <c r="B439" s="34" t="inlineStr">
        <is>
          <t>收受赃物罪</t>
        </is>
      </c>
      <c r="C439" s="34">
        <f>IF(AND($A438&lt;&gt;"",'算罪台'!$B$4&lt;&gt;"",ISNUMBER(SEARCH($A438,'算罪台'!$B$4))),1,0)</f>
        <v/>
      </c>
      <c r="D439" s="34">
        <f>IF(AND($A438&lt;&gt;"",'算罪台'!$B$5&lt;&gt;"",ISNUMBER(SEARCH($A438,'算罪台'!$B$5))),1,0)</f>
        <v/>
      </c>
      <c r="E439" s="34">
        <f>IF(AND($A438&lt;&gt;"",'算罪台'!$B$6&lt;&gt;"",ISNUMBER(SEARCH($A438,'算罪台'!$B$6))),1,0)</f>
        <v/>
      </c>
    </row>
    <row r="440">
      <c r="A440" s="34" t="inlineStr">
        <is>
          <t>窝藏赃物</t>
        </is>
      </c>
      <c r="B440" s="34" t="inlineStr">
        <is>
          <t>收受赃物罪</t>
        </is>
      </c>
      <c r="C440" s="34">
        <f>IF(AND($A439&lt;&gt;"",'算罪台'!$B$4&lt;&gt;"",ISNUMBER(SEARCH($A439,'算罪台'!$B$4))),1,0)</f>
        <v/>
      </c>
      <c r="D440" s="34">
        <f>IF(AND($A439&lt;&gt;"",'算罪台'!$B$5&lt;&gt;"",ISNUMBER(SEARCH($A439,'算罪台'!$B$5))),1,0)</f>
        <v/>
      </c>
      <c r="E440" s="34">
        <f>IF(AND($A439&lt;&gt;"",'算罪台'!$B$6&lt;&gt;"",ISNUMBER(SEARCH($A439,'算罪台'!$B$6))),1,0)</f>
        <v/>
      </c>
    </row>
    <row r="441">
      <c r="A441" s="34" t="inlineStr">
        <is>
          <t>收脏车</t>
        </is>
      </c>
      <c r="B441" s="34" t="inlineStr">
        <is>
          <t>收受赃物罪</t>
        </is>
      </c>
      <c r="C441" s="34">
        <f>IF(AND($A440&lt;&gt;"",'算罪台'!$B$4&lt;&gt;"",ISNUMBER(SEARCH($A440,'算罪台'!$B$4))),1,0)</f>
        <v/>
      </c>
      <c r="D441" s="34">
        <f>IF(AND($A440&lt;&gt;"",'算罪台'!$B$5&lt;&gt;"",ISNUMBER(SEARCH($A440,'算罪台'!$B$5))),1,0)</f>
        <v/>
      </c>
      <c r="E441" s="34">
        <f>IF(AND($A440&lt;&gt;"",'算罪台'!$B$6&lt;&gt;"",ISNUMBER(SEARCH($A440,'算罪台'!$B$6))),1,0)</f>
        <v/>
      </c>
    </row>
    <row r="442">
      <c r="A442" s="34" t="inlineStr">
        <is>
          <t>买来路不明</t>
        </is>
      </c>
      <c r="B442" s="34" t="inlineStr">
        <is>
          <t>收受赃物罪</t>
        </is>
      </c>
      <c r="C442" s="34">
        <f>IF(AND($A441&lt;&gt;"",'算罪台'!$B$4&lt;&gt;"",ISNUMBER(SEARCH($A441,'算罪台'!$B$4))),1,0)</f>
        <v/>
      </c>
      <c r="D442" s="34">
        <f>IF(AND($A441&lt;&gt;"",'算罪台'!$B$5&lt;&gt;"",ISNUMBER(SEARCH($A441,'算罪台'!$B$5))),1,0)</f>
        <v/>
      </c>
      <c r="E442" s="34">
        <f>IF(AND($A441&lt;&gt;"",'算罪台'!$B$6&lt;&gt;"",ISNUMBER(SEARCH($A441,'算罪台'!$B$6))),1,0)</f>
        <v/>
      </c>
    </row>
    <row r="443">
      <c r="A443" s="34" t="inlineStr">
        <is>
          <t>收黑车</t>
        </is>
      </c>
      <c r="B443" s="34" t="inlineStr">
        <is>
          <t>收受赃物罪</t>
        </is>
      </c>
      <c r="C443" s="34">
        <f>IF(AND($A442&lt;&gt;"",'算罪台'!$B$4&lt;&gt;"",ISNUMBER(SEARCH($A442,'算罪台'!$B$4))),1,0)</f>
        <v/>
      </c>
      <c r="D443" s="34">
        <f>IF(AND($A442&lt;&gt;"",'算罪台'!$B$5&lt;&gt;"",ISNUMBER(SEARCH($A442,'算罪台'!$B$5))),1,0)</f>
        <v/>
      </c>
      <c r="E443" s="34">
        <f>IF(AND($A442&lt;&gt;"",'算罪台'!$B$6&lt;&gt;"",ISNUMBER(SEARCH($A442,'算罪台'!$B$6))),1,0)</f>
        <v/>
      </c>
    </row>
    <row r="444">
      <c r="A444" s="34" t="inlineStr">
        <is>
          <t>藏赃物</t>
        </is>
      </c>
      <c r="B444" s="34" t="inlineStr">
        <is>
          <t>收受赃物罪</t>
        </is>
      </c>
      <c r="C444" s="34">
        <f>IF(AND($A443&lt;&gt;"",'算罪台'!$B$4&lt;&gt;"",ISNUMBER(SEARCH($A443,'算罪台'!$B$4))),1,0)</f>
        <v/>
      </c>
      <c r="D444" s="34">
        <f>IF(AND($A443&lt;&gt;"",'算罪台'!$B$5&lt;&gt;"",ISNUMBER(SEARCH($A443,'算罪台'!$B$5))),1,0)</f>
        <v/>
      </c>
      <c r="E444" s="34">
        <f>IF(AND($A443&lt;&gt;"",'算罪台'!$B$6&lt;&gt;"",ISNUMBER(SEARCH($A443,'算罪台'!$B$6))),1,0)</f>
        <v/>
      </c>
    </row>
    <row r="445">
      <c r="A445" s="34" t="inlineStr">
        <is>
          <t>收购赃物</t>
        </is>
      </c>
      <c r="B445" s="34" t="inlineStr">
        <is>
          <t>收受赃物罪</t>
        </is>
      </c>
      <c r="C445" s="34">
        <f>IF(AND($A444&lt;&gt;"",'算罪台'!$B$4&lt;&gt;"",ISNUMBER(SEARCH($A444,'算罪台'!$B$4))),1,0)</f>
        <v/>
      </c>
      <c r="D445" s="34">
        <f>IF(AND($A444&lt;&gt;"",'算罪台'!$B$5&lt;&gt;"",ISNUMBER(SEARCH($A444,'算罪台'!$B$5))),1,0)</f>
        <v/>
      </c>
      <c r="E445" s="34">
        <f>IF(AND($A444&lt;&gt;"",'算罪台'!$B$6&lt;&gt;"",ISNUMBER(SEARCH($A444,'算罪台'!$B$6))),1,0)</f>
        <v/>
      </c>
    </row>
    <row r="446">
      <c r="A446" s="34" t="inlineStr">
        <is>
          <t>藏匿赃物</t>
        </is>
      </c>
      <c r="B446" s="34" t="inlineStr">
        <is>
          <t>收受赃物罪</t>
        </is>
      </c>
      <c r="C446" s="34">
        <f>IF(AND($A445&lt;&gt;"",'算罪台'!$B$4&lt;&gt;"",ISNUMBER(SEARCH($A445,'算罪台'!$B$4))),1,0)</f>
        <v/>
      </c>
      <c r="D446" s="34">
        <f>IF(AND($A445&lt;&gt;"",'算罪台'!$B$5&lt;&gt;"",ISNUMBER(SEARCH($A445,'算罪台'!$B$5))),1,0)</f>
        <v/>
      </c>
      <c r="E446" s="34">
        <f>IF(AND($A445&lt;&gt;"",'算罪台'!$B$6&lt;&gt;"",ISNUMBER(SEARCH($A445,'算罪台'!$B$6))),1,0)</f>
        <v/>
      </c>
    </row>
    <row r="447">
      <c r="A447" s="34" t="inlineStr">
        <is>
          <t>转移赃物</t>
        </is>
      </c>
      <c r="B447" s="34" t="inlineStr">
        <is>
          <t>收受赃物罪</t>
        </is>
      </c>
      <c r="C447" s="34">
        <f>IF(AND($A446&lt;&gt;"",'算罪台'!$B$4&lt;&gt;"",ISNUMBER(SEARCH($A446,'算罪台'!$B$4))),1,0)</f>
        <v/>
      </c>
      <c r="D447" s="34">
        <f>IF(AND($A446&lt;&gt;"",'算罪台'!$B$5&lt;&gt;"",ISNUMBER(SEARCH($A446,'算罪台'!$B$5))),1,0)</f>
        <v/>
      </c>
      <c r="E447" s="34">
        <f>IF(AND($A446&lt;&gt;"",'算罪台'!$B$6&lt;&gt;"",ISNUMBER(SEARCH($A446,'算罪台'!$B$6))),1,0)</f>
        <v/>
      </c>
    </row>
    <row r="448">
      <c r="A448" s="34" t="inlineStr">
        <is>
          <t>购买赃物</t>
        </is>
      </c>
      <c r="B448" s="34" t="inlineStr">
        <is>
          <t>收受赃物罪</t>
        </is>
      </c>
      <c r="C448" s="34">
        <f>IF(AND($A447&lt;&gt;"",'算罪台'!$B$4&lt;&gt;"",ISNUMBER(SEARCH($A447,'算罪台'!$B$4))),1,0)</f>
        <v/>
      </c>
      <c r="D448" s="34">
        <f>IF(AND($A447&lt;&gt;"",'算罪台'!$B$5&lt;&gt;"",ISNUMBER(SEARCH($A447,'算罪台'!$B$5))),1,0)</f>
        <v/>
      </c>
      <c r="E448" s="34">
        <f>IF(AND($A447&lt;&gt;"",'算罪台'!$B$6&lt;&gt;"",ISNUMBER(SEARCH($A447,'算罪台'!$B$6))),1,0)</f>
        <v/>
      </c>
    </row>
    <row r="449">
      <c r="A449" s="34" t="inlineStr">
        <is>
          <t>转手赃物</t>
        </is>
      </c>
      <c r="B449" s="34" t="inlineStr">
        <is>
          <t>收受赃物罪</t>
        </is>
      </c>
      <c r="C449" s="34">
        <f>IF(AND($A448&lt;&gt;"",'算罪台'!$B$4&lt;&gt;"",ISNUMBER(SEARCH($A448,'算罪台'!$B$4))),1,0)</f>
        <v/>
      </c>
      <c r="D449" s="34">
        <f>IF(AND($A448&lt;&gt;"",'算罪台'!$B$5&lt;&gt;"",ISNUMBER(SEARCH($A448,'算罪台'!$B$5))),1,0)</f>
        <v/>
      </c>
      <c r="E449" s="34">
        <f>IF(AND($A448&lt;&gt;"",'算罪台'!$B$6&lt;&gt;"",ISNUMBER(SEARCH($A448,'算罪台'!$B$6))),1,0)</f>
        <v/>
      </c>
    </row>
    <row r="450">
      <c r="A450" s="34" t="inlineStr">
        <is>
          <t>窝藏赃款</t>
        </is>
      </c>
      <c r="B450" s="34" t="inlineStr">
        <is>
          <t>收受赃物罪</t>
        </is>
      </c>
      <c r="C450" s="34">
        <f>IF(AND($A449&lt;&gt;"",'算罪台'!$B$4&lt;&gt;"",ISNUMBER(SEARCH($A449,'算罪台'!$B$4))),1,0)</f>
        <v/>
      </c>
      <c r="D450" s="34">
        <f>IF(AND($A449&lt;&gt;"",'算罪台'!$B$5&lt;&gt;"",ISNUMBER(SEARCH($A449,'算罪台'!$B$5))),1,0)</f>
        <v/>
      </c>
      <c r="E450" s="34">
        <f>IF(AND($A449&lt;&gt;"",'算罪台'!$B$6&lt;&gt;"",ISNUMBER(SEARCH($A449,'算罪台'!$B$6))),1,0)</f>
        <v/>
      </c>
    </row>
    <row r="451">
      <c r="A451" s="34" t="inlineStr">
        <is>
          <t>敲诈</t>
        </is>
      </c>
      <c r="B451" s="34" t="inlineStr">
        <is>
          <t>敲诈勒索罪</t>
        </is>
      </c>
      <c r="C451" s="34">
        <f>IF(AND($A450&lt;&gt;"",'算罪台'!$B$4&lt;&gt;"",ISNUMBER(SEARCH($A450,'算罪台'!$B$4))),1,0)</f>
        <v/>
      </c>
      <c r="D451" s="34">
        <f>IF(AND($A450&lt;&gt;"",'算罪台'!$B$5&lt;&gt;"",ISNUMBER(SEARCH($A450,'算罪台'!$B$5))),1,0)</f>
        <v/>
      </c>
      <c r="E451" s="34">
        <f>IF(AND($A450&lt;&gt;"",'算罪台'!$B$6&lt;&gt;"",ISNUMBER(SEARCH($A450,'算罪台'!$B$6))),1,0)</f>
        <v/>
      </c>
    </row>
    <row r="452">
      <c r="A452" s="34" t="inlineStr">
        <is>
          <t>勒索</t>
        </is>
      </c>
      <c r="B452" s="34" t="inlineStr">
        <is>
          <t>敲诈勒索罪</t>
        </is>
      </c>
      <c r="C452" s="34">
        <f>IF(AND($A451&lt;&gt;"",'算罪台'!$B$4&lt;&gt;"",ISNUMBER(SEARCH($A451,'算罪台'!$B$4))),1,0)</f>
        <v/>
      </c>
      <c r="D452" s="34">
        <f>IF(AND($A451&lt;&gt;"",'算罪台'!$B$5&lt;&gt;"",ISNUMBER(SEARCH($A451,'算罪台'!$B$5))),1,0)</f>
        <v/>
      </c>
      <c r="E452" s="34">
        <f>IF(AND($A451&lt;&gt;"",'算罪台'!$B$6&lt;&gt;"",ISNUMBER(SEARCH($A451,'算罪台'!$B$6))),1,0)</f>
        <v/>
      </c>
    </row>
    <row r="453">
      <c r="A453" s="34" t="inlineStr">
        <is>
          <t>敲诈勒索</t>
        </is>
      </c>
      <c r="B453" s="34" t="inlineStr">
        <is>
          <t>敲诈勒索罪</t>
        </is>
      </c>
      <c r="C453" s="34">
        <f>IF(AND($A452&lt;&gt;"",'算罪台'!$B$4&lt;&gt;"",ISNUMBER(SEARCH($A452,'算罪台'!$B$4))),1,0)</f>
        <v/>
      </c>
      <c r="D453" s="34">
        <f>IF(AND($A452&lt;&gt;"",'算罪台'!$B$5&lt;&gt;"",ISNUMBER(SEARCH($A452,'算罪台'!$B$5))),1,0)</f>
        <v/>
      </c>
      <c r="E453" s="34">
        <f>IF(AND($A452&lt;&gt;"",'算罪台'!$B$6&lt;&gt;"",ISNUMBER(SEARCH($A452,'算罪台'!$B$6))),1,0)</f>
        <v/>
      </c>
    </row>
    <row r="454">
      <c r="A454" s="34" t="inlineStr">
        <is>
          <t>威胁索财</t>
        </is>
      </c>
      <c r="B454" s="34" t="inlineStr">
        <is>
          <t>敲诈勒索罪</t>
        </is>
      </c>
      <c r="C454" s="34">
        <f>IF(AND($A453&lt;&gt;"",'算罪台'!$B$4&lt;&gt;"",ISNUMBER(SEARCH($A453,'算罪台'!$B$4))),1,0)</f>
        <v/>
      </c>
      <c r="D454" s="34">
        <f>IF(AND($A453&lt;&gt;"",'算罪台'!$B$5&lt;&gt;"",ISNUMBER(SEARCH($A453,'算罪台'!$B$5))),1,0)</f>
        <v/>
      </c>
      <c r="E454" s="34">
        <f>IF(AND($A453&lt;&gt;"",'算罪台'!$B$6&lt;&gt;"",ISNUMBER(SEARCH($A453,'算罪台'!$B$6))),1,0)</f>
        <v/>
      </c>
    </row>
    <row r="455">
      <c r="A455" s="34" t="inlineStr">
        <is>
          <t>强迫交钱</t>
        </is>
      </c>
      <c r="B455" s="34" t="inlineStr">
        <is>
          <t>敲诈勒索罪</t>
        </is>
      </c>
      <c r="C455" s="34">
        <f>IF(AND($A454&lt;&gt;"",'算罪台'!$B$4&lt;&gt;"",ISNUMBER(SEARCH($A454,'算罪台'!$B$4))),1,0)</f>
        <v/>
      </c>
      <c r="D455" s="34">
        <f>IF(AND($A454&lt;&gt;"",'算罪台'!$B$5&lt;&gt;"",ISNUMBER(SEARCH($A454,'算罪台'!$B$5))),1,0)</f>
        <v/>
      </c>
      <c r="E455" s="34">
        <f>IF(AND($A454&lt;&gt;"",'算罪台'!$B$6&lt;&gt;"",ISNUMBER(SEARCH($A454,'算罪台'!$B$6))),1,0)</f>
        <v/>
      </c>
    </row>
    <row r="456">
      <c r="A456" s="34" t="inlineStr">
        <is>
          <t>收保护费</t>
        </is>
      </c>
      <c r="B456" s="34" t="inlineStr">
        <is>
          <t>敲诈勒索罪</t>
        </is>
      </c>
      <c r="C456" s="34">
        <f>IF(AND($A455&lt;&gt;"",'算罪台'!$B$4&lt;&gt;"",ISNUMBER(SEARCH($A455,'算罪台'!$B$4))),1,0)</f>
        <v/>
      </c>
      <c r="D456" s="34">
        <f>IF(AND($A455&lt;&gt;"",'算罪台'!$B$5&lt;&gt;"",ISNUMBER(SEARCH($A455,'算罪台'!$B$5))),1,0)</f>
        <v/>
      </c>
      <c r="E456" s="34">
        <f>IF(AND($A455&lt;&gt;"",'算罪台'!$B$6&lt;&gt;"",ISNUMBER(SEARCH($A455,'算罪台'!$B$6))),1,0)</f>
        <v/>
      </c>
    </row>
    <row r="457">
      <c r="A457" s="34" t="inlineStr">
        <is>
          <t>逼着给钱</t>
        </is>
      </c>
      <c r="B457" s="34" t="inlineStr">
        <is>
          <t>敲诈勒索罪</t>
        </is>
      </c>
      <c r="C457" s="34">
        <f>IF(AND($A456&lt;&gt;"",'算罪台'!$B$4&lt;&gt;"",ISNUMBER(SEARCH($A456,'算罪台'!$B$4))),1,0)</f>
        <v/>
      </c>
      <c r="D457" s="34">
        <f>IF(AND($A456&lt;&gt;"",'算罪台'!$B$5&lt;&gt;"",ISNUMBER(SEARCH($A456,'算罪台'!$B$5))),1,0)</f>
        <v/>
      </c>
      <c r="E457" s="34">
        <f>IF(AND($A456&lt;&gt;"",'算罪台'!$B$6&lt;&gt;"",ISNUMBER(SEARCH($A456,'算罪台'!$B$6))),1,0)</f>
        <v/>
      </c>
    </row>
    <row r="458">
      <c r="A458" s="34" t="inlineStr">
        <is>
          <t>逼钱</t>
        </is>
      </c>
      <c r="B458" s="34" t="inlineStr">
        <is>
          <t>敲诈勒索罪</t>
        </is>
      </c>
      <c r="C458" s="34">
        <f>IF(AND($A457&lt;&gt;"",'算罪台'!$B$4&lt;&gt;"",ISNUMBER(SEARCH($A457,'算罪台'!$B$4))),1,0)</f>
        <v/>
      </c>
      <c r="D458" s="34">
        <f>IF(AND($A457&lt;&gt;"",'算罪台'!$B$5&lt;&gt;"",ISNUMBER(SEARCH($A457,'算罪台'!$B$5))),1,0)</f>
        <v/>
      </c>
      <c r="E458" s="34">
        <f>IF(AND($A457&lt;&gt;"",'算罪台'!$B$6&lt;&gt;"",ISNUMBER(SEARCH($A457,'算罪台'!$B$6))),1,0)</f>
        <v/>
      </c>
    </row>
    <row r="459">
      <c r="A459" s="34" t="inlineStr">
        <is>
          <t>要钱不给就</t>
        </is>
      </c>
      <c r="B459" s="34" t="inlineStr">
        <is>
          <t>敲诈勒索罪</t>
        </is>
      </c>
      <c r="C459" s="34">
        <f>IF(AND($A458&lt;&gt;"",'算罪台'!$B$4&lt;&gt;"",ISNUMBER(SEARCH($A458,'算罪台'!$B$4))),1,0)</f>
        <v/>
      </c>
      <c r="D459" s="34">
        <f>IF(AND($A458&lt;&gt;"",'算罪台'!$B$5&lt;&gt;"",ISNUMBER(SEARCH($A458,'算罪台'!$B$5))),1,0)</f>
        <v/>
      </c>
      <c r="E459" s="34">
        <f>IF(AND($A458&lt;&gt;"",'算罪台'!$B$6&lt;&gt;"",ISNUMBER(SEARCH($A458,'算罪台'!$B$6))),1,0)</f>
        <v/>
      </c>
    </row>
    <row r="460">
      <c r="A460" s="34" t="inlineStr">
        <is>
          <t>讹钱</t>
        </is>
      </c>
      <c r="B460" s="34" t="inlineStr">
        <is>
          <t>敲诈勒索罪</t>
        </is>
      </c>
      <c r="C460" s="34">
        <f>IF(AND($A459&lt;&gt;"",'算罪台'!$B$4&lt;&gt;"",ISNUMBER(SEARCH($A459,'算罪台'!$B$4))),1,0)</f>
        <v/>
      </c>
      <c r="D460" s="34">
        <f>IF(AND($A459&lt;&gt;"",'算罪台'!$B$5&lt;&gt;"",ISNUMBER(SEARCH($A459,'算罪台'!$B$5))),1,0)</f>
        <v/>
      </c>
      <c r="E460" s="34">
        <f>IF(AND($A459&lt;&gt;"",'算罪台'!$B$6&lt;&gt;"",ISNUMBER(SEARCH($A459,'算罪台'!$B$6))),1,0)</f>
        <v/>
      </c>
    </row>
    <row r="461">
      <c r="A461" s="34" t="inlineStr">
        <is>
          <t>讹人</t>
        </is>
      </c>
      <c r="B461" s="34" t="inlineStr">
        <is>
          <t>敲诈勒索罪</t>
        </is>
      </c>
      <c r="C461" s="34">
        <f>IF(AND($A460&lt;&gt;"",'算罪台'!$B$4&lt;&gt;"",ISNUMBER(SEARCH($A460,'算罪台'!$B$4))),1,0)</f>
        <v/>
      </c>
      <c r="D461" s="34">
        <f>IF(AND($A460&lt;&gt;"",'算罪台'!$B$5&lt;&gt;"",ISNUMBER(SEARCH($A460,'算罪台'!$B$5))),1,0)</f>
        <v/>
      </c>
      <c r="E461" s="34">
        <f>IF(AND($A460&lt;&gt;"",'算罪台'!$B$6&lt;&gt;"",ISNUMBER(SEARCH($A460,'算罪台'!$B$6))),1,0)</f>
        <v/>
      </c>
    </row>
    <row r="462">
      <c r="A462" s="34" t="inlineStr">
        <is>
          <t>逼着掏钱</t>
        </is>
      </c>
      <c r="B462" s="34" t="inlineStr">
        <is>
          <t>敲诈勒索罪</t>
        </is>
      </c>
      <c r="C462" s="34">
        <f>IF(AND($A461&lt;&gt;"",'算罪台'!$B$4&lt;&gt;"",ISNUMBER(SEARCH($A461,'算罪台'!$B$4))),1,0)</f>
        <v/>
      </c>
      <c r="D462" s="34">
        <f>IF(AND($A461&lt;&gt;"",'算罪台'!$B$5&lt;&gt;"",ISNUMBER(SEARCH($A461,'算罪台'!$B$5))),1,0)</f>
        <v/>
      </c>
      <c r="E462" s="34">
        <f>IF(AND($A461&lt;&gt;"",'算罪台'!$B$6&lt;&gt;"",ISNUMBER(SEARCH($A461,'算罪台'!$B$6))),1,0)</f>
        <v/>
      </c>
    </row>
    <row r="463">
      <c r="A463" s="34" t="inlineStr">
        <is>
          <t>拿把柄要钱</t>
        </is>
      </c>
      <c r="B463" s="34" t="inlineStr">
        <is>
          <t>敲诈勒索罪</t>
        </is>
      </c>
      <c r="C463" s="34">
        <f>IF(AND($A462&lt;&gt;"",'算罪台'!$B$4&lt;&gt;"",ISNUMBER(SEARCH($A462,'算罪台'!$B$4))),1,0)</f>
        <v/>
      </c>
      <c r="D463" s="34">
        <f>IF(AND($A462&lt;&gt;"",'算罪台'!$B$5&lt;&gt;"",ISNUMBER(SEARCH($A462,'算罪台'!$B$5))),1,0)</f>
        <v/>
      </c>
      <c r="E463" s="34">
        <f>IF(AND($A462&lt;&gt;"",'算罪台'!$B$6&lt;&gt;"",ISNUMBER(SEARCH($A462,'算罪台'!$B$6))),1,0)</f>
        <v/>
      </c>
    </row>
    <row r="464">
      <c r="A464" s="34" t="inlineStr">
        <is>
          <t>威胁要钱</t>
        </is>
      </c>
      <c r="B464" s="34" t="inlineStr">
        <is>
          <t>敲诈勒索罪</t>
        </is>
      </c>
      <c r="C464" s="34">
        <f>IF(AND($A463&lt;&gt;"",'算罪台'!$B$4&lt;&gt;"",ISNUMBER(SEARCH($A463,'算罪台'!$B$4))),1,0)</f>
        <v/>
      </c>
      <c r="D464" s="34">
        <f>IF(AND($A463&lt;&gt;"",'算罪台'!$B$5&lt;&gt;"",ISNUMBER(SEARCH($A463,'算罪台'!$B$5))),1,0)</f>
        <v/>
      </c>
      <c r="E464" s="34">
        <f>IF(AND($A463&lt;&gt;"",'算罪台'!$B$6&lt;&gt;"",ISNUMBER(SEARCH($A463,'算罪台'!$B$6))),1,0)</f>
        <v/>
      </c>
    </row>
    <row r="465">
      <c r="A465" s="34" t="inlineStr">
        <is>
          <t>勒索钱财</t>
        </is>
      </c>
      <c r="B465" s="34" t="inlineStr">
        <is>
          <t>敲诈勒索罪</t>
        </is>
      </c>
      <c r="C465" s="34">
        <f>IF(AND($A464&lt;&gt;"",'算罪台'!$B$4&lt;&gt;"",ISNUMBER(SEARCH($A464,'算罪台'!$B$4))),1,0)</f>
        <v/>
      </c>
      <c r="D465" s="34">
        <f>IF(AND($A464&lt;&gt;"",'算罪台'!$B$5&lt;&gt;"",ISNUMBER(SEARCH($A464,'算罪台'!$B$5))),1,0)</f>
        <v/>
      </c>
      <c r="E465" s="34">
        <f>IF(AND($A464&lt;&gt;"",'算罪台'!$B$6&lt;&gt;"",ISNUMBER(SEARCH($A464,'算罪台'!$B$6))),1,0)</f>
        <v/>
      </c>
    </row>
    <row r="466">
      <c r="A466" s="34" t="inlineStr">
        <is>
          <t>敲一笔</t>
        </is>
      </c>
      <c r="B466" s="34" t="inlineStr">
        <is>
          <t>敲诈勒索罪</t>
        </is>
      </c>
      <c r="C466" s="34">
        <f>IF(AND($A465&lt;&gt;"",'算罪台'!$B$4&lt;&gt;"",ISNUMBER(SEARCH($A465,'算罪台'!$B$4))),1,0)</f>
        <v/>
      </c>
      <c r="D466" s="34">
        <f>IF(AND($A465&lt;&gt;"",'算罪台'!$B$5&lt;&gt;"",ISNUMBER(SEARCH($A465,'算罪台'!$B$5))),1,0)</f>
        <v/>
      </c>
      <c r="E466" s="34">
        <f>IF(AND($A465&lt;&gt;"",'算罪台'!$B$6&lt;&gt;"",ISNUMBER(SEARCH($A465,'算罪台'!$B$6))),1,0)</f>
        <v/>
      </c>
    </row>
    <row r="467">
      <c r="A467" s="34" t="inlineStr">
        <is>
          <t>勒索财物</t>
        </is>
      </c>
      <c r="B467" s="34" t="inlineStr">
        <is>
          <t>敲诈勒索罪</t>
        </is>
      </c>
      <c r="C467" s="34">
        <f>IF(AND($A466&lt;&gt;"",'算罪台'!$B$4&lt;&gt;"",ISNUMBER(SEARCH($A466,'算罪台'!$B$4))),1,0)</f>
        <v/>
      </c>
      <c r="D467" s="34">
        <f>IF(AND($A466&lt;&gt;"",'算罪台'!$B$5&lt;&gt;"",ISNUMBER(SEARCH($A466,'算罪台'!$B$5))),1,0)</f>
        <v/>
      </c>
      <c r="E467" s="34">
        <f>IF(AND($A466&lt;&gt;"",'算罪台'!$B$6&lt;&gt;"",ISNUMBER(SEARCH($A466,'算罪台'!$B$6))),1,0)</f>
        <v/>
      </c>
    </row>
    <row r="468">
      <c r="A468" s="34" t="inlineStr">
        <is>
          <t>恐吓勒索</t>
        </is>
      </c>
      <c r="B468" s="34" t="inlineStr">
        <is>
          <t>敲诈勒索罪</t>
        </is>
      </c>
      <c r="C468" s="34">
        <f>IF(AND($A467&lt;&gt;"",'算罪台'!$B$4&lt;&gt;"",ISNUMBER(SEARCH($A467,'算罪台'!$B$4))),1,0)</f>
        <v/>
      </c>
      <c r="D468" s="34">
        <f>IF(AND($A467&lt;&gt;"",'算罪台'!$B$5&lt;&gt;"",ISNUMBER(SEARCH($A467,'算罪台'!$B$5))),1,0)</f>
        <v/>
      </c>
      <c r="E468" s="34">
        <f>IF(AND($A467&lt;&gt;"",'算罪台'!$B$6&lt;&gt;"",ISNUMBER(SEARCH($A467,'算罪台'!$B$6))),1,0)</f>
        <v/>
      </c>
    </row>
    <row r="469">
      <c r="A469" s="34" t="inlineStr">
        <is>
          <t>敲诈钱财</t>
        </is>
      </c>
      <c r="B469" s="34" t="inlineStr">
        <is>
          <t>敲诈勒索罪</t>
        </is>
      </c>
      <c r="C469" s="34">
        <f>IF(AND($A468&lt;&gt;"",'算罪台'!$B$4&lt;&gt;"",ISNUMBER(SEARCH($A468,'算罪台'!$B$4))),1,0)</f>
        <v/>
      </c>
      <c r="D469" s="34">
        <f>IF(AND($A468&lt;&gt;"",'算罪台'!$B$5&lt;&gt;"",ISNUMBER(SEARCH($A468,'算罪台'!$B$5))),1,0)</f>
        <v/>
      </c>
      <c r="E469" s="34">
        <f>IF(AND($A468&lt;&gt;"",'算罪台'!$B$6&lt;&gt;"",ISNUMBER(SEARCH($A468,'算罪台'!$B$6))),1,0)</f>
        <v/>
      </c>
    </row>
    <row r="470">
      <c r="A470" s="34" t="inlineStr">
        <is>
          <t>强行索要</t>
        </is>
      </c>
      <c r="B470" s="34" t="inlineStr">
        <is>
          <t>敲诈勒索罪</t>
        </is>
      </c>
      <c r="C470" s="34">
        <f>IF(AND($A469&lt;&gt;"",'算罪台'!$B$4&lt;&gt;"",ISNUMBER(SEARCH($A469,'算罪台'!$B$4))),1,0)</f>
        <v/>
      </c>
      <c r="D470" s="34">
        <f>IF(AND($A469&lt;&gt;"",'算罪台'!$B$5&lt;&gt;"",ISNUMBER(SEARCH($A469,'算罪台'!$B$5))),1,0)</f>
        <v/>
      </c>
      <c r="E470" s="34">
        <f>IF(AND($A469&lt;&gt;"",'算罪台'!$B$6&lt;&gt;"",ISNUMBER(SEARCH($A469,'算罪台'!$B$6))),1,0)</f>
        <v/>
      </c>
    </row>
    <row r="471">
      <c r="A471" s="34" t="inlineStr">
        <is>
          <t>逼迫给钱</t>
        </is>
      </c>
      <c r="B471" s="34" t="inlineStr">
        <is>
          <t>敲诈勒索罪</t>
        </is>
      </c>
      <c r="C471" s="34">
        <f>IF(AND($A470&lt;&gt;"",'算罪台'!$B$4&lt;&gt;"",ISNUMBER(SEARCH($A470,'算罪台'!$B$4))),1,0)</f>
        <v/>
      </c>
      <c r="D471" s="34">
        <f>IF(AND($A470&lt;&gt;"",'算罪台'!$B$5&lt;&gt;"",ISNUMBER(SEARCH($A470,'算罪台'!$B$5))),1,0)</f>
        <v/>
      </c>
      <c r="E471" s="34">
        <f>IF(AND($A470&lt;&gt;"",'算罪台'!$B$6&lt;&gt;"",ISNUMBER(SEARCH($A470,'算罪台'!$B$6))),1,0)</f>
        <v/>
      </c>
    </row>
    <row r="472">
      <c r="A472" s="34" t="inlineStr">
        <is>
          <t>威逼交钱</t>
        </is>
      </c>
      <c r="B472" s="34" t="inlineStr">
        <is>
          <t>敲诈勒索罪</t>
        </is>
      </c>
      <c r="C472" s="34">
        <f>IF(AND($A471&lt;&gt;"",'算罪台'!$B$4&lt;&gt;"",ISNUMBER(SEARCH($A471,'算罪台'!$B$4))),1,0)</f>
        <v/>
      </c>
      <c r="D472" s="34">
        <f>IF(AND($A471&lt;&gt;"",'算罪台'!$B$5&lt;&gt;"",ISNUMBER(SEARCH($A471,'算罪台'!$B$5))),1,0)</f>
        <v/>
      </c>
      <c r="E472" s="34">
        <f>IF(AND($A471&lt;&gt;"",'算罪台'!$B$6&lt;&gt;"",ISNUMBER(SEARCH($A471,'算罪台'!$B$6))),1,0)</f>
        <v/>
      </c>
    </row>
    <row r="473">
      <c r="A473" s="34" t="inlineStr">
        <is>
          <t>索要保护费</t>
        </is>
      </c>
      <c r="B473" s="34" t="inlineStr">
        <is>
          <t>敲诈勒索罪</t>
        </is>
      </c>
      <c r="C473" s="34">
        <f>IF(AND($A472&lt;&gt;"",'算罪台'!$B$4&lt;&gt;"",ISNUMBER(SEARCH($A472,'算罪台'!$B$4))),1,0)</f>
        <v/>
      </c>
      <c r="D473" s="34">
        <f>IF(AND($A472&lt;&gt;"",'算罪台'!$B$5&lt;&gt;"",ISNUMBER(SEARCH($A472,'算罪台'!$B$5))),1,0)</f>
        <v/>
      </c>
      <c r="E473" s="34">
        <f>IF(AND($A472&lt;&gt;"",'算罪台'!$B$6&lt;&gt;"",ISNUMBER(SEARCH($A472,'算罪台'!$B$6))),1,0)</f>
        <v/>
      </c>
    </row>
    <row r="474">
      <c r="A474" s="34" t="inlineStr">
        <is>
          <t>勒索他人</t>
        </is>
      </c>
      <c r="B474" s="34" t="inlineStr">
        <is>
          <t>敲诈勒索罪</t>
        </is>
      </c>
      <c r="C474" s="34">
        <f>IF(AND($A473&lt;&gt;"",'算罪台'!$B$4&lt;&gt;"",ISNUMBER(SEARCH($A473,'算罪台'!$B$4))),1,0)</f>
        <v/>
      </c>
      <c r="D474" s="34">
        <f>IF(AND($A473&lt;&gt;"",'算罪台'!$B$5&lt;&gt;"",ISNUMBER(SEARCH($A473,'算罪台'!$B$5))),1,0)</f>
        <v/>
      </c>
      <c r="E474" s="34">
        <f>IF(AND($A473&lt;&gt;"",'算罪台'!$B$6&lt;&gt;"",ISNUMBER(SEARCH($A473,'算罪台'!$B$6))),1,0)</f>
        <v/>
      </c>
    </row>
    <row r="475">
      <c r="A475" s="34" t="inlineStr">
        <is>
          <t>蓄意破坏</t>
        </is>
      </c>
      <c r="B475" s="34" t="inlineStr">
        <is>
          <t>蓄意破坏罪</t>
        </is>
      </c>
      <c r="C475" s="34">
        <f>IF(AND($A474&lt;&gt;"",'算罪台'!$B$4&lt;&gt;"",ISNUMBER(SEARCH($A474,'算罪台'!$B$4))),1,0)</f>
        <v/>
      </c>
      <c r="D475" s="34">
        <f>IF(AND($A474&lt;&gt;"",'算罪台'!$B$5&lt;&gt;"",ISNUMBER(SEARCH($A474,'算罪台'!$B$5))),1,0)</f>
        <v/>
      </c>
      <c r="E475" s="34">
        <f>IF(AND($A474&lt;&gt;"",'算罪台'!$B$6&lt;&gt;"",ISNUMBER(SEARCH($A474,'算罪台'!$B$6))),1,0)</f>
        <v/>
      </c>
    </row>
    <row r="476">
      <c r="A476" s="34" t="inlineStr">
        <is>
          <t>破坏财物</t>
        </is>
      </c>
      <c r="B476" s="34" t="inlineStr">
        <is>
          <t>蓄意破坏罪</t>
        </is>
      </c>
      <c r="C476" s="34">
        <f>IF(AND($A475&lt;&gt;"",'算罪台'!$B$4&lt;&gt;"",ISNUMBER(SEARCH($A475,'算罪台'!$B$4))),1,0)</f>
        <v/>
      </c>
      <c r="D476" s="34">
        <f>IF(AND($A475&lt;&gt;"",'算罪台'!$B$5&lt;&gt;"",ISNUMBER(SEARCH($A475,'算罪台'!$B$5))),1,0)</f>
        <v/>
      </c>
      <c r="E476" s="34">
        <f>IF(AND($A475&lt;&gt;"",'算罪台'!$B$6&lt;&gt;"",ISNUMBER(SEARCH($A475,'算罪台'!$B$6))),1,0)</f>
        <v/>
      </c>
    </row>
    <row r="477">
      <c r="A477" s="34" t="inlineStr">
        <is>
          <t>毁损</t>
        </is>
      </c>
      <c r="B477" s="34" t="inlineStr">
        <is>
          <t>蓄意破坏罪</t>
        </is>
      </c>
      <c r="C477" s="34">
        <f>IF(AND($A476&lt;&gt;"",'算罪台'!$B$4&lt;&gt;"",ISNUMBER(SEARCH($A476,'算罪台'!$B$4))),1,0)</f>
        <v/>
      </c>
      <c r="D477" s="34">
        <f>IF(AND($A476&lt;&gt;"",'算罪台'!$B$5&lt;&gt;"",ISNUMBER(SEARCH($A476,'算罪台'!$B$5))),1,0)</f>
        <v/>
      </c>
      <c r="E477" s="34">
        <f>IF(AND($A476&lt;&gt;"",'算罪台'!$B$6&lt;&gt;"",ISNUMBER(SEARCH($A476,'算罪台'!$B$6))),1,0)</f>
        <v/>
      </c>
    </row>
    <row r="478">
      <c r="A478" s="34" t="inlineStr">
        <is>
          <t>砸车</t>
        </is>
      </c>
      <c r="B478" s="34" t="inlineStr">
        <is>
          <t>蓄意破坏罪</t>
        </is>
      </c>
      <c r="C478" s="34">
        <f>IF(AND($A477&lt;&gt;"",'算罪台'!$B$4&lt;&gt;"",ISNUMBER(SEARCH($A477,'算罪台'!$B$4))),1,0)</f>
        <v/>
      </c>
      <c r="D478" s="34">
        <f>IF(AND($A477&lt;&gt;"",'算罪台'!$B$5&lt;&gt;"",ISNUMBER(SEARCH($A477,'算罪台'!$B$5))),1,0)</f>
        <v/>
      </c>
      <c r="E478" s="34">
        <f>IF(AND($A477&lt;&gt;"",'算罪台'!$B$6&lt;&gt;"",ISNUMBER(SEARCH($A477,'算罪台'!$B$6))),1,0)</f>
        <v/>
      </c>
    </row>
    <row r="479">
      <c r="A479" s="34" t="inlineStr">
        <is>
          <t>打砸</t>
        </is>
      </c>
      <c r="B479" s="34" t="inlineStr">
        <is>
          <t>蓄意破坏罪</t>
        </is>
      </c>
      <c r="C479" s="34">
        <f>IF(AND($A478&lt;&gt;"",'算罪台'!$B$4&lt;&gt;"",ISNUMBER(SEARCH($A478,'算罪台'!$B$4))),1,0)</f>
        <v/>
      </c>
      <c r="D479" s="34">
        <f>IF(AND($A478&lt;&gt;"",'算罪台'!$B$5&lt;&gt;"",ISNUMBER(SEARCH($A478,'算罪台'!$B$5))),1,0)</f>
        <v/>
      </c>
      <c r="E479" s="34">
        <f>IF(AND($A478&lt;&gt;"",'算罪台'!$B$6&lt;&gt;"",ISNUMBER(SEARCH($A478,'算罪台'!$B$6))),1,0)</f>
        <v/>
      </c>
    </row>
    <row r="480">
      <c r="A480" s="34" t="inlineStr">
        <is>
          <t>损毁车辆</t>
        </is>
      </c>
      <c r="B480" s="34" t="inlineStr">
        <is>
          <t>蓄意破坏罪</t>
        </is>
      </c>
      <c r="C480" s="34">
        <f>IF(AND($A479&lt;&gt;"",'算罪台'!$B$4&lt;&gt;"",ISNUMBER(SEARCH($A479,'算罪台'!$B$4))),1,0)</f>
        <v/>
      </c>
      <c r="D480" s="34">
        <f>IF(AND($A479&lt;&gt;"",'算罪台'!$B$5&lt;&gt;"",ISNUMBER(SEARCH($A479,'算罪台'!$B$5))),1,0)</f>
        <v/>
      </c>
      <c r="E480" s="34">
        <f>IF(AND($A479&lt;&gt;"",'算罪台'!$B$6&lt;&gt;"",ISNUMBER(SEARCH($A479,'算罪台'!$B$6))),1,0)</f>
        <v/>
      </c>
    </row>
    <row r="481">
      <c r="A481" s="34" t="inlineStr">
        <is>
          <t>故意损坏</t>
        </is>
      </c>
      <c r="B481" s="34" t="inlineStr">
        <is>
          <t>蓄意破坏罪</t>
        </is>
      </c>
      <c r="C481" s="34">
        <f>IF(AND($A480&lt;&gt;"",'算罪台'!$B$4&lt;&gt;"",ISNUMBER(SEARCH($A480,'算罪台'!$B$4))),1,0)</f>
        <v/>
      </c>
      <c r="D481" s="34">
        <f>IF(AND($A480&lt;&gt;"",'算罪台'!$B$5&lt;&gt;"",ISNUMBER(SEARCH($A480,'算罪台'!$B$5))),1,0)</f>
        <v/>
      </c>
      <c r="E481" s="34">
        <f>IF(AND($A480&lt;&gt;"",'算罪台'!$B$6&lt;&gt;"",ISNUMBER(SEARCH($A480,'算罪台'!$B$6))),1,0)</f>
        <v/>
      </c>
    </row>
    <row r="482">
      <c r="A482" s="34" t="inlineStr">
        <is>
          <t>砸东西</t>
        </is>
      </c>
      <c r="B482" s="34" t="inlineStr">
        <is>
          <t>蓄意破坏罪</t>
        </is>
      </c>
      <c r="C482" s="34">
        <f>IF(AND($A481&lt;&gt;"",'算罪台'!$B$4&lt;&gt;"",ISNUMBER(SEARCH($A481,'算罪台'!$B$4))),1,0)</f>
        <v/>
      </c>
      <c r="D482" s="34">
        <f>IF(AND($A481&lt;&gt;"",'算罪台'!$B$5&lt;&gt;"",ISNUMBER(SEARCH($A481,'算罪台'!$B$5))),1,0)</f>
        <v/>
      </c>
      <c r="E482" s="34">
        <f>IF(AND($A481&lt;&gt;"",'算罪台'!$B$6&lt;&gt;"",ISNUMBER(SEARCH($A481,'算罪台'!$B$6))),1,0)</f>
        <v/>
      </c>
    </row>
    <row r="483">
      <c r="A483" s="34" t="inlineStr">
        <is>
          <t>砸玻璃</t>
        </is>
      </c>
      <c r="B483" s="34" t="inlineStr">
        <is>
          <t>蓄意破坏罪</t>
        </is>
      </c>
      <c r="C483" s="34">
        <f>IF(AND($A482&lt;&gt;"",'算罪台'!$B$4&lt;&gt;"",ISNUMBER(SEARCH($A482,'算罪台'!$B$4))),1,0)</f>
        <v/>
      </c>
      <c r="D483" s="34">
        <f>IF(AND($A482&lt;&gt;"",'算罪台'!$B$5&lt;&gt;"",ISNUMBER(SEARCH($A482,'算罪台'!$B$5))),1,0)</f>
        <v/>
      </c>
      <c r="E483" s="34">
        <f>IF(AND($A482&lt;&gt;"",'算罪台'!$B$6&lt;&gt;"",ISNUMBER(SEARCH($A482,'算罪台'!$B$6))),1,0)</f>
        <v/>
      </c>
    </row>
    <row r="484">
      <c r="A484" s="34" t="inlineStr">
        <is>
          <t>破坏设施</t>
        </is>
      </c>
      <c r="B484" s="34" t="inlineStr">
        <is>
          <t>蓄意破坏罪</t>
        </is>
      </c>
      <c r="C484" s="34">
        <f>IF(AND($A483&lt;&gt;"",'算罪台'!$B$4&lt;&gt;"",ISNUMBER(SEARCH($A483,'算罪台'!$B$4))),1,0)</f>
        <v/>
      </c>
      <c r="D484" s="34">
        <f>IF(AND($A483&lt;&gt;"",'算罪台'!$B$5&lt;&gt;"",ISNUMBER(SEARCH($A483,'算罪台'!$B$5))),1,0)</f>
        <v/>
      </c>
      <c r="E484" s="34">
        <f>IF(AND($A483&lt;&gt;"",'算罪台'!$B$6&lt;&gt;"",ISNUMBER(SEARCH($A483,'算罪台'!$B$6))),1,0)</f>
        <v/>
      </c>
    </row>
    <row r="485">
      <c r="A485" s="34" t="inlineStr">
        <is>
          <t>划车</t>
        </is>
      </c>
      <c r="B485" s="34" t="inlineStr">
        <is>
          <t>蓄意破坏罪</t>
        </is>
      </c>
      <c r="C485" s="34">
        <f>IF(AND($A484&lt;&gt;"",'算罪台'!$B$4&lt;&gt;"",ISNUMBER(SEARCH($A484,'算罪台'!$B$4))),1,0)</f>
        <v/>
      </c>
      <c r="D485" s="34">
        <f>IF(AND($A484&lt;&gt;"",'算罪台'!$B$5&lt;&gt;"",ISNUMBER(SEARCH($A484,'算罪台'!$B$5))),1,0)</f>
        <v/>
      </c>
      <c r="E485" s="34">
        <f>IF(AND($A484&lt;&gt;"",'算罪台'!$B$6&lt;&gt;"",ISNUMBER(SEARCH($A484,'算罪台'!$B$6))),1,0)</f>
        <v/>
      </c>
    </row>
    <row r="486">
      <c r="A486" s="34" t="inlineStr">
        <is>
          <t>撞坏</t>
        </is>
      </c>
      <c r="B486" s="34" t="inlineStr">
        <is>
          <t>蓄意破坏罪</t>
        </is>
      </c>
      <c r="C486" s="34">
        <f>IF(AND($A485&lt;&gt;"",'算罪台'!$B$4&lt;&gt;"",ISNUMBER(SEARCH($A485,'算罪台'!$B$4))),1,0)</f>
        <v/>
      </c>
      <c r="D486" s="34">
        <f>IF(AND($A485&lt;&gt;"",'算罪台'!$B$5&lt;&gt;"",ISNUMBER(SEARCH($A485,'算罪台'!$B$5))),1,0)</f>
        <v/>
      </c>
      <c r="E486" s="34">
        <f>IF(AND($A485&lt;&gt;"",'算罪台'!$B$6&lt;&gt;"",ISNUMBER(SEARCH($A485,'算罪台'!$B$6))),1,0)</f>
        <v/>
      </c>
    </row>
    <row r="487">
      <c r="A487" s="34" t="inlineStr">
        <is>
          <t>砸店</t>
        </is>
      </c>
      <c r="B487" s="34" t="inlineStr">
        <is>
          <t>蓄意破坏罪</t>
        </is>
      </c>
      <c r="C487" s="34">
        <f>IF(AND($A486&lt;&gt;"",'算罪台'!$B$4&lt;&gt;"",ISNUMBER(SEARCH($A486,'算罪台'!$B$4))),1,0)</f>
        <v/>
      </c>
      <c r="D487" s="34">
        <f>IF(AND($A486&lt;&gt;"",'算罪台'!$B$5&lt;&gt;"",ISNUMBER(SEARCH($A486,'算罪台'!$B$5))),1,0)</f>
        <v/>
      </c>
      <c r="E487" s="34">
        <f>IF(AND($A486&lt;&gt;"",'算罪台'!$B$6&lt;&gt;"",ISNUMBER(SEARCH($A486,'算罪台'!$B$6))),1,0)</f>
        <v/>
      </c>
    </row>
    <row r="488">
      <c r="A488" s="34" t="inlineStr">
        <is>
          <t>打砸抢</t>
        </is>
      </c>
      <c r="B488" s="34" t="inlineStr">
        <is>
          <t>蓄意破坏罪</t>
        </is>
      </c>
      <c r="C488" s="34">
        <f>IF(AND($A487&lt;&gt;"",'算罪台'!$B$4&lt;&gt;"",ISNUMBER(SEARCH($A487,'算罪台'!$B$4))),1,0)</f>
        <v/>
      </c>
      <c r="D488" s="34">
        <f>IF(AND($A487&lt;&gt;"",'算罪台'!$B$5&lt;&gt;"",ISNUMBER(SEARCH($A487,'算罪台'!$B$5))),1,0)</f>
        <v/>
      </c>
      <c r="E488" s="34">
        <f>IF(AND($A487&lt;&gt;"",'算罪台'!$B$6&lt;&gt;"",ISNUMBER(SEARCH($A487,'算罪台'!$B$6))),1,0)</f>
        <v/>
      </c>
    </row>
    <row r="489">
      <c r="A489" s="34" t="inlineStr">
        <is>
          <t>砸场子</t>
        </is>
      </c>
      <c r="B489" s="34" t="inlineStr">
        <is>
          <t>蓄意破坏罪</t>
        </is>
      </c>
      <c r="C489" s="34">
        <f>IF(AND($A488&lt;&gt;"",'算罪台'!$B$4&lt;&gt;"",ISNUMBER(SEARCH($A488,'算罪台'!$B$4))),1,0)</f>
        <v/>
      </c>
      <c r="D489" s="34">
        <f>IF(AND($A488&lt;&gt;"",'算罪台'!$B$5&lt;&gt;"",ISNUMBER(SEARCH($A488,'算罪台'!$B$5))),1,0)</f>
        <v/>
      </c>
      <c r="E489" s="34">
        <f>IF(AND($A488&lt;&gt;"",'算罪台'!$B$6&lt;&gt;"",ISNUMBER(SEARCH($A488,'算罪台'!$B$6))),1,0)</f>
        <v/>
      </c>
    </row>
    <row r="490">
      <c r="A490" s="34" t="inlineStr">
        <is>
          <t>砸车窗</t>
        </is>
      </c>
      <c r="B490" s="34" t="inlineStr">
        <is>
          <t>蓄意破坏罪</t>
        </is>
      </c>
      <c r="C490" s="34">
        <f>IF(AND($A489&lt;&gt;"",'算罪台'!$B$4&lt;&gt;"",ISNUMBER(SEARCH($A489,'算罪台'!$B$4))),1,0)</f>
        <v/>
      </c>
      <c r="D490" s="34">
        <f>IF(AND($A489&lt;&gt;"",'算罪台'!$B$5&lt;&gt;"",ISNUMBER(SEARCH($A489,'算罪台'!$B$5))),1,0)</f>
        <v/>
      </c>
      <c r="E490" s="34">
        <f>IF(AND($A489&lt;&gt;"",'算罪台'!$B$6&lt;&gt;"",ISNUMBER(SEARCH($A489,'算罪台'!$B$6))),1,0)</f>
        <v/>
      </c>
    </row>
    <row r="491">
      <c r="A491" s="34" t="inlineStr">
        <is>
          <t>泼漆</t>
        </is>
      </c>
      <c r="B491" s="34" t="inlineStr">
        <is>
          <t>蓄意破坏罪</t>
        </is>
      </c>
      <c r="C491" s="34">
        <f>IF(AND($A490&lt;&gt;"",'算罪台'!$B$4&lt;&gt;"",ISNUMBER(SEARCH($A490,'算罪台'!$B$4))),1,0)</f>
        <v/>
      </c>
      <c r="D491" s="34">
        <f>IF(AND($A490&lt;&gt;"",'算罪台'!$B$5&lt;&gt;"",ISNUMBER(SEARCH($A490,'算罪台'!$B$5))),1,0)</f>
        <v/>
      </c>
      <c r="E491" s="34">
        <f>IF(AND($A490&lt;&gt;"",'算罪台'!$B$6&lt;&gt;"",ISNUMBER(SEARCH($A490,'算罪台'!$B$6))),1,0)</f>
        <v/>
      </c>
    </row>
    <row r="492">
      <c r="A492" s="34" t="inlineStr">
        <is>
          <t>破坏公物</t>
        </is>
      </c>
      <c r="B492" s="34" t="inlineStr">
        <is>
          <t>蓄意破坏罪</t>
        </is>
      </c>
      <c r="C492" s="34">
        <f>IF(AND($A491&lt;&gt;"",'算罪台'!$B$4&lt;&gt;"",ISNUMBER(SEARCH($A491,'算罪台'!$B$4))),1,0)</f>
        <v/>
      </c>
      <c r="D492" s="34">
        <f>IF(AND($A491&lt;&gt;"",'算罪台'!$B$5&lt;&gt;"",ISNUMBER(SEARCH($A491,'算罪台'!$B$5))),1,0)</f>
        <v/>
      </c>
      <c r="E492" s="34">
        <f>IF(AND($A491&lt;&gt;"",'算罪台'!$B$6&lt;&gt;"",ISNUMBER(SEARCH($A491,'算罪台'!$B$6))),1,0)</f>
        <v/>
      </c>
    </row>
    <row r="493">
      <c r="A493" s="34" t="inlineStr">
        <is>
          <t>故意撞坏</t>
        </is>
      </c>
      <c r="B493" s="34" t="inlineStr">
        <is>
          <t>蓄意破坏罪</t>
        </is>
      </c>
      <c r="C493" s="34">
        <f>IF(AND($A492&lt;&gt;"",'算罪台'!$B$4&lt;&gt;"",ISNUMBER(SEARCH($A492,'算罪台'!$B$4))),1,0)</f>
        <v/>
      </c>
      <c r="D493" s="34">
        <f>IF(AND($A492&lt;&gt;"",'算罪台'!$B$5&lt;&gt;"",ISNUMBER(SEARCH($A492,'算罪台'!$B$5))),1,0)</f>
        <v/>
      </c>
      <c r="E493" s="34">
        <f>IF(AND($A492&lt;&gt;"",'算罪台'!$B$6&lt;&gt;"",ISNUMBER(SEARCH($A492,'算罪台'!$B$6))),1,0)</f>
        <v/>
      </c>
    </row>
    <row r="494">
      <c r="A494" s="34" t="inlineStr">
        <is>
          <t>踹坏</t>
        </is>
      </c>
      <c r="B494" s="34" t="inlineStr">
        <is>
          <t>蓄意破坏罪</t>
        </is>
      </c>
      <c r="C494" s="34">
        <f>IF(AND($A493&lt;&gt;"",'算罪台'!$B$4&lt;&gt;"",ISNUMBER(SEARCH($A493,'算罪台'!$B$4))),1,0)</f>
        <v/>
      </c>
      <c r="D494" s="34">
        <f>IF(AND($A493&lt;&gt;"",'算罪台'!$B$5&lt;&gt;"",ISNUMBER(SEARCH($A493,'算罪台'!$B$5))),1,0)</f>
        <v/>
      </c>
      <c r="E494" s="34">
        <f>IF(AND($A493&lt;&gt;"",'算罪台'!$B$6&lt;&gt;"",ISNUMBER(SEARCH($A493,'算罪台'!$B$6))),1,0)</f>
        <v/>
      </c>
    </row>
    <row r="495">
      <c r="A495" s="34" t="inlineStr">
        <is>
          <t>拆了</t>
        </is>
      </c>
      <c r="B495" s="34" t="inlineStr">
        <is>
          <t>蓄意破坏罪</t>
        </is>
      </c>
      <c r="C495" s="34">
        <f>IF(AND($A494&lt;&gt;"",'算罪台'!$B$4&lt;&gt;"",ISNUMBER(SEARCH($A494,'算罪台'!$B$4))),1,0)</f>
        <v/>
      </c>
      <c r="D495" s="34">
        <f>IF(AND($A494&lt;&gt;"",'算罪台'!$B$5&lt;&gt;"",ISNUMBER(SEARCH($A494,'算罪台'!$B$5))),1,0)</f>
        <v/>
      </c>
      <c r="E495" s="34">
        <f>IF(AND($A494&lt;&gt;"",'算罪台'!$B$6&lt;&gt;"",ISNUMBER(SEARCH($A494,'算罪台'!$B$6))),1,0)</f>
        <v/>
      </c>
    </row>
    <row r="496">
      <c r="A496" s="34" t="inlineStr">
        <is>
          <t>毁了他的</t>
        </is>
      </c>
      <c r="B496" s="34" t="inlineStr">
        <is>
          <t>蓄意破坏罪</t>
        </is>
      </c>
      <c r="C496" s="34">
        <f>IF(AND($A495&lt;&gt;"",'算罪台'!$B$4&lt;&gt;"",ISNUMBER(SEARCH($A495,'算罪台'!$B$4))),1,0)</f>
        <v/>
      </c>
      <c r="D496" s="34">
        <f>IF(AND($A495&lt;&gt;"",'算罪台'!$B$5&lt;&gt;"",ISNUMBER(SEARCH($A495,'算罪台'!$B$5))),1,0)</f>
        <v/>
      </c>
      <c r="E496" s="34">
        <f>IF(AND($A495&lt;&gt;"",'算罪台'!$B$6&lt;&gt;"",ISNUMBER(SEARCH($A495,'算罪台'!$B$6))),1,0)</f>
        <v/>
      </c>
    </row>
    <row r="497">
      <c r="A497" s="34" t="inlineStr">
        <is>
          <t>砸烂</t>
        </is>
      </c>
      <c r="B497" s="34" t="inlineStr">
        <is>
          <t>蓄意破坏罪</t>
        </is>
      </c>
      <c r="C497" s="34">
        <f>IF(AND($A496&lt;&gt;"",'算罪台'!$B$4&lt;&gt;"",ISNUMBER(SEARCH($A496,'算罪台'!$B$4))),1,0)</f>
        <v/>
      </c>
      <c r="D497" s="34">
        <f>IF(AND($A496&lt;&gt;"",'算罪台'!$B$5&lt;&gt;"",ISNUMBER(SEARCH($A496,'算罪台'!$B$5))),1,0)</f>
        <v/>
      </c>
      <c r="E497" s="34">
        <f>IF(AND($A496&lt;&gt;"",'算罪台'!$B$6&lt;&gt;"",ISNUMBER(SEARCH($A496,'算罪台'!$B$6))),1,0)</f>
        <v/>
      </c>
    </row>
    <row r="498">
      <c r="A498" s="34" t="inlineStr">
        <is>
          <t>砸坏</t>
        </is>
      </c>
      <c r="B498" s="34" t="inlineStr">
        <is>
          <t>蓄意破坏罪</t>
        </is>
      </c>
      <c r="C498" s="34">
        <f>IF(AND($A497&lt;&gt;"",'算罪台'!$B$4&lt;&gt;"",ISNUMBER(SEARCH($A497,'算罪台'!$B$4))),1,0)</f>
        <v/>
      </c>
      <c r="D498" s="34">
        <f>IF(AND($A497&lt;&gt;"",'算罪台'!$B$5&lt;&gt;"",ISNUMBER(SEARCH($A497,'算罪台'!$B$5))),1,0)</f>
        <v/>
      </c>
      <c r="E498" s="34">
        <f>IF(AND($A497&lt;&gt;"",'算罪台'!$B$6&lt;&gt;"",ISNUMBER(SEARCH($A497,'算罪台'!$B$6))),1,0)</f>
        <v/>
      </c>
    </row>
    <row r="499">
      <c r="A499" s="34" t="inlineStr">
        <is>
          <t>故意破坏</t>
        </is>
      </c>
      <c r="B499" s="34" t="inlineStr">
        <is>
          <t>蓄意破坏罪</t>
        </is>
      </c>
      <c r="C499" s="34">
        <f>IF(AND($A498&lt;&gt;"",'算罪台'!$B$4&lt;&gt;"",ISNUMBER(SEARCH($A498,'算罪台'!$B$4))),1,0)</f>
        <v/>
      </c>
      <c r="D499" s="34">
        <f>IF(AND($A498&lt;&gt;"",'算罪台'!$B$5&lt;&gt;"",ISNUMBER(SEARCH($A498,'算罪台'!$B$5))),1,0)</f>
        <v/>
      </c>
      <c r="E499" s="34">
        <f>IF(AND($A498&lt;&gt;"",'算罪台'!$B$6&lt;&gt;"",ISNUMBER(SEARCH($A498,'算罪台'!$B$6))),1,0)</f>
        <v/>
      </c>
    </row>
    <row r="500">
      <c r="A500" s="34" t="inlineStr">
        <is>
          <t>恶意破坏</t>
        </is>
      </c>
      <c r="B500" s="34" t="inlineStr">
        <is>
          <t>蓄意破坏罪</t>
        </is>
      </c>
      <c r="C500" s="34">
        <f>IF(AND($A499&lt;&gt;"",'算罪台'!$B$4&lt;&gt;"",ISNUMBER(SEARCH($A499,'算罪台'!$B$4))),1,0)</f>
        <v/>
      </c>
      <c r="D500" s="34">
        <f>IF(AND($A499&lt;&gt;"",'算罪台'!$B$5&lt;&gt;"",ISNUMBER(SEARCH($A499,'算罪台'!$B$5))),1,0)</f>
        <v/>
      </c>
      <c r="E500" s="34">
        <f>IF(AND($A499&lt;&gt;"",'算罪台'!$B$6&lt;&gt;"",ISNUMBER(SEARCH($A499,'算罪台'!$B$6))),1,0)</f>
        <v/>
      </c>
    </row>
    <row r="501">
      <c r="A501" s="34" t="inlineStr">
        <is>
          <t>损坏财物</t>
        </is>
      </c>
      <c r="B501" s="34" t="inlineStr">
        <is>
          <t>蓄意破坏罪</t>
        </is>
      </c>
      <c r="C501" s="34">
        <f>IF(AND($A500&lt;&gt;"",'算罪台'!$B$4&lt;&gt;"",ISNUMBER(SEARCH($A500,'算罪台'!$B$4))),1,0)</f>
        <v/>
      </c>
      <c r="D501" s="34">
        <f>IF(AND($A500&lt;&gt;"",'算罪台'!$B$5&lt;&gt;"",ISNUMBER(SEARCH($A500,'算罪台'!$B$5))),1,0)</f>
        <v/>
      </c>
      <c r="E501" s="34">
        <f>IF(AND($A500&lt;&gt;"",'算罪台'!$B$6&lt;&gt;"",ISNUMBER(SEARCH($A500,'算罪台'!$B$6))),1,0)</f>
        <v/>
      </c>
    </row>
    <row r="502">
      <c r="A502" s="34" t="inlineStr">
        <is>
          <t>破坏车辆</t>
        </is>
      </c>
      <c r="B502" s="34" t="inlineStr">
        <is>
          <t>蓄意破坏罪</t>
        </is>
      </c>
      <c r="C502" s="34">
        <f>IF(AND($A501&lt;&gt;"",'算罪台'!$B$4&lt;&gt;"",ISNUMBER(SEARCH($A501,'算罪台'!$B$4))),1,0)</f>
        <v/>
      </c>
      <c r="D502" s="34">
        <f>IF(AND($A501&lt;&gt;"",'算罪台'!$B$5&lt;&gt;"",ISNUMBER(SEARCH($A501,'算罪台'!$B$5))),1,0)</f>
        <v/>
      </c>
      <c r="E502" s="34">
        <f>IF(AND($A501&lt;&gt;"",'算罪台'!$B$6&lt;&gt;"",ISNUMBER(SEARCH($A501,'算罪台'!$B$6))),1,0)</f>
        <v/>
      </c>
    </row>
    <row r="503">
      <c r="A503" s="34" t="inlineStr">
        <is>
          <t>砸毁</t>
        </is>
      </c>
      <c r="B503" s="34" t="inlineStr">
        <is>
          <t>蓄意破坏罪</t>
        </is>
      </c>
      <c r="C503" s="34">
        <f>IF(AND($A502&lt;&gt;"",'算罪台'!$B$4&lt;&gt;"",ISNUMBER(SEARCH($A502,'算罪台'!$B$4))),1,0)</f>
        <v/>
      </c>
      <c r="D503" s="34">
        <f>IF(AND($A502&lt;&gt;"",'算罪台'!$B$5&lt;&gt;"",ISNUMBER(SEARCH($A502,'算罪台'!$B$5))),1,0)</f>
        <v/>
      </c>
      <c r="E503" s="34">
        <f>IF(AND($A502&lt;&gt;"",'算罪台'!$B$6&lt;&gt;"",ISNUMBER(SEARCH($A502,'算罪台'!$B$6))),1,0)</f>
        <v/>
      </c>
    </row>
    <row r="504">
      <c r="A504" s="34" t="inlineStr">
        <is>
          <t>毁坏公物</t>
        </is>
      </c>
      <c r="B504" s="34" t="inlineStr">
        <is>
          <t>蓄意破坏罪</t>
        </is>
      </c>
      <c r="C504" s="34">
        <f>IF(AND($A503&lt;&gt;"",'算罪台'!$B$4&lt;&gt;"",ISNUMBER(SEARCH($A503,'算罪台'!$B$4))),1,0)</f>
        <v/>
      </c>
      <c r="D504" s="34">
        <f>IF(AND($A503&lt;&gt;"",'算罪台'!$B$5&lt;&gt;"",ISNUMBER(SEARCH($A503,'算罪台'!$B$5))),1,0)</f>
        <v/>
      </c>
      <c r="E504" s="34">
        <f>IF(AND($A503&lt;&gt;"",'算罪台'!$B$6&lt;&gt;"",ISNUMBER(SEARCH($A503,'算罪台'!$B$6))),1,0)</f>
        <v/>
      </c>
    </row>
    <row r="505">
      <c r="A505" s="34" t="inlineStr">
        <is>
          <t>打砸店铺</t>
        </is>
      </c>
      <c r="B505" s="34" t="inlineStr">
        <is>
          <t>蓄意破坏罪</t>
        </is>
      </c>
      <c r="C505" s="34">
        <f>IF(AND($A504&lt;&gt;"",'算罪台'!$B$4&lt;&gt;"",ISNUMBER(SEARCH($A504,'算罪台'!$B$4))),1,0)</f>
        <v/>
      </c>
      <c r="D505" s="34">
        <f>IF(AND($A504&lt;&gt;"",'算罪台'!$B$5&lt;&gt;"",ISNUMBER(SEARCH($A504,'算罪台'!$B$5))),1,0)</f>
        <v/>
      </c>
      <c r="E505" s="34">
        <f>IF(AND($A504&lt;&gt;"",'算罪台'!$B$6&lt;&gt;"",ISNUMBER(SEARCH($A504,'算罪台'!$B$6))),1,0)</f>
        <v/>
      </c>
    </row>
    <row r="506">
      <c r="A506" s="34" t="inlineStr">
        <is>
          <t>破坏设备</t>
        </is>
      </c>
      <c r="B506" s="34" t="inlineStr">
        <is>
          <t>蓄意破坏罪</t>
        </is>
      </c>
      <c r="C506" s="34">
        <f>IF(AND($A505&lt;&gt;"",'算罪台'!$B$4&lt;&gt;"",ISNUMBER(SEARCH($A505,'算罪台'!$B$4))),1,0)</f>
        <v/>
      </c>
      <c r="D506" s="34">
        <f>IF(AND($A505&lt;&gt;"",'算罪台'!$B$5&lt;&gt;"",ISNUMBER(SEARCH($A505,'算罪台'!$B$5))),1,0)</f>
        <v/>
      </c>
      <c r="E506" s="34">
        <f>IF(AND($A505&lt;&gt;"",'算罪台'!$B$6&lt;&gt;"",ISNUMBER(SEARCH($A505,'算罪台'!$B$6))),1,0)</f>
        <v/>
      </c>
    </row>
    <row r="507">
      <c r="A507" s="34" t="inlineStr">
        <is>
          <t>毁坏财物</t>
        </is>
      </c>
      <c r="B507" s="34" t="inlineStr">
        <is>
          <t>蓄意破坏罪</t>
        </is>
      </c>
      <c r="C507" s="34">
        <f>IF(AND($A506&lt;&gt;"",'算罪台'!$B$4&lt;&gt;"",ISNUMBER(SEARCH($A506,'算罪台'!$B$4))),1,0)</f>
        <v/>
      </c>
      <c r="D507" s="34">
        <f>IF(AND($A506&lt;&gt;"",'算罪台'!$B$5&lt;&gt;"",ISNUMBER(SEARCH($A506,'算罪台'!$B$5))),1,0)</f>
        <v/>
      </c>
      <c r="E507" s="34">
        <f>IF(AND($A506&lt;&gt;"",'算罪台'!$B$6&lt;&gt;"",ISNUMBER(SEARCH($A506,'算罪台'!$B$6))),1,0)</f>
        <v/>
      </c>
    </row>
    <row r="508">
      <c r="A508" s="34" t="inlineStr">
        <is>
          <t>挪用公款</t>
        </is>
      </c>
      <c r="B508" s="34" t="inlineStr">
        <is>
          <t>挪用公款公物罪</t>
        </is>
      </c>
      <c r="C508" s="34">
        <f>IF(AND($A507&lt;&gt;"",'算罪台'!$B$4&lt;&gt;"",ISNUMBER(SEARCH($A507,'算罪台'!$B$4))),1,0)</f>
        <v/>
      </c>
      <c r="D508" s="34">
        <f>IF(AND($A507&lt;&gt;"",'算罪台'!$B$5&lt;&gt;"",ISNUMBER(SEARCH($A507,'算罪台'!$B$5))),1,0)</f>
        <v/>
      </c>
      <c r="E508" s="34">
        <f>IF(AND($A507&lt;&gt;"",'算罪台'!$B$6&lt;&gt;"",ISNUMBER(SEARCH($A507,'算罪台'!$B$6))),1,0)</f>
        <v/>
      </c>
    </row>
    <row r="509">
      <c r="A509" s="34" t="inlineStr">
        <is>
          <t>挪用公物</t>
        </is>
      </c>
      <c r="B509" s="34" t="inlineStr">
        <is>
          <t>挪用公款公物罪</t>
        </is>
      </c>
      <c r="C509" s="34">
        <f>IF(AND($A508&lt;&gt;"",'算罪台'!$B$4&lt;&gt;"",ISNUMBER(SEARCH($A508,'算罪台'!$B$4))),1,0)</f>
        <v/>
      </c>
      <c r="D509" s="34">
        <f>IF(AND($A508&lt;&gt;"",'算罪台'!$B$5&lt;&gt;"",ISNUMBER(SEARCH($A508,'算罪台'!$B$5))),1,0)</f>
        <v/>
      </c>
      <c r="E509" s="34">
        <f>IF(AND($A508&lt;&gt;"",'算罪台'!$B$6&lt;&gt;"",ISNUMBER(SEARCH($A508,'算罪台'!$B$6))),1,0)</f>
        <v/>
      </c>
    </row>
    <row r="510">
      <c r="A510" s="34" t="inlineStr">
        <is>
          <t>侵占公款</t>
        </is>
      </c>
      <c r="B510" s="34" t="inlineStr">
        <is>
          <t>挪用公款公物罪</t>
        </is>
      </c>
      <c r="C510" s="34">
        <f>IF(AND($A509&lt;&gt;"",'算罪台'!$B$4&lt;&gt;"",ISNUMBER(SEARCH($A509,'算罪台'!$B$4))),1,0)</f>
        <v/>
      </c>
      <c r="D510" s="34">
        <f>IF(AND($A509&lt;&gt;"",'算罪台'!$B$5&lt;&gt;"",ISNUMBER(SEARCH($A509,'算罪台'!$B$5))),1,0)</f>
        <v/>
      </c>
      <c r="E510" s="34">
        <f>IF(AND($A509&lt;&gt;"",'算罪台'!$B$6&lt;&gt;"",ISNUMBER(SEARCH($A509,'算罪台'!$B$6))),1,0)</f>
        <v/>
      </c>
    </row>
    <row r="511">
      <c r="A511" s="34" t="inlineStr">
        <is>
          <t>职务侵占</t>
        </is>
      </c>
      <c r="B511" s="34" t="inlineStr">
        <is>
          <t>挪用公款公物罪</t>
        </is>
      </c>
      <c r="C511" s="34">
        <f>IF(AND($A510&lt;&gt;"",'算罪台'!$B$4&lt;&gt;"",ISNUMBER(SEARCH($A510,'算罪台'!$B$4))),1,0)</f>
        <v/>
      </c>
      <c r="D511" s="34">
        <f>IF(AND($A510&lt;&gt;"",'算罪台'!$B$5&lt;&gt;"",ISNUMBER(SEARCH($A510,'算罪台'!$B$5))),1,0)</f>
        <v/>
      </c>
      <c r="E511" s="34">
        <f>IF(AND($A510&lt;&gt;"",'算罪台'!$B$6&lt;&gt;"",ISNUMBER(SEARCH($A510,'算罪台'!$B$6))),1,0)</f>
        <v/>
      </c>
    </row>
    <row r="512">
      <c r="A512" s="34" t="inlineStr">
        <is>
          <t>挪用公家</t>
        </is>
      </c>
      <c r="B512" s="34" t="inlineStr">
        <is>
          <t>挪用公款公物罪</t>
        </is>
      </c>
      <c r="C512" s="34">
        <f>IF(AND($A511&lt;&gt;"",'算罪台'!$B$4&lt;&gt;"",ISNUMBER(SEARCH($A511,'算罪台'!$B$4))),1,0)</f>
        <v/>
      </c>
      <c r="D512" s="34">
        <f>IF(AND($A511&lt;&gt;"",'算罪台'!$B$5&lt;&gt;"",ISNUMBER(SEARCH($A511,'算罪台'!$B$5))),1,0)</f>
        <v/>
      </c>
      <c r="E512" s="34">
        <f>IF(AND($A511&lt;&gt;"",'算罪台'!$B$6&lt;&gt;"",ISNUMBER(SEARCH($A511,'算罪台'!$B$6))),1,0)</f>
        <v/>
      </c>
    </row>
    <row r="513">
      <c r="A513" s="34" t="inlineStr">
        <is>
          <t>私吞公款</t>
        </is>
      </c>
      <c r="B513" s="34" t="inlineStr">
        <is>
          <t>挪用公款公物罪</t>
        </is>
      </c>
      <c r="C513" s="34">
        <f>IF(AND($A512&lt;&gt;"",'算罪台'!$B$4&lt;&gt;"",ISNUMBER(SEARCH($A512,'算罪台'!$B$4))),1,0)</f>
        <v/>
      </c>
      <c r="D513" s="34">
        <f>IF(AND($A512&lt;&gt;"",'算罪台'!$B$5&lt;&gt;"",ISNUMBER(SEARCH($A512,'算罪台'!$B$5))),1,0)</f>
        <v/>
      </c>
      <c r="E513" s="34">
        <f>IF(AND($A512&lt;&gt;"",'算罪台'!$B$6&lt;&gt;"",ISNUMBER(SEARCH($A512,'算罪台'!$B$6))),1,0)</f>
        <v/>
      </c>
    </row>
    <row r="514">
      <c r="A514" s="34" t="inlineStr">
        <is>
          <t>贪公款</t>
        </is>
      </c>
      <c r="B514" s="34" t="inlineStr">
        <is>
          <t>挪用公款公物罪</t>
        </is>
      </c>
      <c r="C514" s="34">
        <f>IF(AND($A513&lt;&gt;"",'算罪台'!$B$4&lt;&gt;"",ISNUMBER(SEARCH($A513,'算罪台'!$B$4))),1,0)</f>
        <v/>
      </c>
      <c r="D514" s="34">
        <f>IF(AND($A513&lt;&gt;"",'算罪台'!$B$5&lt;&gt;"",ISNUMBER(SEARCH($A513,'算罪台'!$B$5))),1,0)</f>
        <v/>
      </c>
      <c r="E514" s="34">
        <f>IF(AND($A513&lt;&gt;"",'算罪台'!$B$6&lt;&gt;"",ISNUMBER(SEARCH($A513,'算罪台'!$B$6))),1,0)</f>
        <v/>
      </c>
    </row>
    <row r="515">
      <c r="A515" s="34" t="inlineStr">
        <is>
          <t>占用公物</t>
        </is>
      </c>
      <c r="B515" s="34" t="inlineStr">
        <is>
          <t>挪用公款公物罪</t>
        </is>
      </c>
      <c r="C515" s="34">
        <f>IF(AND($A514&lt;&gt;"",'算罪台'!$B$4&lt;&gt;"",ISNUMBER(SEARCH($A514,'算罪台'!$B$4))),1,0)</f>
        <v/>
      </c>
      <c r="D515" s="34">
        <f>IF(AND($A514&lt;&gt;"",'算罪台'!$B$5&lt;&gt;"",ISNUMBER(SEARCH($A514,'算罪台'!$B$5))),1,0)</f>
        <v/>
      </c>
      <c r="E515" s="34">
        <f>IF(AND($A514&lt;&gt;"",'算罪台'!$B$6&lt;&gt;"",ISNUMBER(SEARCH($A514,'算罪台'!$B$6))),1,0)</f>
        <v/>
      </c>
    </row>
    <row r="516">
      <c r="A516" s="34" t="inlineStr">
        <is>
          <t>挪用资金</t>
        </is>
      </c>
      <c r="B516" s="34" t="inlineStr">
        <is>
          <t>挪用公款公物罪</t>
        </is>
      </c>
      <c r="C516" s="34">
        <f>IF(AND($A515&lt;&gt;"",'算罪台'!$B$4&lt;&gt;"",ISNUMBER(SEARCH($A515,'算罪台'!$B$4))),1,0)</f>
        <v/>
      </c>
      <c r="D516" s="34">
        <f>IF(AND($A515&lt;&gt;"",'算罪台'!$B$5&lt;&gt;"",ISNUMBER(SEARCH($A515,'算罪台'!$B$5))),1,0)</f>
        <v/>
      </c>
      <c r="E516" s="34">
        <f>IF(AND($A515&lt;&gt;"",'算罪台'!$B$6&lt;&gt;"",ISNUMBER(SEARCH($A515,'算罪台'!$B$6))),1,0)</f>
        <v/>
      </c>
    </row>
    <row r="517">
      <c r="A517" s="34" t="inlineStr">
        <is>
          <t>侵吞公款</t>
        </is>
      </c>
      <c r="B517" s="34" t="inlineStr">
        <is>
          <t>挪用公款公物罪</t>
        </is>
      </c>
      <c r="C517" s="34">
        <f>IF(AND($A516&lt;&gt;"",'算罪台'!$B$4&lt;&gt;"",ISNUMBER(SEARCH($A516,'算罪台'!$B$4))),1,0)</f>
        <v/>
      </c>
      <c r="D517" s="34">
        <f>IF(AND($A516&lt;&gt;"",'算罪台'!$B$5&lt;&gt;"",ISNUMBER(SEARCH($A516,'算罪台'!$B$5))),1,0)</f>
        <v/>
      </c>
      <c r="E517" s="34">
        <f>IF(AND($A516&lt;&gt;"",'算罪台'!$B$6&lt;&gt;"",ISNUMBER(SEARCH($A516,'算罪台'!$B$6))),1,0)</f>
        <v/>
      </c>
    </row>
    <row r="518">
      <c r="A518" s="34" t="inlineStr">
        <is>
          <t>挪用公家钱</t>
        </is>
      </c>
      <c r="B518" s="34" t="inlineStr">
        <is>
          <t>挪用公款公物罪</t>
        </is>
      </c>
      <c r="C518" s="34">
        <f>IF(AND($A517&lt;&gt;"",'算罪台'!$B$4&lt;&gt;"",ISNUMBER(SEARCH($A517,'算罪台'!$B$4))),1,0)</f>
        <v/>
      </c>
      <c r="D518" s="34">
        <f>IF(AND($A517&lt;&gt;"",'算罪台'!$B$5&lt;&gt;"",ISNUMBER(SEARCH($A517,'算罪台'!$B$5))),1,0)</f>
        <v/>
      </c>
      <c r="E518" s="34">
        <f>IF(AND($A517&lt;&gt;"",'算罪台'!$B$6&lt;&gt;"",ISNUMBER(SEARCH($A517,'算罪台'!$B$6))),1,0)</f>
        <v/>
      </c>
    </row>
    <row r="519">
      <c r="A519" s="34" t="inlineStr">
        <is>
          <t>擅自动用公款</t>
        </is>
      </c>
      <c r="B519" s="34" t="inlineStr">
        <is>
          <t>挪用公款公物罪</t>
        </is>
      </c>
      <c r="C519" s="34">
        <f>IF(AND($A518&lt;&gt;"",'算罪台'!$B$4&lt;&gt;"",ISNUMBER(SEARCH($A518,'算罪台'!$B$4))),1,0)</f>
        <v/>
      </c>
      <c r="D519" s="34">
        <f>IF(AND($A518&lt;&gt;"",'算罪台'!$B$5&lt;&gt;"",ISNUMBER(SEARCH($A518,'算罪台'!$B$5))),1,0)</f>
        <v/>
      </c>
      <c r="E519" s="34">
        <f>IF(AND($A518&lt;&gt;"",'算罪台'!$B$6&lt;&gt;"",ISNUMBER(SEARCH($A518,'算罪台'!$B$6))),1,0)</f>
        <v/>
      </c>
    </row>
    <row r="520">
      <c r="A520" s="34" t="inlineStr">
        <is>
          <t>占用公家财物</t>
        </is>
      </c>
      <c r="B520" s="34" t="inlineStr">
        <is>
          <t>挪用公款公物罪</t>
        </is>
      </c>
      <c r="C520" s="34">
        <f>IF(AND($A519&lt;&gt;"",'算罪台'!$B$4&lt;&gt;"",ISNUMBER(SEARCH($A519,'算罪台'!$B$4))),1,0)</f>
        <v/>
      </c>
      <c r="D520" s="34">
        <f>IF(AND($A519&lt;&gt;"",'算罪台'!$B$5&lt;&gt;"",ISNUMBER(SEARCH($A519,'算罪台'!$B$5))),1,0)</f>
        <v/>
      </c>
      <c r="E520" s="34">
        <f>IF(AND($A519&lt;&gt;"",'算罪台'!$B$6&lt;&gt;"",ISNUMBER(SEARCH($A519,'算罪台'!$B$6))),1,0)</f>
        <v/>
      </c>
    </row>
    <row r="521">
      <c r="A521" s="34" t="inlineStr">
        <is>
          <t>私用公款</t>
        </is>
      </c>
      <c r="B521" s="34" t="inlineStr">
        <is>
          <t>挪用公款公物罪</t>
        </is>
      </c>
      <c r="C521" s="34">
        <f>IF(AND($A520&lt;&gt;"",'算罪台'!$B$4&lt;&gt;"",ISNUMBER(SEARCH($A520,'算罪台'!$B$4))),1,0)</f>
        <v/>
      </c>
      <c r="D521" s="34">
        <f>IF(AND($A520&lt;&gt;"",'算罪台'!$B$5&lt;&gt;"",ISNUMBER(SEARCH($A520,'算罪台'!$B$5))),1,0)</f>
        <v/>
      </c>
      <c r="E521" s="34">
        <f>IF(AND($A520&lt;&gt;"",'算罪台'!$B$6&lt;&gt;"",ISNUMBER(SEARCH($A520,'算罪台'!$B$6))),1,0)</f>
        <v/>
      </c>
    </row>
    <row r="522">
      <c r="A522" s="34" t="inlineStr">
        <is>
          <t>持有失窃物品</t>
        </is>
      </c>
      <c r="B522" s="34" t="inlineStr">
        <is>
          <t>持有失窃物品罪</t>
        </is>
      </c>
      <c r="C522" s="34">
        <f>IF(AND($A521&lt;&gt;"",'算罪台'!$B$4&lt;&gt;"",ISNUMBER(SEARCH($A521,'算罪台'!$B$4))),1,0)</f>
        <v/>
      </c>
      <c r="D522" s="34">
        <f>IF(AND($A521&lt;&gt;"",'算罪台'!$B$5&lt;&gt;"",ISNUMBER(SEARCH($A521,'算罪台'!$B$5))),1,0)</f>
        <v/>
      </c>
      <c r="E522" s="34">
        <f>IF(AND($A521&lt;&gt;"",'算罪台'!$B$6&lt;&gt;"",ISNUMBER(SEARCH($A521,'算罪台'!$B$6))),1,0)</f>
        <v/>
      </c>
    </row>
    <row r="523">
      <c r="A523" s="34" t="inlineStr">
        <is>
          <t>持有失窃</t>
        </is>
      </c>
      <c r="B523" s="34" t="inlineStr">
        <is>
          <t>持有失窃物品罪</t>
        </is>
      </c>
      <c r="C523" s="34">
        <f>IF(AND($A522&lt;&gt;"",'算罪台'!$B$4&lt;&gt;"",ISNUMBER(SEARCH($A522,'算罪台'!$B$4))),1,0)</f>
        <v/>
      </c>
      <c r="D523" s="34">
        <f>IF(AND($A522&lt;&gt;"",'算罪台'!$B$5&lt;&gt;"",ISNUMBER(SEARCH($A522,'算罪台'!$B$5))),1,0)</f>
        <v/>
      </c>
      <c r="E523" s="34">
        <f>IF(AND($A522&lt;&gt;"",'算罪台'!$B$6&lt;&gt;"",ISNUMBER(SEARCH($A522,'算罪台'!$B$6))),1,0)</f>
        <v/>
      </c>
    </row>
    <row r="524">
      <c r="A524" s="34" t="inlineStr">
        <is>
          <t>捡到不还</t>
        </is>
      </c>
      <c r="B524" s="34" t="inlineStr">
        <is>
          <t>持有失窃物品罪</t>
        </is>
      </c>
      <c r="C524" s="34">
        <f>IF(AND($A523&lt;&gt;"",'算罪台'!$B$4&lt;&gt;"",ISNUMBER(SEARCH($A523,'算罪台'!$B$4))),1,0)</f>
        <v/>
      </c>
      <c r="D524" s="34">
        <f>IF(AND($A523&lt;&gt;"",'算罪台'!$B$5&lt;&gt;"",ISNUMBER(SEARCH($A523,'算罪台'!$B$5))),1,0)</f>
        <v/>
      </c>
      <c r="E524" s="34">
        <f>IF(AND($A523&lt;&gt;"",'算罪台'!$B$6&lt;&gt;"",ISNUMBER(SEARCH($A523,'算罪台'!$B$6))),1,0)</f>
        <v/>
      </c>
    </row>
    <row r="525">
      <c r="A525" s="34" t="inlineStr">
        <is>
          <t>非法占有遗失物</t>
        </is>
      </c>
      <c r="B525" s="34" t="inlineStr">
        <is>
          <t>持有失窃物品罪</t>
        </is>
      </c>
      <c r="C525" s="34">
        <f>IF(AND($A524&lt;&gt;"",'算罪台'!$B$4&lt;&gt;"",ISNUMBER(SEARCH($A524,'算罪台'!$B$4))),1,0)</f>
        <v/>
      </c>
      <c r="D525" s="34">
        <f>IF(AND($A524&lt;&gt;"",'算罪台'!$B$5&lt;&gt;"",ISNUMBER(SEARCH($A524,'算罪台'!$B$5))),1,0)</f>
        <v/>
      </c>
      <c r="E525" s="34">
        <f>IF(AND($A524&lt;&gt;"",'算罪台'!$B$6&lt;&gt;"",ISNUMBER(SEARCH($A524,'算罪台'!$B$6))),1,0)</f>
        <v/>
      </c>
    </row>
    <row r="526">
      <c r="A526" s="34" t="inlineStr">
        <is>
          <t>藏着别人丢的</t>
        </is>
      </c>
      <c r="B526" s="34" t="inlineStr">
        <is>
          <t>持有失窃物品罪</t>
        </is>
      </c>
      <c r="C526" s="34">
        <f>IF(AND($A525&lt;&gt;"",'算罪台'!$B$4&lt;&gt;"",ISNUMBER(SEARCH($A525,'算罪台'!$B$4))),1,0)</f>
        <v/>
      </c>
      <c r="D526" s="34">
        <f>IF(AND($A525&lt;&gt;"",'算罪台'!$B$5&lt;&gt;"",ISNUMBER(SEARCH($A525,'算罪台'!$B$5))),1,0)</f>
        <v/>
      </c>
      <c r="E526" s="34">
        <f>IF(AND($A525&lt;&gt;"",'算罪台'!$B$6&lt;&gt;"",ISNUMBER(SEARCH($A525,'算罪台'!$B$6))),1,0)</f>
        <v/>
      </c>
    </row>
    <row r="527">
      <c r="A527" s="34" t="inlineStr">
        <is>
          <t>拿着赃物</t>
        </is>
      </c>
      <c r="B527" s="34" t="inlineStr">
        <is>
          <t>持有失窃物品罪</t>
        </is>
      </c>
      <c r="C527" s="34">
        <f>IF(AND($A526&lt;&gt;"",'算罪台'!$B$4&lt;&gt;"",ISNUMBER(SEARCH($A526,'算罪台'!$B$4))),1,0)</f>
        <v/>
      </c>
      <c r="D527" s="34">
        <f>IF(AND($A526&lt;&gt;"",'算罪台'!$B$5&lt;&gt;"",ISNUMBER(SEARCH($A526,'算罪台'!$B$5))),1,0)</f>
        <v/>
      </c>
      <c r="E527" s="34">
        <f>IF(AND($A526&lt;&gt;"",'算罪台'!$B$6&lt;&gt;"",ISNUMBER(SEARCH($A526,'算罪台'!$B$6))),1,0)</f>
        <v/>
      </c>
    </row>
    <row r="528">
      <c r="A528" s="34" t="inlineStr">
        <is>
          <t>藏着偷来的</t>
        </is>
      </c>
      <c r="B528" s="34" t="inlineStr">
        <is>
          <t>持有失窃物品罪</t>
        </is>
      </c>
      <c r="C528" s="34">
        <f>IF(AND($A527&lt;&gt;"",'算罪台'!$B$4&lt;&gt;"",ISNUMBER(SEARCH($A527,'算罪台'!$B$4))),1,0)</f>
        <v/>
      </c>
      <c r="D528" s="34">
        <f>IF(AND($A527&lt;&gt;"",'算罪台'!$B$5&lt;&gt;"",ISNUMBER(SEARCH($A527,'算罪台'!$B$5))),1,0)</f>
        <v/>
      </c>
      <c r="E528" s="34">
        <f>IF(AND($A527&lt;&gt;"",'算罪台'!$B$6&lt;&gt;"",ISNUMBER(SEARCH($A527,'算罪台'!$B$6))),1,0)</f>
        <v/>
      </c>
    </row>
    <row r="529">
      <c r="A529" s="34" t="inlineStr">
        <is>
          <t>占着别人丢的</t>
        </is>
      </c>
      <c r="B529" s="34" t="inlineStr">
        <is>
          <t>持有失窃物品罪</t>
        </is>
      </c>
      <c r="C529" s="34">
        <f>IF(AND($A528&lt;&gt;"",'算罪台'!$B$4&lt;&gt;"",ISNUMBER(SEARCH($A528,'算罪台'!$B$4))),1,0)</f>
        <v/>
      </c>
      <c r="D529" s="34">
        <f>IF(AND($A528&lt;&gt;"",'算罪台'!$B$5&lt;&gt;"",ISNUMBER(SEARCH($A528,'算罪台'!$B$5))),1,0)</f>
        <v/>
      </c>
      <c r="E529" s="34">
        <f>IF(AND($A528&lt;&gt;"",'算罪台'!$B$6&lt;&gt;"",ISNUMBER(SEARCH($A528,'算罪台'!$B$6))),1,0)</f>
        <v/>
      </c>
    </row>
    <row r="530">
      <c r="A530" s="34" t="inlineStr">
        <is>
          <t>捡了不还</t>
        </is>
      </c>
      <c r="B530" s="34" t="inlineStr">
        <is>
          <t>持有失窃物品罪</t>
        </is>
      </c>
      <c r="C530" s="34">
        <f>IF(AND($A529&lt;&gt;"",'算罪台'!$B$4&lt;&gt;"",ISNUMBER(SEARCH($A529,'算罪台'!$B$4))),1,0)</f>
        <v/>
      </c>
      <c r="D530" s="34">
        <f>IF(AND($A529&lt;&gt;"",'算罪台'!$B$5&lt;&gt;"",ISNUMBER(SEARCH($A529,'算罪台'!$B$5))),1,0)</f>
        <v/>
      </c>
      <c r="E530" s="34">
        <f>IF(AND($A529&lt;&gt;"",'算罪台'!$B$6&lt;&gt;"",ISNUMBER(SEARCH($A529,'算罪台'!$B$6))),1,0)</f>
        <v/>
      </c>
    </row>
    <row r="531">
      <c r="A531" s="34" t="inlineStr">
        <is>
          <t>私藏失物</t>
        </is>
      </c>
      <c r="B531" s="34" t="inlineStr">
        <is>
          <t>持有失窃物品罪</t>
        </is>
      </c>
      <c r="C531" s="34">
        <f>IF(AND($A530&lt;&gt;"",'算罪台'!$B$4&lt;&gt;"",ISNUMBER(SEARCH($A530,'算罪台'!$B$4))),1,0)</f>
        <v/>
      </c>
      <c r="D531" s="34">
        <f>IF(AND($A530&lt;&gt;"",'算罪台'!$B$5&lt;&gt;"",ISNUMBER(SEARCH($A530,'算罪台'!$B$5))),1,0)</f>
        <v/>
      </c>
      <c r="E531" s="34">
        <f>IF(AND($A530&lt;&gt;"",'算罪台'!$B$6&lt;&gt;"",ISNUMBER(SEARCH($A530,'算罪台'!$B$6))),1,0)</f>
        <v/>
      </c>
    </row>
    <row r="532">
      <c r="A532" s="34" t="inlineStr">
        <is>
          <t>持有赃物</t>
        </is>
      </c>
      <c r="B532" s="34" t="inlineStr">
        <is>
          <t>持有失窃物品罪</t>
        </is>
      </c>
      <c r="C532" s="34">
        <f>IF(AND($A531&lt;&gt;"",'算罪台'!$B$4&lt;&gt;"",ISNUMBER(SEARCH($A531,'算罪台'!$B$4))),1,0)</f>
        <v/>
      </c>
      <c r="D532" s="34">
        <f>IF(AND($A531&lt;&gt;"",'算罪台'!$B$5&lt;&gt;"",ISNUMBER(SEARCH($A531,'算罪台'!$B$5))),1,0)</f>
        <v/>
      </c>
      <c r="E532" s="34">
        <f>IF(AND($A531&lt;&gt;"",'算罪台'!$B$6&lt;&gt;"",ISNUMBER(SEARCH($A531,'算罪台'!$B$6))),1,0)</f>
        <v/>
      </c>
    </row>
    <row r="533">
      <c r="A533" s="34" t="inlineStr">
        <is>
          <t>藏有失窃</t>
        </is>
      </c>
      <c r="B533" s="34" t="inlineStr">
        <is>
          <t>持有失窃物品罪</t>
        </is>
      </c>
      <c r="C533" s="34">
        <f>IF(AND($A532&lt;&gt;"",'算罪台'!$B$4&lt;&gt;"",ISNUMBER(SEARCH($A532,'算罪台'!$B$4))),1,0)</f>
        <v/>
      </c>
      <c r="D533" s="34">
        <f>IF(AND($A532&lt;&gt;"",'算罪台'!$B$5&lt;&gt;"",ISNUMBER(SEARCH($A532,'算罪台'!$B$5))),1,0)</f>
        <v/>
      </c>
      <c r="E533" s="34">
        <f>IF(AND($A532&lt;&gt;"",'算罪台'!$B$6&lt;&gt;"",ISNUMBER(SEARCH($A532,'算罪台'!$B$6))),1,0)</f>
        <v/>
      </c>
    </row>
    <row r="534">
      <c r="A534" s="34" t="inlineStr">
        <is>
          <t>占有他人失物</t>
        </is>
      </c>
      <c r="B534" s="34" t="inlineStr">
        <is>
          <t>持有失窃物品罪</t>
        </is>
      </c>
      <c r="C534" s="34">
        <f>IF(AND($A533&lt;&gt;"",'算罪台'!$B$4&lt;&gt;"",ISNUMBER(SEARCH($A533,'算罪台'!$B$4))),1,0)</f>
        <v/>
      </c>
      <c r="D534" s="34">
        <f>IF(AND($A533&lt;&gt;"",'算罪台'!$B$5&lt;&gt;"",ISNUMBER(SEARCH($A533,'算罪台'!$B$5))),1,0)</f>
        <v/>
      </c>
      <c r="E534" s="34">
        <f>IF(AND($A533&lt;&gt;"",'算罪台'!$B$6&lt;&gt;"",ISNUMBER(SEARCH($A533,'算罪台'!$B$6))),1,0)</f>
        <v/>
      </c>
    </row>
    <row r="535">
      <c r="A535" s="34" t="inlineStr">
        <is>
          <t>私藏赃物</t>
        </is>
      </c>
      <c r="B535" s="34" t="inlineStr">
        <is>
          <t>持有失窃物品罪</t>
        </is>
      </c>
      <c r="C535" s="34">
        <f>IF(AND($A534&lt;&gt;"",'算罪台'!$B$4&lt;&gt;"",ISNUMBER(SEARCH($A534,'算罪台'!$B$4))),1,0)</f>
        <v/>
      </c>
      <c r="D535" s="34">
        <f>IF(AND($A534&lt;&gt;"",'算罪台'!$B$5&lt;&gt;"",ISNUMBER(SEARCH($A534,'算罪台'!$B$5))),1,0)</f>
        <v/>
      </c>
      <c r="E535" s="34">
        <f>IF(AND($A534&lt;&gt;"",'算罪台'!$B$6&lt;&gt;"",ISNUMBER(SEARCH($A534,'算罪台'!$B$6))),1,0)</f>
        <v/>
      </c>
    </row>
    <row r="536">
      <c r="A536" s="34" t="inlineStr">
        <is>
          <t>公共场合淫秽</t>
        </is>
      </c>
      <c r="B536" s="34" t="inlineStr">
        <is>
          <t>在公共场合从事淫秽行为罪</t>
        </is>
      </c>
      <c r="C536" s="34">
        <f>IF(AND($A535&lt;&gt;"",'算罪台'!$B$4&lt;&gt;"",ISNUMBER(SEARCH($A535,'算罪台'!$B$4))),1,0)</f>
        <v/>
      </c>
      <c r="D536" s="34">
        <f>IF(AND($A535&lt;&gt;"",'算罪台'!$B$5&lt;&gt;"",ISNUMBER(SEARCH($A535,'算罪台'!$B$5))),1,0)</f>
        <v/>
      </c>
      <c r="E536" s="34">
        <f>IF(AND($A535&lt;&gt;"",'算罪台'!$B$6&lt;&gt;"",ISNUMBER(SEARCH($A535,'算罪台'!$B$6))),1,0)</f>
        <v/>
      </c>
    </row>
    <row r="537">
      <c r="A537" s="34" t="inlineStr">
        <is>
          <t>公然猥亵</t>
        </is>
      </c>
      <c r="B537" s="34" t="inlineStr">
        <is>
          <t>在公共场合从事淫秽行为罪</t>
        </is>
      </c>
      <c r="C537" s="34">
        <f>IF(AND($A536&lt;&gt;"",'算罪台'!$B$4&lt;&gt;"",ISNUMBER(SEARCH($A536,'算罪台'!$B$4))),1,0)</f>
        <v/>
      </c>
      <c r="D537" s="34">
        <f>IF(AND($A536&lt;&gt;"",'算罪台'!$B$5&lt;&gt;"",ISNUMBER(SEARCH($A536,'算罪台'!$B$5))),1,0)</f>
        <v/>
      </c>
      <c r="E537" s="34">
        <f>IF(AND($A536&lt;&gt;"",'算罪台'!$B$6&lt;&gt;"",ISNUMBER(SEARCH($A536,'算罪台'!$B$6))),1,0)</f>
        <v/>
      </c>
    </row>
    <row r="538">
      <c r="A538" s="34" t="inlineStr">
        <is>
          <t>淫秽行为</t>
        </is>
      </c>
      <c r="B538" s="34" t="inlineStr">
        <is>
          <t>在公共场合从事淫秽行为罪</t>
        </is>
      </c>
      <c r="C538" s="34">
        <f>IF(AND($A537&lt;&gt;"",'算罪台'!$B$4&lt;&gt;"",ISNUMBER(SEARCH($A537,'算罪台'!$B$4))),1,0)</f>
        <v/>
      </c>
      <c r="D538" s="34">
        <f>IF(AND($A537&lt;&gt;"",'算罪台'!$B$5&lt;&gt;"",ISNUMBER(SEARCH($A537,'算罪台'!$B$5))),1,0)</f>
        <v/>
      </c>
      <c r="E538" s="34">
        <f>IF(AND($A537&lt;&gt;"",'算罪台'!$B$6&lt;&gt;"",ISNUMBER(SEARCH($A537,'算罪台'!$B$6))),1,0)</f>
        <v/>
      </c>
    </row>
    <row r="539">
      <c r="A539" s="34" t="inlineStr">
        <is>
          <t>招嫖</t>
        </is>
      </c>
      <c r="B539" s="34" t="inlineStr">
        <is>
          <t>在公共场合从事淫秽行为罪</t>
        </is>
      </c>
      <c r="C539" s="34">
        <f>IF(AND($A538&lt;&gt;"",'算罪台'!$B$4&lt;&gt;"",ISNUMBER(SEARCH($A538,'算罪台'!$B$4))),1,0)</f>
        <v/>
      </c>
      <c r="D539" s="34">
        <f>IF(AND($A538&lt;&gt;"",'算罪台'!$B$5&lt;&gt;"",ISNUMBER(SEARCH($A538,'算罪台'!$B$5))),1,0)</f>
        <v/>
      </c>
      <c r="E539" s="34">
        <f>IF(AND($A538&lt;&gt;"",'算罪台'!$B$6&lt;&gt;"",ISNUMBER(SEARCH($A538,'算罪台'!$B$6))),1,0)</f>
        <v/>
      </c>
    </row>
    <row r="540">
      <c r="A540" s="34" t="inlineStr">
        <is>
          <t>公开招募性交易</t>
        </is>
      </c>
      <c r="B540" s="34" t="inlineStr">
        <is>
          <t>在公共场合从事淫秽行为罪</t>
        </is>
      </c>
      <c r="C540" s="34">
        <f>IF(AND($A539&lt;&gt;"",'算罪台'!$B$4&lt;&gt;"",ISNUMBER(SEARCH($A539,'算罪台'!$B$4))),1,0)</f>
        <v/>
      </c>
      <c r="D540" s="34">
        <f>IF(AND($A539&lt;&gt;"",'算罪台'!$B$5&lt;&gt;"",ISNUMBER(SEARCH($A539,'算罪台'!$B$5))),1,0)</f>
        <v/>
      </c>
      <c r="E540" s="34">
        <f>IF(AND($A539&lt;&gt;"",'算罪台'!$B$6&lt;&gt;"",ISNUMBER(SEARCH($A539,'算罪台'!$B$6))),1,0)</f>
        <v/>
      </c>
    </row>
    <row r="541">
      <c r="A541" s="34" t="inlineStr">
        <is>
          <t>当街猥亵</t>
        </is>
      </c>
      <c r="B541" s="34" t="inlineStr">
        <is>
          <t>在公共场合从事淫秽行为罪</t>
        </is>
      </c>
      <c r="C541" s="34">
        <f>IF(AND($A540&lt;&gt;"",'算罪台'!$B$4&lt;&gt;"",ISNUMBER(SEARCH($A540,'算罪台'!$B$4))),1,0)</f>
        <v/>
      </c>
      <c r="D541" s="34">
        <f>IF(AND($A540&lt;&gt;"",'算罪台'!$B$5&lt;&gt;"",ISNUMBER(SEARCH($A540,'算罪台'!$B$5))),1,0)</f>
        <v/>
      </c>
      <c r="E541" s="34">
        <f>IF(AND($A540&lt;&gt;"",'算罪台'!$B$6&lt;&gt;"",ISNUMBER(SEARCH($A540,'算罪台'!$B$6))),1,0)</f>
        <v/>
      </c>
    </row>
    <row r="542">
      <c r="A542" s="34" t="inlineStr">
        <is>
          <t>猥亵</t>
        </is>
      </c>
      <c r="B542" s="34" t="inlineStr">
        <is>
          <t>在公共场合从事淫秽行为罪</t>
        </is>
      </c>
      <c r="C542" s="34">
        <f>IF(AND($A541&lt;&gt;"",'算罪台'!$B$4&lt;&gt;"",ISNUMBER(SEARCH($A541,'算罪台'!$B$4))),1,0)</f>
        <v/>
      </c>
      <c r="D542" s="34">
        <f>IF(AND($A541&lt;&gt;"",'算罪台'!$B$5&lt;&gt;"",ISNUMBER(SEARCH($A541,'算罪台'!$B$5))),1,0)</f>
        <v/>
      </c>
      <c r="E542" s="34">
        <f>IF(AND($A541&lt;&gt;"",'算罪台'!$B$6&lt;&gt;"",ISNUMBER(SEARCH($A541,'算罪台'!$B$6))),1,0)</f>
        <v/>
      </c>
    </row>
    <row r="543">
      <c r="A543" s="34" t="inlineStr">
        <is>
          <t>当街裸露</t>
        </is>
      </c>
      <c r="B543" s="34" t="inlineStr">
        <is>
          <t>在公共场合从事淫秽行为罪</t>
        </is>
      </c>
      <c r="C543" s="34">
        <f>IF(AND($A542&lt;&gt;"",'算罪台'!$B$4&lt;&gt;"",ISNUMBER(SEARCH($A542,'算罪台'!$B$4))),1,0)</f>
        <v/>
      </c>
      <c r="D543" s="34">
        <f>IF(AND($A542&lt;&gt;"",'算罪台'!$B$5&lt;&gt;"",ISNUMBER(SEARCH($A542,'算罪台'!$B$5))),1,0)</f>
        <v/>
      </c>
      <c r="E543" s="34">
        <f>IF(AND($A542&lt;&gt;"",'算罪台'!$B$6&lt;&gt;"",ISNUMBER(SEARCH($A542,'算罪台'!$B$6))),1,0)</f>
        <v/>
      </c>
    </row>
    <row r="544">
      <c r="A544" s="34" t="inlineStr">
        <is>
          <t>公然露</t>
        </is>
      </c>
      <c r="B544" s="34" t="inlineStr">
        <is>
          <t>在公共场合从事淫秽行为罪</t>
        </is>
      </c>
      <c r="C544" s="34">
        <f>IF(AND($A543&lt;&gt;"",'算罪台'!$B$4&lt;&gt;"",ISNUMBER(SEARCH($A543,'算罪台'!$B$4))),1,0)</f>
        <v/>
      </c>
      <c r="D544" s="34">
        <f>IF(AND($A543&lt;&gt;"",'算罪台'!$B$5&lt;&gt;"",ISNUMBER(SEARCH($A543,'算罪台'!$B$5))),1,0)</f>
        <v/>
      </c>
      <c r="E544" s="34">
        <f>IF(AND($A543&lt;&gt;"",'算罪台'!$B$6&lt;&gt;"",ISNUMBER(SEARCH($A543,'算罪台'!$B$6))),1,0)</f>
        <v/>
      </c>
    </row>
    <row r="545">
      <c r="A545" s="34" t="inlineStr">
        <is>
          <t>街头猥亵</t>
        </is>
      </c>
      <c r="B545" s="34" t="inlineStr">
        <is>
          <t>在公共场合从事淫秽行为罪</t>
        </is>
      </c>
      <c r="C545" s="34">
        <f>IF(AND($A544&lt;&gt;"",'算罪台'!$B$4&lt;&gt;"",ISNUMBER(SEARCH($A544,'算罪台'!$B$4))),1,0)</f>
        <v/>
      </c>
      <c r="D545" s="34">
        <f>IF(AND($A544&lt;&gt;"",'算罪台'!$B$5&lt;&gt;"",ISNUMBER(SEARCH($A544,'算罪台'!$B$5))),1,0)</f>
        <v/>
      </c>
      <c r="E545" s="34">
        <f>IF(AND($A544&lt;&gt;"",'算罪台'!$B$6&lt;&gt;"",ISNUMBER(SEARCH($A544,'算罪台'!$B$6))),1,0)</f>
        <v/>
      </c>
    </row>
    <row r="546">
      <c r="A546" s="34" t="inlineStr">
        <is>
          <t>公共场所裸露</t>
        </is>
      </c>
      <c r="B546" s="34" t="inlineStr">
        <is>
          <t>在公共场合从事淫秽行为罪</t>
        </is>
      </c>
      <c r="C546" s="34">
        <f>IF(AND($A545&lt;&gt;"",'算罪台'!$B$4&lt;&gt;"",ISNUMBER(SEARCH($A545,'算罪台'!$B$4))),1,0)</f>
        <v/>
      </c>
      <c r="D546" s="34">
        <f>IF(AND($A545&lt;&gt;"",'算罪台'!$B$5&lt;&gt;"",ISNUMBER(SEARCH($A545,'算罪台'!$B$5))),1,0)</f>
        <v/>
      </c>
      <c r="E546" s="34">
        <f>IF(AND($A545&lt;&gt;"",'算罪台'!$B$6&lt;&gt;"",ISNUMBER(SEARCH($A545,'算罪台'!$B$6))),1,0)</f>
        <v/>
      </c>
    </row>
    <row r="547">
      <c r="A547" s="34" t="inlineStr">
        <is>
          <t>露阴</t>
        </is>
      </c>
      <c r="B547" s="34" t="inlineStr">
        <is>
          <t>在公共场合从事淫秽行为罪</t>
        </is>
      </c>
      <c r="C547" s="34">
        <f>IF(AND($A546&lt;&gt;"",'算罪台'!$B$4&lt;&gt;"",ISNUMBER(SEARCH($A546,'算罪台'!$B$4))),1,0)</f>
        <v/>
      </c>
      <c r="D547" s="34">
        <f>IF(AND($A546&lt;&gt;"",'算罪台'!$B$5&lt;&gt;"",ISNUMBER(SEARCH($A546,'算罪台'!$B$5))),1,0)</f>
        <v/>
      </c>
      <c r="E547" s="34">
        <f>IF(AND($A546&lt;&gt;"",'算罪台'!$B$6&lt;&gt;"",ISNUMBER(SEARCH($A546,'算罪台'!$B$6))),1,0)</f>
        <v/>
      </c>
    </row>
    <row r="548">
      <c r="A548" s="34" t="inlineStr">
        <is>
          <t>当众脱</t>
        </is>
      </c>
      <c r="B548" s="34" t="inlineStr">
        <is>
          <t>在公共场合从事淫秽行为罪</t>
        </is>
      </c>
      <c r="C548" s="34">
        <f>IF(AND($A547&lt;&gt;"",'算罪台'!$B$4&lt;&gt;"",ISNUMBER(SEARCH($A547,'算罪台'!$B$4))),1,0)</f>
        <v/>
      </c>
      <c r="D548" s="34">
        <f>IF(AND($A547&lt;&gt;"",'算罪台'!$B$5&lt;&gt;"",ISNUMBER(SEARCH($A547,'算罪台'!$B$5))),1,0)</f>
        <v/>
      </c>
      <c r="E548" s="34">
        <f>IF(AND($A547&lt;&gt;"",'算罪台'!$B$6&lt;&gt;"",ISNUMBER(SEARCH($A547,'算罪台'!$B$6))),1,0)</f>
        <v/>
      </c>
    </row>
    <row r="549">
      <c r="A549" s="34" t="inlineStr">
        <is>
          <t>当众猥亵</t>
        </is>
      </c>
      <c r="B549" s="34" t="inlineStr">
        <is>
          <t>在公共场合从事淫秽行为罪</t>
        </is>
      </c>
      <c r="C549" s="34">
        <f>IF(AND($A548&lt;&gt;"",'算罪台'!$B$4&lt;&gt;"",ISNUMBER(SEARCH($A548,'算罪台'!$B$4))),1,0)</f>
        <v/>
      </c>
      <c r="D549" s="34">
        <f>IF(AND($A548&lt;&gt;"",'算罪台'!$B$5&lt;&gt;"",ISNUMBER(SEARCH($A548,'算罪台'!$B$5))),1,0)</f>
        <v/>
      </c>
      <c r="E549" s="34">
        <f>IF(AND($A548&lt;&gt;"",'算罪台'!$B$6&lt;&gt;"",ISNUMBER(SEARCH($A548,'算罪台'!$B$6))),1,0)</f>
        <v/>
      </c>
    </row>
    <row r="550">
      <c r="A550" s="34" t="inlineStr">
        <is>
          <t>公开淫秽</t>
        </is>
      </c>
      <c r="B550" s="34" t="inlineStr">
        <is>
          <t>在公共场合从事淫秽行为罪</t>
        </is>
      </c>
      <c r="C550" s="34">
        <f>IF(AND($A549&lt;&gt;"",'算罪台'!$B$4&lt;&gt;"",ISNUMBER(SEARCH($A549,'算罪台'!$B$4))),1,0)</f>
        <v/>
      </c>
      <c r="D550" s="34">
        <f>IF(AND($A549&lt;&gt;"",'算罪台'!$B$5&lt;&gt;"",ISNUMBER(SEARCH($A549,'算罪台'!$B$5))),1,0)</f>
        <v/>
      </c>
      <c r="E550" s="34">
        <f>IF(AND($A549&lt;&gt;"",'算罪台'!$B$6&lt;&gt;"",ISNUMBER(SEARCH($A549,'算罪台'!$B$6))),1,0)</f>
        <v/>
      </c>
    </row>
    <row r="551">
      <c r="A551" s="34" t="inlineStr">
        <is>
          <t>公共场所性行为</t>
        </is>
      </c>
      <c r="B551" s="34" t="inlineStr">
        <is>
          <t>在公共场合从事淫秽行为罪</t>
        </is>
      </c>
      <c r="C551" s="34">
        <f>IF(AND($A550&lt;&gt;"",'算罪台'!$B$4&lt;&gt;"",ISNUMBER(SEARCH($A550,'算罪台'!$B$4))),1,0)</f>
        <v/>
      </c>
      <c r="D551" s="34">
        <f>IF(AND($A550&lt;&gt;"",'算罪台'!$B$5&lt;&gt;"",ISNUMBER(SEARCH($A550,'算罪台'!$B$5))),1,0)</f>
        <v/>
      </c>
      <c r="E551" s="34">
        <f>IF(AND($A550&lt;&gt;"",'算罪台'!$B$6&lt;&gt;"",ISNUMBER(SEARCH($A550,'算罪台'!$B$6))),1,0)</f>
        <v/>
      </c>
    </row>
    <row r="552">
      <c r="A552" s="34" t="inlineStr">
        <is>
          <t>当众露体</t>
        </is>
      </c>
      <c r="B552" s="34" t="inlineStr">
        <is>
          <t>在公共场合从事淫秽行为罪</t>
        </is>
      </c>
      <c r="C552" s="34">
        <f>IF(AND($A551&lt;&gt;"",'算罪台'!$B$4&lt;&gt;"",ISNUMBER(SEARCH($A551,'算罪台'!$B$4))),1,0)</f>
        <v/>
      </c>
      <c r="D552" s="34">
        <f>IF(AND($A551&lt;&gt;"",'算罪台'!$B$5&lt;&gt;"",ISNUMBER(SEARCH($A551,'算罪台'!$B$5))),1,0)</f>
        <v/>
      </c>
      <c r="E552" s="34">
        <f>IF(AND($A551&lt;&gt;"",'算罪台'!$B$6&lt;&gt;"",ISNUMBER(SEARCH($A551,'算罪台'!$B$6))),1,0)</f>
        <v/>
      </c>
    </row>
    <row r="553">
      <c r="A553" s="34" t="inlineStr">
        <is>
          <t>组织卖淫</t>
        </is>
      </c>
      <c r="B553" s="34" t="inlineStr">
        <is>
          <t>组织卖淫罪</t>
        </is>
      </c>
      <c r="C553" s="34">
        <f>IF(AND($A552&lt;&gt;"",'算罪台'!$B$4&lt;&gt;"",ISNUMBER(SEARCH($A552,'算罪台'!$B$4))),1,0)</f>
        <v/>
      </c>
      <c r="D553" s="34">
        <f>IF(AND($A552&lt;&gt;"",'算罪台'!$B$5&lt;&gt;"",ISNUMBER(SEARCH($A552,'算罪台'!$B$5))),1,0)</f>
        <v/>
      </c>
      <c r="E553" s="34">
        <f>IF(AND($A552&lt;&gt;"",'算罪台'!$B$6&lt;&gt;"",ISNUMBER(SEARCH($A552,'算罪台'!$B$6))),1,0)</f>
        <v/>
      </c>
    </row>
    <row r="554">
      <c r="A554" s="34" t="inlineStr">
        <is>
          <t>拉皮条</t>
        </is>
      </c>
      <c r="B554" s="34" t="inlineStr">
        <is>
          <t>组织卖淫罪</t>
        </is>
      </c>
      <c r="C554" s="34">
        <f>IF(AND($A553&lt;&gt;"",'算罪台'!$B$4&lt;&gt;"",ISNUMBER(SEARCH($A553,'算罪台'!$B$4))),1,0)</f>
        <v/>
      </c>
      <c r="D554" s="34">
        <f>IF(AND($A553&lt;&gt;"",'算罪台'!$B$5&lt;&gt;"",ISNUMBER(SEARCH($A553,'算罪台'!$B$5))),1,0)</f>
        <v/>
      </c>
      <c r="E554" s="34">
        <f>IF(AND($A553&lt;&gt;"",'算罪台'!$B$6&lt;&gt;"",ISNUMBER(SEARCH($A553,'算罪台'!$B$6))),1,0)</f>
        <v/>
      </c>
    </row>
    <row r="555">
      <c r="A555" s="34" t="inlineStr">
        <is>
          <t>强迫卖淫</t>
        </is>
      </c>
      <c r="B555" s="34" t="inlineStr">
        <is>
          <t>组织卖淫罪</t>
        </is>
      </c>
      <c r="C555" s="34">
        <f>IF(AND($A554&lt;&gt;"",'算罪台'!$B$4&lt;&gt;"",ISNUMBER(SEARCH($A554,'算罪台'!$B$4))),1,0)</f>
        <v/>
      </c>
      <c r="D555" s="34">
        <f>IF(AND($A554&lt;&gt;"",'算罪台'!$B$5&lt;&gt;"",ISNUMBER(SEARCH($A554,'算罪台'!$B$5))),1,0)</f>
        <v/>
      </c>
      <c r="E555" s="34">
        <f>IF(AND($A554&lt;&gt;"",'算罪台'!$B$6&lt;&gt;"",ISNUMBER(SEARCH($A554,'算罪台'!$B$6))),1,0)</f>
        <v/>
      </c>
    </row>
    <row r="556">
      <c r="A556" s="34" t="inlineStr">
        <is>
          <t>介绍卖淫</t>
        </is>
      </c>
      <c r="B556" s="34" t="inlineStr">
        <is>
          <t>组织卖淫罪</t>
        </is>
      </c>
      <c r="C556" s="34">
        <f>IF(AND($A555&lt;&gt;"",'算罪台'!$B$4&lt;&gt;"",ISNUMBER(SEARCH($A555,'算罪台'!$B$4))),1,0)</f>
        <v/>
      </c>
      <c r="D556" s="34">
        <f>IF(AND($A555&lt;&gt;"",'算罪台'!$B$5&lt;&gt;"",ISNUMBER(SEARCH($A555,'算罪台'!$B$5))),1,0)</f>
        <v/>
      </c>
      <c r="E556" s="34">
        <f>IF(AND($A555&lt;&gt;"",'算罪台'!$B$6&lt;&gt;"",ISNUMBER(SEARCH($A555,'算罪台'!$B$6))),1,0)</f>
        <v/>
      </c>
    </row>
    <row r="557">
      <c r="A557" s="34" t="inlineStr">
        <is>
          <t>开妓院</t>
        </is>
      </c>
      <c r="B557" s="34" t="inlineStr">
        <is>
          <t>组织卖淫罪</t>
        </is>
      </c>
      <c r="C557" s="34">
        <f>IF(AND($A556&lt;&gt;"",'算罪台'!$B$4&lt;&gt;"",ISNUMBER(SEARCH($A556,'算罪台'!$B$4))),1,0)</f>
        <v/>
      </c>
      <c r="D557" s="34">
        <f>IF(AND($A556&lt;&gt;"",'算罪台'!$B$5&lt;&gt;"",ISNUMBER(SEARCH($A556,'算罪台'!$B$5))),1,0)</f>
        <v/>
      </c>
      <c r="E557" s="34">
        <f>IF(AND($A556&lt;&gt;"",'算罪台'!$B$6&lt;&gt;"",ISNUMBER(SEARCH($A556,'算罪台'!$B$6))),1,0)</f>
        <v/>
      </c>
    </row>
    <row r="558">
      <c r="A558" s="34" t="inlineStr">
        <is>
          <t>开窑子</t>
        </is>
      </c>
      <c r="B558" s="34" t="inlineStr">
        <is>
          <t>组织卖淫罪</t>
        </is>
      </c>
      <c r="C558" s="34">
        <f>IF(AND($A557&lt;&gt;"",'算罪台'!$B$4&lt;&gt;"",ISNUMBER(SEARCH($A557,'算罪台'!$B$4))),1,0)</f>
        <v/>
      </c>
      <c r="D558" s="34">
        <f>IF(AND($A557&lt;&gt;"",'算罪台'!$B$5&lt;&gt;"",ISNUMBER(SEARCH($A557,'算罪台'!$B$5))),1,0)</f>
        <v/>
      </c>
      <c r="E558" s="34">
        <f>IF(AND($A557&lt;&gt;"",'算罪台'!$B$6&lt;&gt;"",ISNUMBER(SEARCH($A557,'算罪台'!$B$6))),1,0)</f>
        <v/>
      </c>
    </row>
    <row r="559">
      <c r="A559" s="34" t="inlineStr">
        <is>
          <t>组织卖身</t>
        </is>
      </c>
      <c r="B559" s="34" t="inlineStr">
        <is>
          <t>组织卖淫罪</t>
        </is>
      </c>
      <c r="C559" s="34">
        <f>IF(AND($A558&lt;&gt;"",'算罪台'!$B$4&lt;&gt;"",ISNUMBER(SEARCH($A558,'算罪台'!$B$4))),1,0)</f>
        <v/>
      </c>
      <c r="D559" s="34">
        <f>IF(AND($A558&lt;&gt;"",'算罪台'!$B$5&lt;&gt;"",ISNUMBER(SEARCH($A558,'算罪台'!$B$5))),1,0)</f>
        <v/>
      </c>
      <c r="E559" s="34">
        <f>IF(AND($A558&lt;&gt;"",'算罪台'!$B$6&lt;&gt;"",ISNUMBER(SEARCH($A558,'算罪台'!$B$6))),1,0)</f>
        <v/>
      </c>
    </row>
    <row r="560">
      <c r="A560" s="34" t="inlineStr">
        <is>
          <t>拉客</t>
        </is>
      </c>
      <c r="B560" s="34" t="inlineStr">
        <is>
          <t>组织卖淫罪</t>
        </is>
      </c>
      <c r="C560" s="34">
        <f>IF(AND($A559&lt;&gt;"",'算罪台'!$B$4&lt;&gt;"",ISNUMBER(SEARCH($A559,'算罪台'!$B$4))),1,0)</f>
        <v/>
      </c>
      <c r="D560" s="34">
        <f>IF(AND($A559&lt;&gt;"",'算罪台'!$B$5&lt;&gt;"",ISNUMBER(SEARCH($A559,'算罪台'!$B$5))),1,0)</f>
        <v/>
      </c>
      <c r="E560" s="34">
        <f>IF(AND($A559&lt;&gt;"",'算罪台'!$B$6&lt;&gt;"",ISNUMBER(SEARCH($A559,'算罪台'!$B$6))),1,0)</f>
        <v/>
      </c>
    </row>
    <row r="561">
      <c r="A561" s="34" t="inlineStr">
        <is>
          <t>介绍小姐</t>
        </is>
      </c>
      <c r="B561" s="34" t="inlineStr">
        <is>
          <t>组织卖淫罪</t>
        </is>
      </c>
      <c r="C561" s="34">
        <f>IF(AND($A560&lt;&gt;"",'算罪台'!$B$4&lt;&gt;"",ISNUMBER(SEARCH($A560,'算罪台'!$B$4))),1,0)</f>
        <v/>
      </c>
      <c r="D561" s="34">
        <f>IF(AND($A560&lt;&gt;"",'算罪台'!$B$5&lt;&gt;"",ISNUMBER(SEARCH($A560,'算罪台'!$B$5))),1,0)</f>
        <v/>
      </c>
      <c r="E561" s="34">
        <f>IF(AND($A560&lt;&gt;"",'算罪台'!$B$6&lt;&gt;"",ISNUMBER(SEARCH($A560,'算罪台'!$B$6))),1,0)</f>
        <v/>
      </c>
    </row>
    <row r="562">
      <c r="A562" s="34" t="inlineStr">
        <is>
          <t>开妓院拉客</t>
        </is>
      </c>
      <c r="B562" s="34" t="inlineStr">
        <is>
          <t>组织卖淫罪</t>
        </is>
      </c>
      <c r="C562" s="34">
        <f>IF(AND($A561&lt;&gt;"",'算罪台'!$B$4&lt;&gt;"",ISNUMBER(SEARCH($A561,'算罪台'!$B$4))),1,0)</f>
        <v/>
      </c>
      <c r="D562" s="34">
        <f>IF(AND($A561&lt;&gt;"",'算罪台'!$B$5&lt;&gt;"",ISNUMBER(SEARCH($A561,'算罪台'!$B$5))),1,0)</f>
        <v/>
      </c>
      <c r="E562" s="34">
        <f>IF(AND($A561&lt;&gt;"",'算罪台'!$B$6&lt;&gt;"",ISNUMBER(SEARCH($A561,'算罪台'!$B$6))),1,0)</f>
        <v/>
      </c>
    </row>
    <row r="563">
      <c r="A563" s="34" t="inlineStr">
        <is>
          <t>组织卖淫活动</t>
        </is>
      </c>
      <c r="B563" s="34" t="inlineStr">
        <is>
          <t>组织卖淫罪</t>
        </is>
      </c>
      <c r="C563" s="34">
        <f>IF(AND($A562&lt;&gt;"",'算罪台'!$B$4&lt;&gt;"",ISNUMBER(SEARCH($A562,'算罪台'!$B$4))),1,0)</f>
        <v/>
      </c>
      <c r="D563" s="34">
        <f>IF(AND($A562&lt;&gt;"",'算罪台'!$B$5&lt;&gt;"",ISNUMBER(SEARCH($A562,'算罪台'!$B$5))),1,0)</f>
        <v/>
      </c>
      <c r="E563" s="34">
        <f>IF(AND($A562&lt;&gt;"",'算罪台'!$B$6&lt;&gt;"",ISNUMBER(SEARCH($A562,'算罪台'!$B$6))),1,0)</f>
        <v/>
      </c>
    </row>
    <row r="564">
      <c r="A564" s="34" t="inlineStr">
        <is>
          <t>强迫他人卖淫</t>
        </is>
      </c>
      <c r="B564" s="34" t="inlineStr">
        <is>
          <t>组织卖淫罪</t>
        </is>
      </c>
      <c r="C564" s="34">
        <f>IF(AND($A563&lt;&gt;"",'算罪台'!$B$4&lt;&gt;"",ISNUMBER(SEARCH($A563,'算罪台'!$B$4))),1,0)</f>
        <v/>
      </c>
      <c r="D564" s="34">
        <f>IF(AND($A563&lt;&gt;"",'算罪台'!$B$5&lt;&gt;"",ISNUMBER(SEARCH($A563,'算罪台'!$B$5))),1,0)</f>
        <v/>
      </c>
      <c r="E564" s="34">
        <f>IF(AND($A563&lt;&gt;"",'算罪台'!$B$6&lt;&gt;"",ISNUMBER(SEARCH($A563,'算罪台'!$B$6))),1,0)</f>
        <v/>
      </c>
    </row>
    <row r="565">
      <c r="A565" s="34" t="inlineStr">
        <is>
          <t>容留卖淫</t>
        </is>
      </c>
      <c r="B565" s="34" t="inlineStr">
        <is>
          <t>组织卖淫罪</t>
        </is>
      </c>
      <c r="C565" s="34">
        <f>IF(AND($A564&lt;&gt;"",'算罪台'!$B$4&lt;&gt;"",ISNUMBER(SEARCH($A564,'算罪台'!$B$4))),1,0)</f>
        <v/>
      </c>
      <c r="D565" s="34">
        <f>IF(AND($A564&lt;&gt;"",'算罪台'!$B$5&lt;&gt;"",ISNUMBER(SEARCH($A564,'算罪台'!$B$5))),1,0)</f>
        <v/>
      </c>
      <c r="E565" s="34">
        <f>IF(AND($A564&lt;&gt;"",'算罪台'!$B$6&lt;&gt;"",ISNUMBER(SEARCH($A564,'算罪台'!$B$6))),1,0)</f>
        <v/>
      </c>
    </row>
    <row r="566">
      <c r="A566" s="34" t="inlineStr">
        <is>
          <t>卖淫</t>
        </is>
      </c>
      <c r="B566" s="34" t="inlineStr">
        <is>
          <t>卖淫罪</t>
        </is>
      </c>
      <c r="C566" s="34">
        <f>IF(AND($A565&lt;&gt;"",'算罪台'!$B$4&lt;&gt;"",ISNUMBER(SEARCH($A565,'算罪台'!$B$4))),1,0)</f>
        <v/>
      </c>
      <c r="D566" s="34">
        <f>IF(AND($A565&lt;&gt;"",'算罪台'!$B$5&lt;&gt;"",ISNUMBER(SEARCH($A565,'算罪台'!$B$5))),1,0)</f>
        <v/>
      </c>
      <c r="E566" s="34">
        <f>IF(AND($A565&lt;&gt;"",'算罪台'!$B$6&lt;&gt;"",ISNUMBER(SEARCH($A565,'算罪台'!$B$6))),1,0)</f>
        <v/>
      </c>
    </row>
    <row r="567">
      <c r="A567" s="34" t="inlineStr">
        <is>
          <t>性交易</t>
        </is>
      </c>
      <c r="B567" s="34" t="inlineStr">
        <is>
          <t>卖淫罪</t>
        </is>
      </c>
      <c r="C567" s="34">
        <f>IF(AND($A566&lt;&gt;"",'算罪台'!$B$4&lt;&gt;"",ISNUMBER(SEARCH($A566,'算罪台'!$B$4))),1,0)</f>
        <v/>
      </c>
      <c r="D567" s="34">
        <f>IF(AND($A566&lt;&gt;"",'算罪台'!$B$5&lt;&gt;"",ISNUMBER(SEARCH($A566,'算罪台'!$B$5))),1,0)</f>
        <v/>
      </c>
      <c r="E567" s="34">
        <f>IF(AND($A566&lt;&gt;"",'算罪台'!$B$6&lt;&gt;"",ISNUMBER(SEARCH($A566,'算罪台'!$B$6))),1,0)</f>
        <v/>
      </c>
    </row>
    <row r="568">
      <c r="A568" s="34" t="inlineStr">
        <is>
          <t>提供性服务</t>
        </is>
      </c>
      <c r="B568" s="34" t="inlineStr">
        <is>
          <t>卖淫罪</t>
        </is>
      </c>
      <c r="C568" s="34">
        <f>IF(AND($A567&lt;&gt;"",'算罪台'!$B$4&lt;&gt;"",ISNUMBER(SEARCH($A567,'算罪台'!$B$4))),1,0)</f>
        <v/>
      </c>
      <c r="D568" s="34">
        <f>IF(AND($A567&lt;&gt;"",'算罪台'!$B$5&lt;&gt;"",ISNUMBER(SEARCH($A567,'算罪台'!$B$5))),1,0)</f>
        <v/>
      </c>
      <c r="E568" s="34">
        <f>IF(AND($A567&lt;&gt;"",'算罪台'!$B$6&lt;&gt;"",ISNUMBER(SEARCH($A567,'算罪台'!$B$6))),1,0)</f>
        <v/>
      </c>
    </row>
    <row r="569">
      <c r="A569" s="34" t="inlineStr">
        <is>
          <t>接客</t>
        </is>
      </c>
      <c r="B569" s="34" t="inlineStr">
        <is>
          <t>卖淫罪</t>
        </is>
      </c>
      <c r="C569" s="34">
        <f>IF(AND($A568&lt;&gt;"",'算罪台'!$B$4&lt;&gt;"",ISNUMBER(SEARCH($A568,'算罪台'!$B$4))),1,0)</f>
        <v/>
      </c>
      <c r="D569" s="34">
        <f>IF(AND($A568&lt;&gt;"",'算罪台'!$B$5&lt;&gt;"",ISNUMBER(SEARCH($A568,'算罪台'!$B$5))),1,0)</f>
        <v/>
      </c>
      <c r="E569" s="34">
        <f>IF(AND($A568&lt;&gt;"",'算罪台'!$B$6&lt;&gt;"",ISNUMBER(SEARCH($A568,'算罪台'!$B$6))),1,0)</f>
        <v/>
      </c>
    </row>
    <row r="570">
      <c r="A570" s="34" t="inlineStr">
        <is>
          <t>站街</t>
        </is>
      </c>
      <c r="B570" s="34" t="inlineStr">
        <is>
          <t>卖淫罪</t>
        </is>
      </c>
      <c r="C570" s="34">
        <f>IF(AND($A569&lt;&gt;"",'算罪台'!$B$4&lt;&gt;"",ISNUMBER(SEARCH($A569,'算罪台'!$B$4))),1,0)</f>
        <v/>
      </c>
      <c r="D570" s="34">
        <f>IF(AND($A569&lt;&gt;"",'算罪台'!$B$5&lt;&gt;"",ISNUMBER(SEARCH($A569,'算罪台'!$B$5))),1,0)</f>
        <v/>
      </c>
      <c r="E570" s="34">
        <f>IF(AND($A569&lt;&gt;"",'算罪台'!$B$6&lt;&gt;"",ISNUMBER(SEARCH($A569,'算罪台'!$B$6))),1,0)</f>
        <v/>
      </c>
    </row>
    <row r="571">
      <c r="A571" s="34" t="inlineStr">
        <is>
          <t>卖身</t>
        </is>
      </c>
      <c r="B571" s="34" t="inlineStr">
        <is>
          <t>卖淫罪</t>
        </is>
      </c>
      <c r="C571" s="34">
        <f>IF(AND($A570&lt;&gt;"",'算罪台'!$B$4&lt;&gt;"",ISNUMBER(SEARCH($A570,'算罪台'!$B$4))),1,0)</f>
        <v/>
      </c>
      <c r="D571" s="34">
        <f>IF(AND($A570&lt;&gt;"",'算罪台'!$B$5&lt;&gt;"",ISNUMBER(SEARCH($A570,'算罪台'!$B$5))),1,0)</f>
        <v/>
      </c>
      <c r="E571" s="34">
        <f>IF(AND($A570&lt;&gt;"",'算罪台'!$B$6&lt;&gt;"",ISNUMBER(SEARCH($A570,'算罪台'!$B$6))),1,0)</f>
        <v/>
      </c>
    </row>
    <row r="572">
      <c r="A572" s="34" t="inlineStr">
        <is>
          <t>陪睡收钱</t>
        </is>
      </c>
      <c r="B572" s="34" t="inlineStr">
        <is>
          <t>卖淫罪</t>
        </is>
      </c>
      <c r="C572" s="34">
        <f>IF(AND($A571&lt;&gt;"",'算罪台'!$B$4&lt;&gt;"",ISNUMBER(SEARCH($A571,'算罪台'!$B$4))),1,0)</f>
        <v/>
      </c>
      <c r="D572" s="34">
        <f>IF(AND($A571&lt;&gt;"",'算罪台'!$B$5&lt;&gt;"",ISNUMBER(SEARCH($A571,'算罪台'!$B$5))),1,0)</f>
        <v/>
      </c>
      <c r="E572" s="34">
        <f>IF(AND($A571&lt;&gt;"",'算罪台'!$B$6&lt;&gt;"",ISNUMBER(SEARCH($A571,'算罪台'!$B$6))),1,0)</f>
        <v/>
      </c>
    </row>
    <row r="573">
      <c r="A573" s="34" t="inlineStr">
        <is>
          <t>出台</t>
        </is>
      </c>
      <c r="B573" s="34" t="inlineStr">
        <is>
          <t>卖淫罪</t>
        </is>
      </c>
      <c r="C573" s="34">
        <f>IF(AND($A572&lt;&gt;"",'算罪台'!$B$4&lt;&gt;"",ISNUMBER(SEARCH($A572,'算罪台'!$B$4))),1,0)</f>
        <v/>
      </c>
      <c r="D573" s="34">
        <f>IF(AND($A572&lt;&gt;"",'算罪台'!$B$5&lt;&gt;"",ISNUMBER(SEARCH($A572,'算罪台'!$B$5))),1,0)</f>
        <v/>
      </c>
      <c r="E573" s="34">
        <f>IF(AND($A572&lt;&gt;"",'算罪台'!$B$6&lt;&gt;"",ISNUMBER(SEARCH($A572,'算罪台'!$B$6))),1,0)</f>
        <v/>
      </c>
    </row>
    <row r="574">
      <c r="A574" s="34" t="inlineStr">
        <is>
          <t>从事卖淫</t>
        </is>
      </c>
      <c r="B574" s="34" t="inlineStr">
        <is>
          <t>卖淫罪</t>
        </is>
      </c>
      <c r="C574" s="34">
        <f>IF(AND($A573&lt;&gt;"",'算罪台'!$B$4&lt;&gt;"",ISNUMBER(SEARCH($A573,'算罪台'!$B$4))),1,0)</f>
        <v/>
      </c>
      <c r="D574" s="34">
        <f>IF(AND($A573&lt;&gt;"",'算罪台'!$B$5&lt;&gt;"",ISNUMBER(SEARCH($A573,'算罪台'!$B$5))),1,0)</f>
        <v/>
      </c>
      <c r="E574" s="34">
        <f>IF(AND($A573&lt;&gt;"",'算罪台'!$B$6&lt;&gt;"",ISNUMBER(SEARCH($A573,'算罪台'!$B$6))),1,0)</f>
        <v/>
      </c>
    </row>
    <row r="575">
      <c r="A575" s="34" t="inlineStr">
        <is>
          <t>卖淫活动</t>
        </is>
      </c>
      <c r="B575" s="34" t="inlineStr">
        <is>
          <t>卖淫罪</t>
        </is>
      </c>
      <c r="C575" s="34">
        <f>IF(AND($A574&lt;&gt;"",'算罪台'!$B$4&lt;&gt;"",ISNUMBER(SEARCH($A574,'算罪台'!$B$4))),1,0)</f>
        <v/>
      </c>
      <c r="D575" s="34">
        <f>IF(AND($A574&lt;&gt;"",'算罪台'!$B$5&lt;&gt;"",ISNUMBER(SEARCH($A574,'算罪台'!$B$5))),1,0)</f>
        <v/>
      </c>
      <c r="E575" s="34">
        <f>IF(AND($A574&lt;&gt;"",'算罪台'!$B$6&lt;&gt;"",ISNUMBER(SEARCH($A574,'算罪台'!$B$6))),1,0)</f>
        <v/>
      </c>
    </row>
    <row r="576">
      <c r="A576" s="34" t="inlineStr">
        <is>
          <t>提供有偿性服务</t>
        </is>
      </c>
      <c r="B576" s="34" t="inlineStr">
        <is>
          <t>卖淫罪</t>
        </is>
      </c>
      <c r="C576" s="34">
        <f>IF(AND($A575&lt;&gt;"",'算罪台'!$B$4&lt;&gt;"",ISNUMBER(SEARCH($A575,'算罪台'!$B$4))),1,0)</f>
        <v/>
      </c>
      <c r="D576" s="34">
        <f>IF(AND($A575&lt;&gt;"",'算罪台'!$B$5&lt;&gt;"",ISNUMBER(SEARCH($A575,'算罪台'!$B$5))),1,0)</f>
        <v/>
      </c>
      <c r="E576" s="34">
        <f>IF(AND($A575&lt;&gt;"",'算罪台'!$B$6&lt;&gt;"",ISNUMBER(SEARCH($A575,'算罪台'!$B$6))),1,0)</f>
        <v/>
      </c>
    </row>
    <row r="577">
      <c r="A577" s="34" t="inlineStr">
        <is>
          <t>强奸</t>
        </is>
      </c>
      <c r="B577" s="34" t="inlineStr">
        <is>
          <t>强奸罪</t>
        </is>
      </c>
      <c r="C577" s="34">
        <f>IF(AND($A576&lt;&gt;"",'算罪台'!$B$4&lt;&gt;"",ISNUMBER(SEARCH($A576,'算罪台'!$B$4))),1,0)</f>
        <v/>
      </c>
      <c r="D577" s="34">
        <f>IF(AND($A576&lt;&gt;"",'算罪台'!$B$5&lt;&gt;"",ISNUMBER(SEARCH($A576,'算罪台'!$B$5))),1,0)</f>
        <v/>
      </c>
      <c r="E577" s="34">
        <f>IF(AND($A576&lt;&gt;"",'算罪台'!$B$6&lt;&gt;"",ISNUMBER(SEARCH($A576,'算罪台'!$B$6))),1,0)</f>
        <v/>
      </c>
    </row>
    <row r="578">
      <c r="A578" s="34" t="inlineStr">
        <is>
          <t>性侵</t>
        </is>
      </c>
      <c r="B578" s="34" t="inlineStr">
        <is>
          <t>强奸罪</t>
        </is>
      </c>
      <c r="C578" s="34">
        <f>IF(AND($A577&lt;&gt;"",'算罪台'!$B$4&lt;&gt;"",ISNUMBER(SEARCH($A577,'算罪台'!$B$4))),1,0)</f>
        <v/>
      </c>
      <c r="D578" s="34">
        <f>IF(AND($A577&lt;&gt;"",'算罪台'!$B$5&lt;&gt;"",ISNUMBER(SEARCH($A577,'算罪台'!$B$5))),1,0)</f>
        <v/>
      </c>
      <c r="E578" s="34">
        <f>IF(AND($A577&lt;&gt;"",'算罪台'!$B$6&lt;&gt;"",ISNUMBER(SEARCH($A577,'算罪台'!$B$6))),1,0)</f>
        <v/>
      </c>
    </row>
    <row r="579">
      <c r="A579" s="34" t="inlineStr">
        <is>
          <t>强迫性行为</t>
        </is>
      </c>
      <c r="B579" s="34" t="inlineStr">
        <is>
          <t>强奸罪</t>
        </is>
      </c>
      <c r="C579" s="34">
        <f>IF(AND($A578&lt;&gt;"",'算罪台'!$B$4&lt;&gt;"",ISNUMBER(SEARCH($A578,'算罪台'!$B$4))),1,0)</f>
        <v/>
      </c>
      <c r="D579" s="34">
        <f>IF(AND($A578&lt;&gt;"",'算罪台'!$B$5&lt;&gt;"",ISNUMBER(SEARCH($A578,'算罪台'!$B$5))),1,0)</f>
        <v/>
      </c>
      <c r="E579" s="34">
        <f>IF(AND($A578&lt;&gt;"",'算罪台'!$B$6&lt;&gt;"",ISNUMBER(SEARCH($A578,'算罪台'!$B$6))),1,0)</f>
        <v/>
      </c>
    </row>
    <row r="580">
      <c r="A580" s="34" t="inlineStr">
        <is>
          <t>强迫发生关系</t>
        </is>
      </c>
      <c r="B580" s="34" t="inlineStr">
        <is>
          <t>强奸罪</t>
        </is>
      </c>
      <c r="C580" s="34">
        <f>IF(AND($A579&lt;&gt;"",'算罪台'!$B$4&lt;&gt;"",ISNUMBER(SEARCH($A579,'算罪台'!$B$4))),1,0)</f>
        <v/>
      </c>
      <c r="D580" s="34">
        <f>IF(AND($A579&lt;&gt;"",'算罪台'!$B$5&lt;&gt;"",ISNUMBER(SEARCH($A579,'算罪台'!$B$5))),1,0)</f>
        <v/>
      </c>
      <c r="E580" s="34">
        <f>IF(AND($A579&lt;&gt;"",'算罪台'!$B$6&lt;&gt;"",ISNUMBER(SEARCH($A579,'算罪台'!$B$6))),1,0)</f>
        <v/>
      </c>
    </row>
    <row r="581">
      <c r="A581" s="34" t="inlineStr">
        <is>
          <t>迷奸</t>
        </is>
      </c>
      <c r="B581" s="34" t="inlineStr">
        <is>
          <t>强奸罪</t>
        </is>
      </c>
      <c r="C581" s="34">
        <f>IF(AND($A580&lt;&gt;"",'算罪台'!$B$4&lt;&gt;"",ISNUMBER(SEARCH($A580,'算罪台'!$B$4))),1,0)</f>
        <v/>
      </c>
      <c r="D581" s="34">
        <f>IF(AND($A580&lt;&gt;"",'算罪台'!$B$5&lt;&gt;"",ISNUMBER(SEARCH($A580,'算罪台'!$B$5))),1,0)</f>
        <v/>
      </c>
      <c r="E581" s="34">
        <f>IF(AND($A580&lt;&gt;"",'算罪台'!$B$6&lt;&gt;"",ISNUMBER(SEARCH($A580,'算罪台'!$B$6))),1,0)</f>
        <v/>
      </c>
    </row>
    <row r="582">
      <c r="A582" s="34" t="inlineStr">
        <is>
          <t>强暴</t>
        </is>
      </c>
      <c r="B582" s="34" t="inlineStr">
        <is>
          <t>强奸罪</t>
        </is>
      </c>
      <c r="C582" s="34">
        <f>IF(AND($A581&lt;&gt;"",'算罪台'!$B$4&lt;&gt;"",ISNUMBER(SEARCH($A581,'算罪台'!$B$4))),1,0)</f>
        <v/>
      </c>
      <c r="D582" s="34">
        <f>IF(AND($A581&lt;&gt;"",'算罪台'!$B$5&lt;&gt;"",ISNUMBER(SEARCH($A581,'算罪台'!$B$5))),1,0)</f>
        <v/>
      </c>
      <c r="E582" s="34">
        <f>IF(AND($A581&lt;&gt;"",'算罪台'!$B$6&lt;&gt;"",ISNUMBER(SEARCH($A581,'算罪台'!$B$6))),1,0)</f>
        <v/>
      </c>
    </row>
    <row r="583">
      <c r="A583" s="34" t="inlineStr">
        <is>
          <t>强上</t>
        </is>
      </c>
      <c r="B583" s="34" t="inlineStr">
        <is>
          <t>强奸罪</t>
        </is>
      </c>
      <c r="C583" s="34">
        <f>IF(AND($A582&lt;&gt;"",'算罪台'!$B$4&lt;&gt;"",ISNUMBER(SEARCH($A582,'算罪台'!$B$4))),1,0)</f>
        <v/>
      </c>
      <c r="D583" s="34">
        <f>IF(AND($A582&lt;&gt;"",'算罪台'!$B$5&lt;&gt;"",ISNUMBER(SEARCH($A582,'算罪台'!$B$5))),1,0)</f>
        <v/>
      </c>
      <c r="E583" s="34">
        <f>IF(AND($A582&lt;&gt;"",'算罪台'!$B$6&lt;&gt;"",ISNUMBER(SEARCH($A582,'算罪台'!$B$6))),1,0)</f>
        <v/>
      </c>
    </row>
    <row r="584">
      <c r="A584" s="34" t="inlineStr">
        <is>
          <t>下药性侵</t>
        </is>
      </c>
      <c r="B584" s="34" t="inlineStr">
        <is>
          <t>强奸罪</t>
        </is>
      </c>
      <c r="C584" s="34">
        <f>IF(AND($A583&lt;&gt;"",'算罪台'!$B$4&lt;&gt;"",ISNUMBER(SEARCH($A583,'算罪台'!$B$4))),1,0)</f>
        <v/>
      </c>
      <c r="D584" s="34">
        <f>IF(AND($A583&lt;&gt;"",'算罪台'!$B$5&lt;&gt;"",ISNUMBER(SEARCH($A583,'算罪台'!$B$5))),1,0)</f>
        <v/>
      </c>
      <c r="E584" s="34">
        <f>IF(AND($A583&lt;&gt;"",'算罪台'!$B$6&lt;&gt;"",ISNUMBER(SEARCH($A583,'算罪台'!$B$6))),1,0)</f>
        <v/>
      </c>
    </row>
    <row r="585">
      <c r="A585" s="34" t="inlineStr">
        <is>
          <t>违背意愿性侵</t>
        </is>
      </c>
      <c r="B585" s="34" t="inlineStr">
        <is>
          <t>强奸罪</t>
        </is>
      </c>
      <c r="C585" s="34">
        <f>IF(AND($A584&lt;&gt;"",'算罪台'!$B$4&lt;&gt;"",ISNUMBER(SEARCH($A584,'算罪台'!$B$4))),1,0)</f>
        <v/>
      </c>
      <c r="D585" s="34">
        <f>IF(AND($A584&lt;&gt;"",'算罪台'!$B$5&lt;&gt;"",ISNUMBER(SEARCH($A584,'算罪台'!$B$5))),1,0)</f>
        <v/>
      </c>
      <c r="E585" s="34">
        <f>IF(AND($A584&lt;&gt;"",'算罪台'!$B$6&lt;&gt;"",ISNUMBER(SEARCH($A584,'算罪台'!$B$6))),1,0)</f>
        <v/>
      </c>
    </row>
    <row r="586">
      <c r="A586" s="34" t="inlineStr">
        <is>
          <t>迷晕性侵</t>
        </is>
      </c>
      <c r="B586" s="34" t="inlineStr">
        <is>
          <t>强奸罪</t>
        </is>
      </c>
      <c r="C586" s="34">
        <f>IF(AND($A585&lt;&gt;"",'算罪台'!$B$4&lt;&gt;"",ISNUMBER(SEARCH($A585,'算罪台'!$B$4))),1,0)</f>
        <v/>
      </c>
      <c r="D586" s="34">
        <f>IF(AND($A585&lt;&gt;"",'算罪台'!$B$5&lt;&gt;"",ISNUMBER(SEARCH($A585,'算罪台'!$B$5))),1,0)</f>
        <v/>
      </c>
      <c r="E586" s="34">
        <f>IF(AND($A585&lt;&gt;"",'算罪台'!$B$6&lt;&gt;"",ISNUMBER(SEARCH($A585,'算罪台'!$B$6))),1,0)</f>
        <v/>
      </c>
    </row>
    <row r="587">
      <c r="A587" s="34" t="inlineStr">
        <is>
          <t>强行性侵</t>
        </is>
      </c>
      <c r="B587" s="34" t="inlineStr">
        <is>
          <t>强奸罪</t>
        </is>
      </c>
      <c r="C587" s="34">
        <f>IF(AND($A586&lt;&gt;"",'算罪台'!$B$4&lt;&gt;"",ISNUMBER(SEARCH($A586,'算罪台'!$B$4))),1,0)</f>
        <v/>
      </c>
      <c r="D587" s="34">
        <f>IF(AND($A586&lt;&gt;"",'算罪台'!$B$5&lt;&gt;"",ISNUMBER(SEARCH($A586,'算罪台'!$B$5))),1,0)</f>
        <v/>
      </c>
      <c r="E587" s="34">
        <f>IF(AND($A586&lt;&gt;"",'算罪台'!$B$6&lt;&gt;"",ISNUMBER(SEARCH($A586,'算罪台'!$B$6))),1,0)</f>
        <v/>
      </c>
    </row>
    <row r="588">
      <c r="A588" s="34" t="inlineStr">
        <is>
          <t>迷奸他人</t>
        </is>
      </c>
      <c r="B588" s="34" t="inlineStr">
        <is>
          <t>强奸罪</t>
        </is>
      </c>
      <c r="C588" s="34">
        <f>IF(AND($A587&lt;&gt;"",'算罪台'!$B$4&lt;&gt;"",ISNUMBER(SEARCH($A587,'算罪台'!$B$4))),1,0)</f>
        <v/>
      </c>
      <c r="D588" s="34">
        <f>IF(AND($A587&lt;&gt;"",'算罪台'!$B$5&lt;&gt;"",ISNUMBER(SEARCH($A587,'算罪台'!$B$5))),1,0)</f>
        <v/>
      </c>
      <c r="E588" s="34">
        <f>IF(AND($A587&lt;&gt;"",'算罪台'!$B$6&lt;&gt;"",ISNUMBER(SEARCH($A587,'算罪台'!$B$6))),1,0)</f>
        <v/>
      </c>
    </row>
    <row r="589">
      <c r="A589" s="34" t="inlineStr">
        <is>
          <t>性侵害</t>
        </is>
      </c>
      <c r="B589" s="34" t="inlineStr">
        <is>
          <t>强奸罪</t>
        </is>
      </c>
      <c r="C589" s="34">
        <f>IF(AND($A588&lt;&gt;"",'算罪台'!$B$4&lt;&gt;"",ISNUMBER(SEARCH($A588,'算罪台'!$B$4))),1,0)</f>
        <v/>
      </c>
      <c r="D589" s="34">
        <f>IF(AND($A588&lt;&gt;"",'算罪台'!$B$5&lt;&gt;"",ISNUMBER(SEARCH($A588,'算罪台'!$B$5))),1,0)</f>
        <v/>
      </c>
      <c r="E589" s="34">
        <f>IF(AND($A588&lt;&gt;"",'算罪台'!$B$6&lt;&gt;"",ISNUMBER(SEARCH($A588,'算罪台'!$B$6))),1,0)</f>
        <v/>
      </c>
    </row>
    <row r="590">
      <c r="A590" s="34" t="inlineStr">
        <is>
          <t>强行发生关系</t>
        </is>
      </c>
      <c r="B590" s="34" t="inlineStr">
        <is>
          <t>强奸罪</t>
        </is>
      </c>
      <c r="C590" s="34">
        <f>IF(AND($A589&lt;&gt;"",'算罪台'!$B$4&lt;&gt;"",ISNUMBER(SEARCH($A589,'算罪台'!$B$4))),1,0)</f>
        <v/>
      </c>
      <c r="D590" s="34">
        <f>IF(AND($A589&lt;&gt;"",'算罪台'!$B$5&lt;&gt;"",ISNUMBER(SEARCH($A589,'算罪台'!$B$5))),1,0)</f>
        <v/>
      </c>
      <c r="E590" s="34">
        <f>IF(AND($A589&lt;&gt;"",'算罪台'!$B$6&lt;&gt;"",ISNUMBER(SEARCH($A589,'算罪台'!$B$6))),1,0)</f>
        <v/>
      </c>
    </row>
    <row r="591">
      <c r="A591" s="34" t="inlineStr">
        <is>
          <t>强迫他人发生</t>
        </is>
      </c>
      <c r="B591" s="34" t="inlineStr">
        <is>
          <t>强奸罪</t>
        </is>
      </c>
      <c r="C591" s="34">
        <f>IF(AND($A590&lt;&gt;"",'算罪台'!$B$4&lt;&gt;"",ISNUMBER(SEARCH($A590,'算罪台'!$B$4))),1,0)</f>
        <v/>
      </c>
      <c r="D591" s="34">
        <f>IF(AND($A590&lt;&gt;"",'算罪台'!$B$5&lt;&gt;"",ISNUMBER(SEARCH($A590,'算罪台'!$B$5))),1,0)</f>
        <v/>
      </c>
      <c r="E591" s="34">
        <f>IF(AND($A590&lt;&gt;"",'算罪台'!$B$6&lt;&gt;"",ISNUMBER(SEARCH($A590,'算罪台'!$B$6))),1,0)</f>
        <v/>
      </c>
    </row>
    <row r="592">
      <c r="A592" s="34" t="inlineStr">
        <is>
          <t>传播淫秽</t>
        </is>
      </c>
      <c r="B592" s="34" t="inlineStr">
        <is>
          <t>传播淫秽色情罪</t>
        </is>
      </c>
      <c r="C592" s="34">
        <f>IF(AND($A591&lt;&gt;"",'算罪台'!$B$4&lt;&gt;"",ISNUMBER(SEARCH($A591,'算罪台'!$B$4))),1,0)</f>
        <v/>
      </c>
      <c r="D592" s="34">
        <f>IF(AND($A591&lt;&gt;"",'算罪台'!$B$5&lt;&gt;"",ISNUMBER(SEARCH($A591,'算罪台'!$B$5))),1,0)</f>
        <v/>
      </c>
      <c r="E592" s="34">
        <f>IF(AND($A591&lt;&gt;"",'算罪台'!$B$6&lt;&gt;"",ISNUMBER(SEARCH($A591,'算罪台'!$B$6))),1,0)</f>
        <v/>
      </c>
    </row>
    <row r="593">
      <c r="A593" s="34" t="inlineStr">
        <is>
          <t>传播色情</t>
        </is>
      </c>
      <c r="B593" s="34" t="inlineStr">
        <is>
          <t>传播淫秽色情罪</t>
        </is>
      </c>
      <c r="C593" s="34">
        <f>IF(AND($A592&lt;&gt;"",'算罪台'!$B$4&lt;&gt;"",ISNUMBER(SEARCH($A592,'算罪台'!$B$4))),1,0)</f>
        <v/>
      </c>
      <c r="D593" s="34">
        <f>IF(AND($A592&lt;&gt;"",'算罪台'!$B$5&lt;&gt;"",ISNUMBER(SEARCH($A592,'算罪台'!$B$5))),1,0)</f>
        <v/>
      </c>
      <c r="E593" s="34">
        <f>IF(AND($A592&lt;&gt;"",'算罪台'!$B$6&lt;&gt;"",ISNUMBER(SEARCH($A592,'算罪台'!$B$6))),1,0)</f>
        <v/>
      </c>
    </row>
    <row r="594">
      <c r="A594" s="34" t="inlineStr">
        <is>
          <t>淫秽内容</t>
        </is>
      </c>
      <c r="B594" s="34" t="inlineStr">
        <is>
          <t>传播淫秽色情罪</t>
        </is>
      </c>
      <c r="C594" s="34">
        <f>IF(AND($A593&lt;&gt;"",'算罪台'!$B$4&lt;&gt;"",ISNUMBER(SEARCH($A593,'算罪台'!$B$4))),1,0)</f>
        <v/>
      </c>
      <c r="D594" s="34">
        <f>IF(AND($A593&lt;&gt;"",'算罪台'!$B$5&lt;&gt;"",ISNUMBER(SEARCH($A593,'算罪台'!$B$5))),1,0)</f>
        <v/>
      </c>
      <c r="E594" s="34">
        <f>IF(AND($A593&lt;&gt;"",'算罪台'!$B$6&lt;&gt;"",ISNUMBER(SEARCH($A593,'算罪台'!$B$6))),1,0)</f>
        <v/>
      </c>
    </row>
    <row r="595">
      <c r="A595" s="34" t="inlineStr">
        <is>
          <t>色情视频</t>
        </is>
      </c>
      <c r="B595" s="34" t="inlineStr">
        <is>
          <t>传播淫秽色情罪</t>
        </is>
      </c>
      <c r="C595" s="34">
        <f>IF(AND($A594&lt;&gt;"",'算罪台'!$B$4&lt;&gt;"",ISNUMBER(SEARCH($A594,'算罪台'!$B$4))),1,0)</f>
        <v/>
      </c>
      <c r="D595" s="34">
        <f>IF(AND($A594&lt;&gt;"",'算罪台'!$B$5&lt;&gt;"",ISNUMBER(SEARCH($A594,'算罪台'!$B$5))),1,0)</f>
        <v/>
      </c>
      <c r="E595" s="34">
        <f>IF(AND($A594&lt;&gt;"",'算罪台'!$B$6&lt;&gt;"",ISNUMBER(SEARCH($A594,'算罪台'!$B$6))),1,0)</f>
        <v/>
      </c>
    </row>
    <row r="596">
      <c r="A596" s="34" t="inlineStr">
        <is>
          <t>贩卖色情</t>
        </is>
      </c>
      <c r="B596" s="34" t="inlineStr">
        <is>
          <t>传播淫秽色情罪</t>
        </is>
      </c>
      <c r="C596" s="34">
        <f>IF(AND($A595&lt;&gt;"",'算罪台'!$B$4&lt;&gt;"",ISNUMBER(SEARCH($A595,'算罪台'!$B$4))),1,0)</f>
        <v/>
      </c>
      <c r="D596" s="34">
        <f>IF(AND($A595&lt;&gt;"",'算罪台'!$B$5&lt;&gt;"",ISNUMBER(SEARCH($A595,'算罪台'!$B$5))),1,0)</f>
        <v/>
      </c>
      <c r="E596" s="34">
        <f>IF(AND($A595&lt;&gt;"",'算罪台'!$B$6&lt;&gt;"",ISNUMBER(SEARCH($A595,'算罪台'!$B$6))),1,0)</f>
        <v/>
      </c>
    </row>
    <row r="597">
      <c r="A597" s="34" t="inlineStr">
        <is>
          <t>发黄图</t>
        </is>
      </c>
      <c r="B597" s="34" t="inlineStr">
        <is>
          <t>传播淫秽色情罪</t>
        </is>
      </c>
      <c r="C597" s="34">
        <f>IF(AND($A596&lt;&gt;"",'算罪台'!$B$4&lt;&gt;"",ISNUMBER(SEARCH($A596,'算罪台'!$B$4))),1,0)</f>
        <v/>
      </c>
      <c r="D597" s="34">
        <f>IF(AND($A596&lt;&gt;"",'算罪台'!$B$5&lt;&gt;"",ISNUMBER(SEARCH($A596,'算罪台'!$B$5))),1,0)</f>
        <v/>
      </c>
      <c r="E597" s="34">
        <f>IF(AND($A596&lt;&gt;"",'算罪台'!$B$6&lt;&gt;"",ISNUMBER(SEARCH($A596,'算罪台'!$B$6))),1,0)</f>
        <v/>
      </c>
    </row>
    <row r="598">
      <c r="A598" s="34" t="inlineStr">
        <is>
          <t>传黄片</t>
        </is>
      </c>
      <c r="B598" s="34" t="inlineStr">
        <is>
          <t>传播淫秽色情罪</t>
        </is>
      </c>
      <c r="C598" s="34">
        <f>IF(AND($A597&lt;&gt;"",'算罪台'!$B$4&lt;&gt;"",ISNUMBER(SEARCH($A597,'算罪台'!$B$4))),1,0)</f>
        <v/>
      </c>
      <c r="D598" s="34">
        <f>IF(AND($A597&lt;&gt;"",'算罪台'!$B$5&lt;&gt;"",ISNUMBER(SEARCH($A597,'算罪台'!$B$5))),1,0)</f>
        <v/>
      </c>
      <c r="E598" s="34">
        <f>IF(AND($A597&lt;&gt;"",'算罪台'!$B$6&lt;&gt;"",ISNUMBER(SEARCH($A597,'算罪台'!$B$6))),1,0)</f>
        <v/>
      </c>
    </row>
    <row r="599">
      <c r="A599" s="34" t="inlineStr">
        <is>
          <t>发黄片</t>
        </is>
      </c>
      <c r="B599" s="34" t="inlineStr">
        <is>
          <t>传播淫秽色情罪</t>
        </is>
      </c>
      <c r="C599" s="34">
        <f>IF(AND($A598&lt;&gt;"",'算罪台'!$B$4&lt;&gt;"",ISNUMBER(SEARCH($A598,'算罪台'!$B$4))),1,0)</f>
        <v/>
      </c>
      <c r="D599" s="34">
        <f>IF(AND($A598&lt;&gt;"",'算罪台'!$B$5&lt;&gt;"",ISNUMBER(SEARCH($A598,'算罪台'!$B$5))),1,0)</f>
        <v/>
      </c>
      <c r="E599" s="34">
        <f>IF(AND($A598&lt;&gt;"",'算罪台'!$B$6&lt;&gt;"",ISNUMBER(SEARCH($A598,'算罪台'!$B$6))),1,0)</f>
        <v/>
      </c>
    </row>
    <row r="600">
      <c r="A600" s="34" t="inlineStr">
        <is>
          <t>卖片</t>
        </is>
      </c>
      <c r="B600" s="34" t="inlineStr">
        <is>
          <t>传播淫秽色情罪</t>
        </is>
      </c>
      <c r="C600" s="34">
        <f>IF(AND($A599&lt;&gt;"",'算罪台'!$B$4&lt;&gt;"",ISNUMBER(SEARCH($A599,'算罪台'!$B$4))),1,0)</f>
        <v/>
      </c>
      <c r="D600" s="34">
        <f>IF(AND($A599&lt;&gt;"",'算罪台'!$B$5&lt;&gt;"",ISNUMBER(SEARCH($A599,'算罪台'!$B$5))),1,0)</f>
        <v/>
      </c>
      <c r="E600" s="34">
        <f>IF(AND($A599&lt;&gt;"",'算罪台'!$B$6&lt;&gt;"",ISNUMBER(SEARCH($A599,'算罪台'!$B$6))),1,0)</f>
        <v/>
      </c>
    </row>
    <row r="601">
      <c r="A601" s="34" t="inlineStr">
        <is>
          <t>传不雅</t>
        </is>
      </c>
      <c r="B601" s="34" t="inlineStr">
        <is>
          <t>传播淫秽色情罪</t>
        </is>
      </c>
      <c r="C601" s="34">
        <f>IF(AND($A600&lt;&gt;"",'算罪台'!$B$4&lt;&gt;"",ISNUMBER(SEARCH($A600,'算罪台'!$B$4))),1,0)</f>
        <v/>
      </c>
      <c r="D601" s="34">
        <f>IF(AND($A600&lt;&gt;"",'算罪台'!$B$5&lt;&gt;"",ISNUMBER(SEARCH($A600,'算罪台'!$B$5))),1,0)</f>
        <v/>
      </c>
      <c r="E601" s="34">
        <f>IF(AND($A600&lt;&gt;"",'算罪台'!$B$6&lt;&gt;"",ISNUMBER(SEARCH($A600,'算罪台'!$B$6))),1,0)</f>
        <v/>
      </c>
    </row>
    <row r="602">
      <c r="A602" s="34" t="inlineStr">
        <is>
          <t>发不雅视频</t>
        </is>
      </c>
      <c r="B602" s="34" t="inlineStr">
        <is>
          <t>传播淫秽色情罪</t>
        </is>
      </c>
      <c r="C602" s="34">
        <f>IF(AND($A601&lt;&gt;"",'算罪台'!$B$4&lt;&gt;"",ISNUMBER(SEARCH($A601,'算罪台'!$B$4))),1,0)</f>
        <v/>
      </c>
      <c r="D602" s="34">
        <f>IF(AND($A601&lt;&gt;"",'算罪台'!$B$5&lt;&gt;"",ISNUMBER(SEARCH($A601,'算罪台'!$B$5))),1,0)</f>
        <v/>
      </c>
      <c r="E602" s="34">
        <f>IF(AND($A601&lt;&gt;"",'算罪台'!$B$6&lt;&gt;"",ISNUMBER(SEARCH($A601,'算罪台'!$B$6))),1,0)</f>
        <v/>
      </c>
    </row>
    <row r="603">
      <c r="A603" s="34" t="inlineStr">
        <is>
          <t>传播黄图</t>
        </is>
      </c>
      <c r="B603" s="34" t="inlineStr">
        <is>
          <t>传播淫秽色情罪</t>
        </is>
      </c>
      <c r="C603" s="34">
        <f>IF(AND($A602&lt;&gt;"",'算罪台'!$B$4&lt;&gt;"",ISNUMBER(SEARCH($A602,'算罪台'!$B$4))),1,0)</f>
        <v/>
      </c>
      <c r="D603" s="34">
        <f>IF(AND($A602&lt;&gt;"",'算罪台'!$B$5&lt;&gt;"",ISNUMBER(SEARCH($A602,'算罪台'!$B$5))),1,0)</f>
        <v/>
      </c>
      <c r="E603" s="34">
        <f>IF(AND($A602&lt;&gt;"",'算罪台'!$B$6&lt;&gt;"",ISNUMBER(SEARCH($A602,'算罪台'!$B$6))),1,0)</f>
        <v/>
      </c>
    </row>
    <row r="604">
      <c r="A604" s="34" t="inlineStr">
        <is>
          <t>散布淫秽</t>
        </is>
      </c>
      <c r="B604" s="34" t="inlineStr">
        <is>
          <t>传播淫秽色情罪</t>
        </is>
      </c>
      <c r="C604" s="34">
        <f>IF(AND($A603&lt;&gt;"",'算罪台'!$B$4&lt;&gt;"",ISNUMBER(SEARCH($A603,'算罪台'!$B$4))),1,0)</f>
        <v/>
      </c>
      <c r="D604" s="34">
        <f>IF(AND($A603&lt;&gt;"",'算罪台'!$B$5&lt;&gt;"",ISNUMBER(SEARCH($A603,'算罪台'!$B$5))),1,0)</f>
        <v/>
      </c>
      <c r="E604" s="34">
        <f>IF(AND($A603&lt;&gt;"",'算罪台'!$B$6&lt;&gt;"",ISNUMBER(SEARCH($A603,'算罪台'!$B$6))),1,0)</f>
        <v/>
      </c>
    </row>
    <row r="605">
      <c r="A605" s="34" t="inlineStr">
        <is>
          <t>制作色情</t>
        </is>
      </c>
      <c r="B605" s="34" t="inlineStr">
        <is>
          <t>传播淫秽色情罪</t>
        </is>
      </c>
      <c r="C605" s="34">
        <f>IF(AND($A604&lt;&gt;"",'算罪台'!$B$4&lt;&gt;"",ISNUMBER(SEARCH($A604,'算罪台'!$B$4))),1,0)</f>
        <v/>
      </c>
      <c r="D605" s="34">
        <f>IF(AND($A604&lt;&gt;"",'算罪台'!$B$5&lt;&gt;"",ISNUMBER(SEARCH($A604,'算罪台'!$B$5))),1,0)</f>
        <v/>
      </c>
      <c r="E605" s="34">
        <f>IF(AND($A604&lt;&gt;"",'算罪台'!$B$6&lt;&gt;"",ISNUMBER(SEARCH($A604,'算罪台'!$B$6))),1,0)</f>
        <v/>
      </c>
    </row>
    <row r="606">
      <c r="A606" s="34" t="inlineStr">
        <is>
          <t>贩卖淫秽</t>
        </is>
      </c>
      <c r="B606" s="34" t="inlineStr">
        <is>
          <t>传播淫秽色情罪</t>
        </is>
      </c>
      <c r="C606" s="34">
        <f>IF(AND($A605&lt;&gt;"",'算罪台'!$B$4&lt;&gt;"",ISNUMBER(SEARCH($A605,'算罪台'!$B$4))),1,0)</f>
        <v/>
      </c>
      <c r="D606" s="34">
        <f>IF(AND($A605&lt;&gt;"",'算罪台'!$B$5&lt;&gt;"",ISNUMBER(SEARCH($A605,'算罪台'!$B$5))),1,0)</f>
        <v/>
      </c>
      <c r="E606" s="34">
        <f>IF(AND($A605&lt;&gt;"",'算罪台'!$B$6&lt;&gt;"",ISNUMBER(SEARCH($A605,'算罪台'!$B$6))),1,0)</f>
        <v/>
      </c>
    </row>
    <row r="607">
      <c r="A607" s="34" t="inlineStr">
        <is>
          <t>传播淫秽物品</t>
        </is>
      </c>
      <c r="B607" s="34" t="inlineStr">
        <is>
          <t>传播淫秽色情罪</t>
        </is>
      </c>
      <c r="C607" s="34">
        <f>IF(AND($A606&lt;&gt;"",'算罪台'!$B$4&lt;&gt;"",ISNUMBER(SEARCH($A606,'算罪台'!$B$4))),1,0)</f>
        <v/>
      </c>
      <c r="D607" s="34">
        <f>IF(AND($A606&lt;&gt;"",'算罪台'!$B$5&lt;&gt;"",ISNUMBER(SEARCH($A606,'算罪台'!$B$5))),1,0)</f>
        <v/>
      </c>
      <c r="E607" s="34">
        <f>IF(AND($A606&lt;&gt;"",'算罪台'!$B$6&lt;&gt;"",ISNUMBER(SEARCH($A606,'算罪台'!$B$6))),1,0)</f>
        <v/>
      </c>
    </row>
    <row r="608">
      <c r="A608" s="34" t="inlineStr">
        <is>
          <t>公开色情</t>
        </is>
      </c>
      <c r="B608" s="34" t="inlineStr">
        <is>
          <t>传播淫秽色情罪</t>
        </is>
      </c>
      <c r="C608" s="34">
        <f>IF(AND($A607&lt;&gt;"",'算罪台'!$B$4&lt;&gt;"",ISNUMBER(SEARCH($A607,'算罪台'!$B$4))),1,0)</f>
        <v/>
      </c>
      <c r="D608" s="34">
        <f>IF(AND($A607&lt;&gt;"",'算罪台'!$B$5&lt;&gt;"",ISNUMBER(SEARCH($A607,'算罪台'!$B$5))),1,0)</f>
        <v/>
      </c>
      <c r="E608" s="34">
        <f>IF(AND($A607&lt;&gt;"",'算罪台'!$B$6&lt;&gt;"",ISNUMBER(SEARCH($A607,'算罪台'!$B$6))),1,0)</f>
        <v/>
      </c>
    </row>
    <row r="609">
      <c r="A609" s="34" t="inlineStr">
        <is>
          <t>歧视</t>
        </is>
      </c>
      <c r="B609" s="34" t="inlineStr">
        <is>
          <t>歧视罪</t>
        </is>
      </c>
      <c r="C609" s="34">
        <f>IF(AND($A608&lt;&gt;"",'算罪台'!$B$4&lt;&gt;"",ISNUMBER(SEARCH($A608,'算罪台'!$B$4))),1,0)</f>
        <v/>
      </c>
      <c r="D609" s="34">
        <f>IF(AND($A608&lt;&gt;"",'算罪台'!$B$5&lt;&gt;"",ISNUMBER(SEARCH($A608,'算罪台'!$B$5))),1,0)</f>
        <v/>
      </c>
      <c r="E609" s="34">
        <f>IF(AND($A608&lt;&gt;"",'算罪台'!$B$6&lt;&gt;"",ISNUMBER(SEARCH($A608,'算罪台'!$B$6))),1,0)</f>
        <v/>
      </c>
    </row>
    <row r="610">
      <c r="A610" s="34" t="inlineStr">
        <is>
          <t>种族歧视</t>
        </is>
      </c>
      <c r="B610" s="34" t="inlineStr">
        <is>
          <t>歧视罪</t>
        </is>
      </c>
      <c r="C610" s="34">
        <f>IF(AND($A609&lt;&gt;"",'算罪台'!$B$4&lt;&gt;"",ISNUMBER(SEARCH($A609,'算罪台'!$B$4))),1,0)</f>
        <v/>
      </c>
      <c r="D610" s="34">
        <f>IF(AND($A609&lt;&gt;"",'算罪台'!$B$5&lt;&gt;"",ISNUMBER(SEARCH($A609,'算罪台'!$B$5))),1,0)</f>
        <v/>
      </c>
      <c r="E610" s="34">
        <f>IF(AND($A609&lt;&gt;"",'算罪台'!$B$6&lt;&gt;"",ISNUMBER(SEARCH($A609,'算罪台'!$B$6))),1,0)</f>
        <v/>
      </c>
    </row>
    <row r="611">
      <c r="A611" s="34" t="inlineStr">
        <is>
          <t>辱骂</t>
        </is>
      </c>
      <c r="B611" s="34" t="inlineStr">
        <is>
          <t>歧视罪</t>
        </is>
      </c>
      <c r="C611" s="34">
        <f>IF(AND($A610&lt;&gt;"",'算罪台'!$B$4&lt;&gt;"",ISNUMBER(SEARCH($A610,'算罪台'!$B$4))),1,0)</f>
        <v/>
      </c>
      <c r="D611" s="34">
        <f>IF(AND($A610&lt;&gt;"",'算罪台'!$B$5&lt;&gt;"",ISNUMBER(SEARCH($A610,'算罪台'!$B$5))),1,0)</f>
        <v/>
      </c>
      <c r="E611" s="34">
        <f>IF(AND($A610&lt;&gt;"",'算罪台'!$B$6&lt;&gt;"",ISNUMBER(SEARCH($A610,'算罪台'!$B$6))),1,0)</f>
        <v/>
      </c>
    </row>
    <row r="612">
      <c r="A612" s="34" t="inlineStr">
        <is>
          <t>侮辱</t>
        </is>
      </c>
      <c r="B612" s="34" t="inlineStr">
        <is>
          <t>歧视罪</t>
        </is>
      </c>
      <c r="C612" s="34">
        <f>IF(AND($A611&lt;&gt;"",'算罪台'!$B$4&lt;&gt;"",ISNUMBER(SEARCH($A611,'算罪台'!$B$4))),1,0)</f>
        <v/>
      </c>
      <c r="D612" s="34">
        <f>IF(AND($A611&lt;&gt;"",'算罪台'!$B$5&lt;&gt;"",ISNUMBER(SEARCH($A611,'算罪台'!$B$5))),1,0)</f>
        <v/>
      </c>
      <c r="E612" s="34">
        <f>IF(AND($A611&lt;&gt;"",'算罪台'!$B$6&lt;&gt;"",ISNUMBER(SEARCH($A611,'算罪台'!$B$6))),1,0)</f>
        <v/>
      </c>
    </row>
    <row r="613">
      <c r="A613" s="34" t="inlineStr">
        <is>
          <t>贬低</t>
        </is>
      </c>
      <c r="B613" s="34" t="inlineStr">
        <is>
          <t>歧视罪</t>
        </is>
      </c>
      <c r="C613" s="34">
        <f>IF(AND($A612&lt;&gt;"",'算罪台'!$B$4&lt;&gt;"",ISNUMBER(SEARCH($A612,'算罪台'!$B$4))),1,0)</f>
        <v/>
      </c>
      <c r="D613" s="34">
        <f>IF(AND($A612&lt;&gt;"",'算罪台'!$B$5&lt;&gt;"",ISNUMBER(SEARCH($A612,'算罪台'!$B$5))),1,0)</f>
        <v/>
      </c>
      <c r="E613" s="34">
        <f>IF(AND($A612&lt;&gt;"",'算罪台'!$B$6&lt;&gt;"",ISNUMBER(SEARCH($A612,'算罪台'!$B$6))),1,0)</f>
        <v/>
      </c>
    </row>
    <row r="614">
      <c r="A614" s="34" t="inlineStr">
        <is>
          <t>地图炮</t>
        </is>
      </c>
      <c r="B614" s="34" t="inlineStr">
        <is>
          <t>歧视罪</t>
        </is>
      </c>
      <c r="C614" s="34">
        <f>IF(AND($A613&lt;&gt;"",'算罪台'!$B$4&lt;&gt;"",ISNUMBER(SEARCH($A613,'算罪台'!$B$4))),1,0)</f>
        <v/>
      </c>
      <c r="D614" s="34">
        <f>IF(AND($A613&lt;&gt;"",'算罪台'!$B$5&lt;&gt;"",ISNUMBER(SEARCH($A613,'算罪台'!$B$5))),1,0)</f>
        <v/>
      </c>
      <c r="E614" s="34">
        <f>IF(AND($A613&lt;&gt;"",'算罪台'!$B$6&lt;&gt;"",ISNUMBER(SEARCH($A613,'算罪台'!$B$6))),1,0)</f>
        <v/>
      </c>
    </row>
    <row r="615">
      <c r="A615" s="34" t="inlineStr">
        <is>
          <t>辱骂种族</t>
        </is>
      </c>
      <c r="B615" s="34" t="inlineStr">
        <is>
          <t>歧视罪</t>
        </is>
      </c>
      <c r="C615" s="34">
        <f>IF(AND($A614&lt;&gt;"",'算罪台'!$B$4&lt;&gt;"",ISNUMBER(SEARCH($A614,'算罪台'!$B$4))),1,0)</f>
        <v/>
      </c>
      <c r="D615" s="34">
        <f>IF(AND($A614&lt;&gt;"",'算罪台'!$B$5&lt;&gt;"",ISNUMBER(SEARCH($A614,'算罪台'!$B$5))),1,0)</f>
        <v/>
      </c>
      <c r="E615" s="34">
        <f>IF(AND($A614&lt;&gt;"",'算罪台'!$B$6&lt;&gt;"",ISNUMBER(SEARCH($A614,'算罪台'!$B$6))),1,0)</f>
        <v/>
      </c>
    </row>
    <row r="616">
      <c r="A616" s="34" t="inlineStr">
        <is>
          <t>骂残疾</t>
        </is>
      </c>
      <c r="B616" s="34" t="inlineStr">
        <is>
          <t>歧视罪</t>
        </is>
      </c>
      <c r="C616" s="34">
        <f>IF(AND($A615&lt;&gt;"",'算罪台'!$B$4&lt;&gt;"",ISNUMBER(SEARCH($A615,'算罪台'!$B$4))),1,0)</f>
        <v/>
      </c>
      <c r="D616" s="34">
        <f>IF(AND($A615&lt;&gt;"",'算罪台'!$B$5&lt;&gt;"",ISNUMBER(SEARCH($A615,'算罪台'!$B$5))),1,0)</f>
        <v/>
      </c>
      <c r="E616" s="34">
        <f>IF(AND($A615&lt;&gt;"",'算罪台'!$B$6&lt;&gt;"",ISNUMBER(SEARCH($A615,'算罪台'!$B$6))),1,0)</f>
        <v/>
      </c>
    </row>
    <row r="617">
      <c r="A617" s="34" t="inlineStr">
        <is>
          <t>性别歧视</t>
        </is>
      </c>
      <c r="B617" s="34" t="inlineStr">
        <is>
          <t>歧视罪</t>
        </is>
      </c>
      <c r="C617" s="34">
        <f>IF(AND($A616&lt;&gt;"",'算罪台'!$B$4&lt;&gt;"",ISNUMBER(SEARCH($A616,'算罪台'!$B$4))),1,0)</f>
        <v/>
      </c>
      <c r="D617" s="34">
        <f>IF(AND($A616&lt;&gt;"",'算罪台'!$B$5&lt;&gt;"",ISNUMBER(SEARCH($A616,'算罪台'!$B$5))),1,0)</f>
        <v/>
      </c>
      <c r="E617" s="34">
        <f>IF(AND($A616&lt;&gt;"",'算罪台'!$B$6&lt;&gt;"",ISNUMBER(SEARCH($A616,'算罪台'!$B$6))),1,0)</f>
        <v/>
      </c>
    </row>
    <row r="618">
      <c r="A618" s="34" t="inlineStr">
        <is>
          <t>种族辱骂</t>
        </is>
      </c>
      <c r="B618" s="34" t="inlineStr">
        <is>
          <t>歧视罪</t>
        </is>
      </c>
      <c r="C618" s="34">
        <f>IF(AND($A617&lt;&gt;"",'算罪台'!$B$4&lt;&gt;"",ISNUMBER(SEARCH($A617,'算罪台'!$B$4))),1,0)</f>
        <v/>
      </c>
      <c r="D618" s="34">
        <f>IF(AND($A617&lt;&gt;"",'算罪台'!$B$5&lt;&gt;"",ISNUMBER(SEARCH($A617,'算罪台'!$B$5))),1,0)</f>
        <v/>
      </c>
      <c r="E618" s="34">
        <f>IF(AND($A617&lt;&gt;"",'算罪台'!$B$6&lt;&gt;"",ISNUMBER(SEARCH($A617,'算罪台'!$B$6))),1,0)</f>
        <v/>
      </c>
    </row>
    <row r="619">
      <c r="A619" s="34" t="inlineStr">
        <is>
          <t>歧视他人</t>
        </is>
      </c>
      <c r="B619" s="34" t="inlineStr">
        <is>
          <t>歧视罪</t>
        </is>
      </c>
      <c r="C619" s="34">
        <f>IF(AND($A618&lt;&gt;"",'算罪台'!$B$4&lt;&gt;"",ISNUMBER(SEARCH($A618,'算罪台'!$B$4))),1,0)</f>
        <v/>
      </c>
      <c r="D619" s="34">
        <f>IF(AND($A618&lt;&gt;"",'算罪台'!$B$5&lt;&gt;"",ISNUMBER(SEARCH($A618,'算罪台'!$B$5))),1,0)</f>
        <v/>
      </c>
      <c r="E619" s="34">
        <f>IF(AND($A618&lt;&gt;"",'算罪台'!$B$6&lt;&gt;"",ISNUMBER(SEARCH($A618,'算罪台'!$B$6))),1,0)</f>
        <v/>
      </c>
    </row>
    <row r="620">
      <c r="A620" s="34" t="inlineStr">
        <is>
          <t>恶意歧视</t>
        </is>
      </c>
      <c r="B620" s="34" t="inlineStr">
        <is>
          <t>歧视罪</t>
        </is>
      </c>
      <c r="C620" s="34">
        <f>IF(AND($A619&lt;&gt;"",'算罪台'!$B$4&lt;&gt;"",ISNUMBER(SEARCH($A619,'算罪台'!$B$4))),1,0)</f>
        <v/>
      </c>
      <c r="D620" s="34">
        <f>IF(AND($A619&lt;&gt;"",'算罪台'!$B$5&lt;&gt;"",ISNUMBER(SEARCH($A619,'算罪台'!$B$5))),1,0)</f>
        <v/>
      </c>
      <c r="E620" s="34">
        <f>IF(AND($A619&lt;&gt;"",'算罪台'!$B$6&lt;&gt;"",ISNUMBER(SEARCH($A619,'算罪台'!$B$6))),1,0)</f>
        <v/>
      </c>
    </row>
    <row r="621">
      <c r="A621" s="34" t="inlineStr">
        <is>
          <t>辱骂歧视</t>
        </is>
      </c>
      <c r="B621" s="34" t="inlineStr">
        <is>
          <t>歧视罪</t>
        </is>
      </c>
      <c r="C621" s="34">
        <f>IF(AND($A620&lt;&gt;"",'算罪台'!$B$4&lt;&gt;"",ISNUMBER(SEARCH($A620,'算罪台'!$B$4))),1,0)</f>
        <v/>
      </c>
      <c r="D621" s="34">
        <f>IF(AND($A620&lt;&gt;"",'算罪台'!$B$5&lt;&gt;"",ISNUMBER(SEARCH($A620,'算罪台'!$B$5))),1,0)</f>
        <v/>
      </c>
      <c r="E621" s="34">
        <f>IF(AND($A620&lt;&gt;"",'算罪台'!$B$6&lt;&gt;"",ISNUMBER(SEARCH($A620,'算罪台'!$B$6))),1,0)</f>
        <v/>
      </c>
    </row>
    <row r="622">
      <c r="A622" s="34" t="inlineStr">
        <is>
          <t>种族侮辱</t>
        </is>
      </c>
      <c r="B622" s="34" t="inlineStr">
        <is>
          <t>歧视罪</t>
        </is>
      </c>
      <c r="C622" s="34">
        <f>IF(AND($A621&lt;&gt;"",'算罪台'!$B$4&lt;&gt;"",ISNUMBER(SEARCH($A621,'算罪台'!$B$4))),1,0)</f>
        <v/>
      </c>
      <c r="D622" s="34">
        <f>IF(AND($A621&lt;&gt;"",'算罪台'!$B$5&lt;&gt;"",ISNUMBER(SEARCH($A621,'算罪台'!$B$5))),1,0)</f>
        <v/>
      </c>
      <c r="E622" s="34">
        <f>IF(AND($A621&lt;&gt;"",'算罪台'!$B$6&lt;&gt;"",ISNUMBER(SEARCH($A621,'算罪台'!$B$6))),1,0)</f>
        <v/>
      </c>
    </row>
    <row r="623">
      <c r="A623" s="34" t="inlineStr">
        <is>
          <t>仇恨言论</t>
        </is>
      </c>
      <c r="B623" s="34" t="inlineStr">
        <is>
          <t>歧视罪</t>
        </is>
      </c>
      <c r="C623" s="34">
        <f>IF(AND($A622&lt;&gt;"",'算罪台'!$B$4&lt;&gt;"",ISNUMBER(SEARCH($A622,'算罪台'!$B$4))),1,0)</f>
        <v/>
      </c>
      <c r="D623" s="34">
        <f>IF(AND($A622&lt;&gt;"",'算罪台'!$B$5&lt;&gt;"",ISNUMBER(SEARCH($A622,'算罪台'!$B$5))),1,0)</f>
        <v/>
      </c>
      <c r="E623" s="34">
        <f>IF(AND($A622&lt;&gt;"",'算罪台'!$B$6&lt;&gt;"",ISNUMBER(SEARCH($A622,'算罪台'!$B$6))),1,0)</f>
        <v/>
      </c>
    </row>
    <row r="624">
      <c r="A624" s="34" t="inlineStr">
        <is>
          <t>诽谤</t>
        </is>
      </c>
      <c r="B624" s="34" t="inlineStr">
        <is>
          <t>诽谤罪</t>
        </is>
      </c>
      <c r="C624" s="34">
        <f>IF(AND($A623&lt;&gt;"",'算罪台'!$B$4&lt;&gt;"",ISNUMBER(SEARCH($A623,'算罪台'!$B$4))),1,0)</f>
        <v/>
      </c>
      <c r="D624" s="34">
        <f>IF(AND($A623&lt;&gt;"",'算罪台'!$B$5&lt;&gt;"",ISNUMBER(SEARCH($A623,'算罪台'!$B$5))),1,0)</f>
        <v/>
      </c>
      <c r="E624" s="34">
        <f>IF(AND($A623&lt;&gt;"",'算罪台'!$B$6&lt;&gt;"",ISNUMBER(SEARCH($A623,'算罪台'!$B$6))),1,0)</f>
        <v/>
      </c>
    </row>
    <row r="625">
      <c r="A625" s="34" t="inlineStr">
        <is>
          <t>造谣</t>
        </is>
      </c>
      <c r="B625" s="34" t="inlineStr">
        <is>
          <t>诽谤罪</t>
        </is>
      </c>
      <c r="C625" s="34">
        <f>IF(AND($A624&lt;&gt;"",'算罪台'!$B$4&lt;&gt;"",ISNUMBER(SEARCH($A624,'算罪台'!$B$4))),1,0)</f>
        <v/>
      </c>
      <c r="D625" s="34">
        <f>IF(AND($A624&lt;&gt;"",'算罪台'!$B$5&lt;&gt;"",ISNUMBER(SEARCH($A624,'算罪台'!$B$5))),1,0)</f>
        <v/>
      </c>
      <c r="E625" s="34">
        <f>IF(AND($A624&lt;&gt;"",'算罪台'!$B$6&lt;&gt;"",ISNUMBER(SEARCH($A624,'算罪台'!$B$6))),1,0)</f>
        <v/>
      </c>
    </row>
    <row r="626">
      <c r="A626" s="34" t="inlineStr">
        <is>
          <t>污蔑</t>
        </is>
      </c>
      <c r="B626" s="34" t="inlineStr">
        <is>
          <t>诽谤罪</t>
        </is>
      </c>
      <c r="C626" s="34">
        <f>IF(AND($A625&lt;&gt;"",'算罪台'!$B$4&lt;&gt;"",ISNUMBER(SEARCH($A625,'算罪台'!$B$4))),1,0)</f>
        <v/>
      </c>
      <c r="D626" s="34">
        <f>IF(AND($A625&lt;&gt;"",'算罪台'!$B$5&lt;&gt;"",ISNUMBER(SEARCH($A625,'算罪台'!$B$5))),1,0)</f>
        <v/>
      </c>
      <c r="E626" s="34">
        <f>IF(AND($A625&lt;&gt;"",'算罪台'!$B$6&lt;&gt;"",ISNUMBER(SEARCH($A625,'算罪台'!$B$6))),1,0)</f>
        <v/>
      </c>
    </row>
    <row r="627">
      <c r="A627" s="34" t="inlineStr">
        <is>
          <t>捏造</t>
        </is>
      </c>
      <c r="B627" s="34" t="inlineStr">
        <is>
          <t>诽谤罪</t>
        </is>
      </c>
      <c r="C627" s="34">
        <f>IF(AND($A626&lt;&gt;"",'算罪台'!$B$4&lt;&gt;"",ISNUMBER(SEARCH($A626,'算罪台'!$B$4))),1,0)</f>
        <v/>
      </c>
      <c r="D627" s="34">
        <f>IF(AND($A626&lt;&gt;"",'算罪台'!$B$5&lt;&gt;"",ISNUMBER(SEARCH($A626,'算罪台'!$B$5))),1,0)</f>
        <v/>
      </c>
      <c r="E627" s="34">
        <f>IF(AND($A626&lt;&gt;"",'算罪台'!$B$6&lt;&gt;"",ISNUMBER(SEARCH($A626,'算罪台'!$B$6))),1,0)</f>
        <v/>
      </c>
    </row>
    <row r="628">
      <c r="A628" s="34" t="inlineStr">
        <is>
          <t>损害名誉</t>
        </is>
      </c>
      <c r="B628" s="34" t="inlineStr">
        <is>
          <t>诽谤罪</t>
        </is>
      </c>
      <c r="C628" s="34">
        <f>IF(AND($A627&lt;&gt;"",'算罪台'!$B$4&lt;&gt;"",ISNUMBER(SEARCH($A627,'算罪台'!$B$4))),1,0)</f>
        <v/>
      </c>
      <c r="D628" s="34">
        <f>IF(AND($A627&lt;&gt;"",'算罪台'!$B$5&lt;&gt;"",ISNUMBER(SEARCH($A627,'算罪台'!$B$5))),1,0)</f>
        <v/>
      </c>
      <c r="E628" s="34">
        <f>IF(AND($A627&lt;&gt;"",'算罪台'!$B$6&lt;&gt;"",ISNUMBER(SEARCH($A627,'算罪台'!$B$6))),1,0)</f>
        <v/>
      </c>
    </row>
    <row r="629">
      <c r="A629" s="34" t="inlineStr">
        <is>
          <t>传播虚假信息</t>
        </is>
      </c>
      <c r="B629" s="34" t="inlineStr">
        <is>
          <t>诽谤罪</t>
        </is>
      </c>
      <c r="C629" s="34">
        <f>IF(AND($A628&lt;&gt;"",'算罪台'!$B$4&lt;&gt;"",ISNUMBER(SEARCH($A628,'算罪台'!$B$4))),1,0)</f>
        <v/>
      </c>
      <c r="D629" s="34">
        <f>IF(AND($A628&lt;&gt;"",'算罪台'!$B$5&lt;&gt;"",ISNUMBER(SEARCH($A628,'算罪台'!$B$5))),1,0)</f>
        <v/>
      </c>
      <c r="E629" s="34">
        <f>IF(AND($A628&lt;&gt;"",'算罪台'!$B$6&lt;&gt;"",ISNUMBER(SEARCH($A628,'算罪台'!$B$6))),1,0)</f>
        <v/>
      </c>
    </row>
    <row r="630">
      <c r="A630" s="34" t="inlineStr">
        <is>
          <t>抹黑</t>
        </is>
      </c>
      <c r="B630" s="34" t="inlineStr">
        <is>
          <t>诽谤罪</t>
        </is>
      </c>
      <c r="C630" s="34">
        <f>IF(AND($A629&lt;&gt;"",'算罪台'!$B$4&lt;&gt;"",ISNUMBER(SEARCH($A629,'算罪台'!$B$4))),1,0)</f>
        <v/>
      </c>
      <c r="D630" s="34">
        <f>IF(AND($A629&lt;&gt;"",'算罪台'!$B$5&lt;&gt;"",ISNUMBER(SEARCH($A629,'算罪台'!$B$5))),1,0)</f>
        <v/>
      </c>
      <c r="E630" s="34">
        <f>IF(AND($A629&lt;&gt;"",'算罪台'!$B$6&lt;&gt;"",ISNUMBER(SEARCH($A629,'算罪台'!$B$6))),1,0)</f>
        <v/>
      </c>
    </row>
    <row r="631">
      <c r="A631" s="34" t="inlineStr">
        <is>
          <t>造黄谣</t>
        </is>
      </c>
      <c r="B631" s="34" t="inlineStr">
        <is>
          <t>诽谤罪</t>
        </is>
      </c>
      <c r="C631" s="34">
        <f>IF(AND($A630&lt;&gt;"",'算罪台'!$B$4&lt;&gt;"",ISNUMBER(SEARCH($A630,'算罪台'!$B$4))),1,0)</f>
        <v/>
      </c>
      <c r="D631" s="34">
        <f>IF(AND($A630&lt;&gt;"",'算罪台'!$B$5&lt;&gt;"",ISNUMBER(SEARCH($A630,'算罪台'!$B$5))),1,0)</f>
        <v/>
      </c>
      <c r="E631" s="34">
        <f>IF(AND($A630&lt;&gt;"",'算罪台'!$B$6&lt;&gt;"",ISNUMBER(SEARCH($A630,'算罪台'!$B$6))),1,0)</f>
        <v/>
      </c>
    </row>
    <row r="632">
      <c r="A632" s="34" t="inlineStr">
        <is>
          <t>带节奏抹黑</t>
        </is>
      </c>
      <c r="B632" s="34" t="inlineStr">
        <is>
          <t>诽谤罪</t>
        </is>
      </c>
      <c r="C632" s="34">
        <f>IF(AND($A631&lt;&gt;"",'算罪台'!$B$4&lt;&gt;"",ISNUMBER(SEARCH($A631,'算罪台'!$B$4))),1,0)</f>
        <v/>
      </c>
      <c r="D632" s="34">
        <f>IF(AND($A631&lt;&gt;"",'算罪台'!$B$5&lt;&gt;"",ISNUMBER(SEARCH($A631,'算罪台'!$B$5))),1,0)</f>
        <v/>
      </c>
      <c r="E632" s="34">
        <f>IF(AND($A631&lt;&gt;"",'算罪台'!$B$6&lt;&gt;"",ISNUMBER(SEARCH($A631,'算罪台'!$B$6))),1,0)</f>
        <v/>
      </c>
    </row>
    <row r="633">
      <c r="A633" s="34" t="inlineStr">
        <is>
          <t>泼脏水</t>
        </is>
      </c>
      <c r="B633" s="34" t="inlineStr">
        <is>
          <t>诽谤罪</t>
        </is>
      </c>
      <c r="C633" s="34">
        <f>IF(AND($A632&lt;&gt;"",'算罪台'!$B$4&lt;&gt;"",ISNUMBER(SEARCH($A632,'算罪台'!$B$4))),1,0)</f>
        <v/>
      </c>
      <c r="D633" s="34">
        <f>IF(AND($A632&lt;&gt;"",'算罪台'!$B$5&lt;&gt;"",ISNUMBER(SEARCH($A632,'算罪台'!$B$5))),1,0)</f>
        <v/>
      </c>
      <c r="E633" s="34">
        <f>IF(AND($A632&lt;&gt;"",'算罪台'!$B$6&lt;&gt;"",ISNUMBER(SEARCH($A632,'算罪台'!$B$6))),1,0)</f>
        <v/>
      </c>
    </row>
    <row r="634">
      <c r="A634" s="34" t="inlineStr">
        <is>
          <t>血口喷人</t>
        </is>
      </c>
      <c r="B634" s="34" t="inlineStr">
        <is>
          <t>诽谤罪</t>
        </is>
      </c>
      <c r="C634" s="34">
        <f>IF(AND($A633&lt;&gt;"",'算罪台'!$B$4&lt;&gt;"",ISNUMBER(SEARCH($A633,'算罪台'!$B$4))),1,0)</f>
        <v/>
      </c>
      <c r="D634" s="34">
        <f>IF(AND($A633&lt;&gt;"",'算罪台'!$B$5&lt;&gt;"",ISNUMBER(SEARCH($A633,'算罪台'!$B$5))),1,0)</f>
        <v/>
      </c>
      <c r="E634" s="34">
        <f>IF(AND($A633&lt;&gt;"",'算罪台'!$B$6&lt;&gt;"",ISNUMBER(SEARCH($A633,'算罪台'!$B$6))),1,0)</f>
        <v/>
      </c>
    </row>
    <row r="635">
      <c r="A635" s="34" t="inlineStr">
        <is>
          <t>造假新闻</t>
        </is>
      </c>
      <c r="B635" s="34" t="inlineStr">
        <is>
          <t>诽谤罪</t>
        </is>
      </c>
      <c r="C635" s="34">
        <f>IF(AND($A634&lt;&gt;"",'算罪台'!$B$4&lt;&gt;"",ISNUMBER(SEARCH($A634,'算罪台'!$B$4))),1,0)</f>
        <v/>
      </c>
      <c r="D635" s="34">
        <f>IF(AND($A634&lt;&gt;"",'算罪台'!$B$5&lt;&gt;"",ISNUMBER(SEARCH($A634,'算罪台'!$B$5))),1,0)</f>
        <v/>
      </c>
      <c r="E635" s="34">
        <f>IF(AND($A634&lt;&gt;"",'算罪台'!$B$6&lt;&gt;"",ISNUMBER(SEARCH($A634,'算罪台'!$B$6))),1,0)</f>
        <v/>
      </c>
    </row>
    <row r="636">
      <c r="A636" s="34" t="inlineStr">
        <is>
          <t>捏造事实</t>
        </is>
      </c>
      <c r="B636" s="34" t="inlineStr">
        <is>
          <t>诽谤罪</t>
        </is>
      </c>
      <c r="C636" s="34">
        <f>IF(AND($A635&lt;&gt;"",'算罪台'!$B$4&lt;&gt;"",ISNUMBER(SEARCH($A635,'算罪台'!$B$4))),1,0)</f>
        <v/>
      </c>
      <c r="D636" s="34">
        <f>IF(AND($A635&lt;&gt;"",'算罪台'!$B$5&lt;&gt;"",ISNUMBER(SEARCH($A635,'算罪台'!$B$5))),1,0)</f>
        <v/>
      </c>
      <c r="E636" s="34">
        <f>IF(AND($A635&lt;&gt;"",'算罪台'!$B$6&lt;&gt;"",ISNUMBER(SEARCH($A635,'算罪台'!$B$6))),1,0)</f>
        <v/>
      </c>
    </row>
    <row r="637">
      <c r="A637" s="34" t="inlineStr">
        <is>
          <t>造谣抹黑</t>
        </is>
      </c>
      <c r="B637" s="34" t="inlineStr">
        <is>
          <t>诽谤罪</t>
        </is>
      </c>
      <c r="C637" s="34">
        <f>IF(AND($A636&lt;&gt;"",'算罪台'!$B$4&lt;&gt;"",ISNUMBER(SEARCH($A636,'算罪台'!$B$4))),1,0)</f>
        <v/>
      </c>
      <c r="D637" s="34">
        <f>IF(AND($A636&lt;&gt;"",'算罪台'!$B$5&lt;&gt;"",ISNUMBER(SEARCH($A636,'算罪台'!$B$5))),1,0)</f>
        <v/>
      </c>
      <c r="E637" s="34">
        <f>IF(AND($A636&lt;&gt;"",'算罪台'!$B$6&lt;&gt;"",ISNUMBER(SEARCH($A636,'算罪台'!$B$6))),1,0)</f>
        <v/>
      </c>
    </row>
    <row r="638">
      <c r="A638" s="34" t="inlineStr">
        <is>
          <t>恶意诽谤</t>
        </is>
      </c>
      <c r="B638" s="34" t="inlineStr">
        <is>
          <t>诽谤罪</t>
        </is>
      </c>
      <c r="C638" s="34">
        <f>IF(AND($A637&lt;&gt;"",'算罪台'!$B$4&lt;&gt;"",ISNUMBER(SEARCH($A637,'算罪台'!$B$4))),1,0)</f>
        <v/>
      </c>
      <c r="D638" s="34">
        <f>IF(AND($A637&lt;&gt;"",'算罪台'!$B$5&lt;&gt;"",ISNUMBER(SEARCH($A637,'算罪台'!$B$5))),1,0)</f>
        <v/>
      </c>
      <c r="E638" s="34">
        <f>IF(AND($A637&lt;&gt;"",'算罪台'!$B$6&lt;&gt;"",ISNUMBER(SEARCH($A637,'算罪台'!$B$6))),1,0)</f>
        <v/>
      </c>
    </row>
    <row r="639">
      <c r="A639" s="34" t="inlineStr">
        <is>
          <t>造谣诽谤</t>
        </is>
      </c>
      <c r="B639" s="34" t="inlineStr">
        <is>
          <t>诽谤罪</t>
        </is>
      </c>
      <c r="C639" s="34">
        <f>IF(AND($A638&lt;&gt;"",'算罪台'!$B$4&lt;&gt;"",ISNUMBER(SEARCH($A638,'算罪台'!$B$4))),1,0)</f>
        <v/>
      </c>
      <c r="D639" s="34">
        <f>IF(AND($A638&lt;&gt;"",'算罪台'!$B$5&lt;&gt;"",ISNUMBER(SEARCH($A638,'算罪台'!$B$5))),1,0)</f>
        <v/>
      </c>
      <c r="E639" s="34">
        <f>IF(AND($A638&lt;&gt;"",'算罪台'!$B$6&lt;&gt;"",ISNUMBER(SEARCH($A638,'算罪台'!$B$6))),1,0)</f>
        <v/>
      </c>
    </row>
    <row r="640">
      <c r="A640" s="34" t="inlineStr">
        <is>
          <t>散布谣言</t>
        </is>
      </c>
      <c r="B640" s="34" t="inlineStr">
        <is>
          <t>诽谤罪</t>
        </is>
      </c>
      <c r="C640" s="34">
        <f>IF(AND($A639&lt;&gt;"",'算罪台'!$B$4&lt;&gt;"",ISNUMBER(SEARCH($A639,'算罪台'!$B$4))),1,0)</f>
        <v/>
      </c>
      <c r="D640" s="34">
        <f>IF(AND($A639&lt;&gt;"",'算罪台'!$B$5&lt;&gt;"",ISNUMBER(SEARCH($A639,'算罪台'!$B$5))),1,0)</f>
        <v/>
      </c>
      <c r="E640" s="34">
        <f>IF(AND($A639&lt;&gt;"",'算罪台'!$B$6&lt;&gt;"",ISNUMBER(SEARCH($A639,'算罪台'!$B$6))),1,0)</f>
        <v/>
      </c>
    </row>
    <row r="641">
      <c r="A641" s="34" t="inlineStr">
        <is>
          <t>污蔑他人</t>
        </is>
      </c>
      <c r="B641" s="34" t="inlineStr">
        <is>
          <t>诽谤罪</t>
        </is>
      </c>
      <c r="C641" s="34">
        <f>IF(AND($A640&lt;&gt;"",'算罪台'!$B$4&lt;&gt;"",ISNUMBER(SEARCH($A640,'算罪台'!$B$4))),1,0)</f>
        <v/>
      </c>
      <c r="D641" s="34">
        <f>IF(AND($A640&lt;&gt;"",'算罪台'!$B$5&lt;&gt;"",ISNUMBER(SEARCH($A640,'算罪台'!$B$5))),1,0)</f>
        <v/>
      </c>
      <c r="E641" s="34">
        <f>IF(AND($A640&lt;&gt;"",'算罪台'!$B$6&lt;&gt;"",ISNUMBER(SEARCH($A640,'算罪台'!$B$6))),1,0)</f>
        <v/>
      </c>
    </row>
    <row r="642">
      <c r="A642" s="34" t="inlineStr">
        <is>
          <t>诋毁他人</t>
        </is>
      </c>
      <c r="B642" s="34" t="inlineStr">
        <is>
          <t>诽谤罪</t>
        </is>
      </c>
      <c r="C642" s="34">
        <f>IF(AND($A641&lt;&gt;"",'算罪台'!$B$4&lt;&gt;"",ISNUMBER(SEARCH($A641,'算罪台'!$B$4))),1,0)</f>
        <v/>
      </c>
      <c r="D642" s="34">
        <f>IF(AND($A641&lt;&gt;"",'算罪台'!$B$5&lt;&gt;"",ISNUMBER(SEARCH($A641,'算罪台'!$B$5))),1,0)</f>
        <v/>
      </c>
      <c r="E642" s="34">
        <f>IF(AND($A641&lt;&gt;"",'算罪台'!$B$6&lt;&gt;"",ISNUMBER(SEARCH($A641,'算罪台'!$B$6))),1,0)</f>
        <v/>
      </c>
    </row>
    <row r="643">
      <c r="A643" s="34" t="inlineStr">
        <is>
          <t>捏造散布</t>
        </is>
      </c>
      <c r="B643" s="34" t="inlineStr">
        <is>
          <t>诽谤罪</t>
        </is>
      </c>
      <c r="C643" s="34">
        <f>IF(AND($A642&lt;&gt;"",'算罪台'!$B$4&lt;&gt;"",ISNUMBER(SEARCH($A642,'算罪台'!$B$4))),1,0)</f>
        <v/>
      </c>
      <c r="D643" s="34">
        <f>IF(AND($A642&lt;&gt;"",'算罪台'!$B$5&lt;&gt;"",ISNUMBER(SEARCH($A642,'算罪台'!$B$5))),1,0)</f>
        <v/>
      </c>
      <c r="E643" s="34">
        <f>IF(AND($A642&lt;&gt;"",'算罪台'!$B$6&lt;&gt;"",ISNUMBER(SEARCH($A642,'算罪台'!$B$6))),1,0)</f>
        <v/>
      </c>
    </row>
    <row r="644">
      <c r="A644" s="34" t="inlineStr">
        <is>
          <t>行贿</t>
        </is>
      </c>
      <c r="B644" s="34" t="inlineStr">
        <is>
          <t>行贿罪</t>
        </is>
      </c>
      <c r="C644" s="34">
        <f>IF(AND($A643&lt;&gt;"",'算罪台'!$B$4&lt;&gt;"",ISNUMBER(SEARCH($A643,'算罪台'!$B$4))),1,0)</f>
        <v/>
      </c>
      <c r="D644" s="34">
        <f>IF(AND($A643&lt;&gt;"",'算罪台'!$B$5&lt;&gt;"",ISNUMBER(SEARCH($A643,'算罪台'!$B$5))),1,0)</f>
        <v/>
      </c>
      <c r="E644" s="34">
        <f>IF(AND($A643&lt;&gt;"",'算罪台'!$B$6&lt;&gt;"",ISNUMBER(SEARCH($A643,'算罪台'!$B$6))),1,0)</f>
        <v/>
      </c>
    </row>
    <row r="645">
      <c r="A645" s="34" t="inlineStr">
        <is>
          <t>贿赂</t>
        </is>
      </c>
      <c r="B645" s="34" t="inlineStr">
        <is>
          <t>行贿罪</t>
        </is>
      </c>
      <c r="C645" s="34">
        <f>IF(AND($A644&lt;&gt;"",'算罪台'!$B$4&lt;&gt;"",ISNUMBER(SEARCH($A644,'算罪台'!$B$4))),1,0)</f>
        <v/>
      </c>
      <c r="D645" s="34">
        <f>IF(AND($A644&lt;&gt;"",'算罪台'!$B$5&lt;&gt;"",ISNUMBER(SEARCH($A644,'算罪台'!$B$5))),1,0)</f>
        <v/>
      </c>
      <c r="E645" s="34">
        <f>IF(AND($A644&lt;&gt;"",'算罪台'!$B$6&lt;&gt;"",ISNUMBER(SEARCH($A644,'算罪台'!$B$6))),1,0)</f>
        <v/>
      </c>
    </row>
    <row r="646">
      <c r="A646" s="34" t="inlineStr">
        <is>
          <t>送钱给</t>
        </is>
      </c>
      <c r="B646" s="34" t="inlineStr">
        <is>
          <t>行贿罪</t>
        </is>
      </c>
      <c r="C646" s="34">
        <f>IF(AND($A645&lt;&gt;"",'算罪台'!$B$4&lt;&gt;"",ISNUMBER(SEARCH($A645,'算罪台'!$B$4))),1,0)</f>
        <v/>
      </c>
      <c r="D646" s="34">
        <f>IF(AND($A645&lt;&gt;"",'算罪台'!$B$5&lt;&gt;"",ISNUMBER(SEARCH($A645,'算罪台'!$B$5))),1,0)</f>
        <v/>
      </c>
      <c r="E646" s="34">
        <f>IF(AND($A645&lt;&gt;"",'算罪台'!$B$6&lt;&gt;"",ISNUMBER(SEARCH($A645,'算罪台'!$B$6))),1,0)</f>
        <v/>
      </c>
    </row>
    <row r="647">
      <c r="A647" s="34" t="inlineStr">
        <is>
          <t>塞钱</t>
        </is>
      </c>
      <c r="B647" s="34" t="inlineStr">
        <is>
          <t>行贿罪</t>
        </is>
      </c>
      <c r="C647" s="34">
        <f>IF(AND($A646&lt;&gt;"",'算罪台'!$B$4&lt;&gt;"",ISNUMBER(SEARCH($A646,'算罪台'!$B$4))),1,0)</f>
        <v/>
      </c>
      <c r="D647" s="34">
        <f>IF(AND($A646&lt;&gt;"",'算罪台'!$B$5&lt;&gt;"",ISNUMBER(SEARCH($A646,'算罪台'!$B$5))),1,0)</f>
        <v/>
      </c>
      <c r="E647" s="34">
        <f>IF(AND($A646&lt;&gt;"",'算罪台'!$B$6&lt;&gt;"",ISNUMBER(SEARCH($A646,'算罪台'!$B$6))),1,0)</f>
        <v/>
      </c>
    </row>
    <row r="648">
      <c r="A648" s="34" t="inlineStr">
        <is>
          <t>贿赂政府</t>
        </is>
      </c>
      <c r="B648" s="34" t="inlineStr">
        <is>
          <t>行贿罪</t>
        </is>
      </c>
      <c r="C648" s="34">
        <f>IF(AND($A647&lt;&gt;"",'算罪台'!$B$4&lt;&gt;"",ISNUMBER(SEARCH($A647,'算罪台'!$B$4))),1,0)</f>
        <v/>
      </c>
      <c r="D648" s="34">
        <f>IF(AND($A647&lt;&gt;"",'算罪台'!$B$5&lt;&gt;"",ISNUMBER(SEARCH($A647,'算罪台'!$B$5))),1,0)</f>
        <v/>
      </c>
      <c r="E648" s="34">
        <f>IF(AND($A647&lt;&gt;"",'算罪台'!$B$6&lt;&gt;"",ISNUMBER(SEARCH($A647,'算罪台'!$B$6))),1,0)</f>
        <v/>
      </c>
    </row>
    <row r="649">
      <c r="A649" s="34" t="inlineStr">
        <is>
          <t>给警察塞钱</t>
        </is>
      </c>
      <c r="B649" s="34" t="inlineStr">
        <is>
          <t>行贿罪</t>
        </is>
      </c>
      <c r="C649" s="34">
        <f>IF(AND($A648&lt;&gt;"",'算罪台'!$B$4&lt;&gt;"",ISNUMBER(SEARCH($A648,'算罪台'!$B$4))),1,0)</f>
        <v/>
      </c>
      <c r="D649" s="34">
        <f>IF(AND($A648&lt;&gt;"",'算罪台'!$B$5&lt;&gt;"",ISNUMBER(SEARCH($A648,'算罪台'!$B$5))),1,0)</f>
        <v/>
      </c>
      <c r="E649" s="34">
        <f>IF(AND($A648&lt;&gt;"",'算罪台'!$B$6&lt;&gt;"",ISNUMBER(SEARCH($A648,'算罪台'!$B$6))),1,0)</f>
        <v/>
      </c>
    </row>
    <row r="650">
      <c r="A650" s="34" t="inlineStr">
        <is>
          <t>买通</t>
        </is>
      </c>
      <c r="B650" s="34" t="inlineStr">
        <is>
          <t>行贿罪</t>
        </is>
      </c>
      <c r="C650" s="34">
        <f>IF(AND($A649&lt;&gt;"",'算罪台'!$B$4&lt;&gt;"",ISNUMBER(SEARCH($A649,'算罪台'!$B$4))),1,0)</f>
        <v/>
      </c>
      <c r="D650" s="34">
        <f>IF(AND($A649&lt;&gt;"",'算罪台'!$B$5&lt;&gt;"",ISNUMBER(SEARCH($A649,'算罪台'!$B$5))),1,0)</f>
        <v/>
      </c>
      <c r="E650" s="34">
        <f>IF(AND($A649&lt;&gt;"",'算罪台'!$B$6&lt;&gt;"",ISNUMBER(SEARCH($A649,'算罪台'!$B$6))),1,0)</f>
        <v/>
      </c>
    </row>
    <row r="651">
      <c r="A651" s="34" t="inlineStr">
        <is>
          <t>塞红包</t>
        </is>
      </c>
      <c r="B651" s="34" t="inlineStr">
        <is>
          <t>行贿罪</t>
        </is>
      </c>
      <c r="C651" s="34">
        <f>IF(AND($A650&lt;&gt;"",'算罪台'!$B$4&lt;&gt;"",ISNUMBER(SEARCH($A650,'算罪台'!$B$4))),1,0)</f>
        <v/>
      </c>
      <c r="D651" s="34">
        <f>IF(AND($A650&lt;&gt;"",'算罪台'!$B$5&lt;&gt;"",ISNUMBER(SEARCH($A650,'算罪台'!$B$5))),1,0)</f>
        <v/>
      </c>
      <c r="E651" s="34">
        <f>IF(AND($A650&lt;&gt;"",'算罪台'!$B$6&lt;&gt;"",ISNUMBER(SEARCH($A650,'算罪台'!$B$6))),1,0)</f>
        <v/>
      </c>
    </row>
    <row r="652">
      <c r="A652" s="34" t="inlineStr">
        <is>
          <t>给好处费</t>
        </is>
      </c>
      <c r="B652" s="34" t="inlineStr">
        <is>
          <t>行贿罪</t>
        </is>
      </c>
      <c r="C652" s="34">
        <f>IF(AND($A651&lt;&gt;"",'算罪台'!$B$4&lt;&gt;"",ISNUMBER(SEARCH($A651,'算罪台'!$B$4))),1,0)</f>
        <v/>
      </c>
      <c r="D652" s="34">
        <f>IF(AND($A651&lt;&gt;"",'算罪台'!$B$5&lt;&gt;"",ISNUMBER(SEARCH($A651,'算罪台'!$B$5))),1,0)</f>
        <v/>
      </c>
      <c r="E652" s="34">
        <f>IF(AND($A651&lt;&gt;"",'算罪台'!$B$6&lt;&gt;"",ISNUMBER(SEARCH($A651,'算罪台'!$B$6))),1,0)</f>
        <v/>
      </c>
    </row>
    <row r="653">
      <c r="A653" s="34" t="inlineStr">
        <is>
          <t>塞钱给官</t>
        </is>
      </c>
      <c r="B653" s="34" t="inlineStr">
        <is>
          <t>行贿罪</t>
        </is>
      </c>
      <c r="C653" s="34">
        <f>IF(AND($A652&lt;&gt;"",'算罪台'!$B$4&lt;&gt;"",ISNUMBER(SEARCH($A652,'算罪台'!$B$4))),1,0)</f>
        <v/>
      </c>
      <c r="D653" s="34">
        <f>IF(AND($A652&lt;&gt;"",'算罪台'!$B$5&lt;&gt;"",ISNUMBER(SEARCH($A652,'算罪台'!$B$5))),1,0)</f>
        <v/>
      </c>
      <c r="E653" s="34">
        <f>IF(AND($A652&lt;&gt;"",'算罪台'!$B$6&lt;&gt;"",ISNUMBER(SEARCH($A652,'算罪台'!$B$6))),1,0)</f>
        <v/>
      </c>
    </row>
    <row r="654">
      <c r="A654" s="34" t="inlineStr">
        <is>
          <t>买通官员</t>
        </is>
      </c>
      <c r="B654" s="34" t="inlineStr">
        <is>
          <t>行贿罪</t>
        </is>
      </c>
      <c r="C654" s="34">
        <f>IF(AND($A653&lt;&gt;"",'算罪台'!$B$4&lt;&gt;"",ISNUMBER(SEARCH($A653,'算罪台'!$B$4))),1,0)</f>
        <v/>
      </c>
      <c r="D654" s="34">
        <f>IF(AND($A653&lt;&gt;"",'算罪台'!$B$5&lt;&gt;"",ISNUMBER(SEARCH($A653,'算罪台'!$B$5))),1,0)</f>
        <v/>
      </c>
      <c r="E654" s="34">
        <f>IF(AND($A653&lt;&gt;"",'算罪台'!$B$6&lt;&gt;"",ISNUMBER(SEARCH($A653,'算罪台'!$B$6))),1,0)</f>
        <v/>
      </c>
    </row>
    <row r="655">
      <c r="A655" s="34" t="inlineStr">
        <is>
          <t>送礼贿赂</t>
        </is>
      </c>
      <c r="B655" s="34" t="inlineStr">
        <is>
          <t>行贿罪</t>
        </is>
      </c>
      <c r="C655" s="34">
        <f>IF(AND($A654&lt;&gt;"",'算罪台'!$B$4&lt;&gt;"",ISNUMBER(SEARCH($A654,'算罪台'!$B$4))),1,0)</f>
        <v/>
      </c>
      <c r="D655" s="34">
        <f>IF(AND($A654&lt;&gt;"",'算罪台'!$B$5&lt;&gt;"",ISNUMBER(SEARCH($A654,'算罪台'!$B$5))),1,0)</f>
        <v/>
      </c>
      <c r="E655" s="34">
        <f>IF(AND($A654&lt;&gt;"",'算罪台'!$B$6&lt;&gt;"",ISNUMBER(SEARCH($A654,'算罪台'!$B$6))),1,0)</f>
        <v/>
      </c>
    </row>
    <row r="656">
      <c r="A656" s="34" t="inlineStr">
        <is>
          <t>递红包</t>
        </is>
      </c>
      <c r="B656" s="34" t="inlineStr">
        <is>
          <t>行贿罪</t>
        </is>
      </c>
      <c r="C656" s="34">
        <f>IF(AND($A655&lt;&gt;"",'算罪台'!$B$4&lt;&gt;"",ISNUMBER(SEARCH($A655,'算罪台'!$B$4))),1,0)</f>
        <v/>
      </c>
      <c r="D656" s="34">
        <f>IF(AND($A655&lt;&gt;"",'算罪台'!$B$5&lt;&gt;"",ISNUMBER(SEARCH($A655,'算罪台'!$B$5))),1,0)</f>
        <v/>
      </c>
      <c r="E656" s="34">
        <f>IF(AND($A655&lt;&gt;"",'算罪台'!$B$6&lt;&gt;"",ISNUMBER(SEARCH($A655,'算罪台'!$B$6))),1,0)</f>
        <v/>
      </c>
    </row>
    <row r="657">
      <c r="A657" s="34" t="inlineStr">
        <is>
          <t>给警察好处</t>
        </is>
      </c>
      <c r="B657" s="34" t="inlineStr">
        <is>
          <t>行贿罪</t>
        </is>
      </c>
      <c r="C657" s="34">
        <f>IF(AND($A656&lt;&gt;"",'算罪台'!$B$4&lt;&gt;"",ISNUMBER(SEARCH($A656,'算罪台'!$B$4))),1,0)</f>
        <v/>
      </c>
      <c r="D657" s="34">
        <f>IF(AND($A656&lt;&gt;"",'算罪台'!$B$5&lt;&gt;"",ISNUMBER(SEARCH($A656,'算罪台'!$B$5))),1,0)</f>
        <v/>
      </c>
      <c r="E657" s="34">
        <f>IF(AND($A656&lt;&gt;"",'算罪台'!$B$6&lt;&gt;"",ISNUMBER(SEARCH($A656,'算罪台'!$B$6))),1,0)</f>
        <v/>
      </c>
    </row>
    <row r="658">
      <c r="A658" s="34" t="inlineStr">
        <is>
          <t>贿赂官员</t>
        </is>
      </c>
      <c r="B658" s="34" t="inlineStr">
        <is>
          <t>行贿罪</t>
        </is>
      </c>
      <c r="C658" s="34">
        <f>IF(AND($A657&lt;&gt;"",'算罪台'!$B$4&lt;&gt;"",ISNUMBER(SEARCH($A657,'算罪台'!$B$4))),1,0)</f>
        <v/>
      </c>
      <c r="D658" s="34">
        <f>IF(AND($A657&lt;&gt;"",'算罪台'!$B$5&lt;&gt;"",ISNUMBER(SEARCH($A657,'算罪台'!$B$5))),1,0)</f>
        <v/>
      </c>
      <c r="E658" s="34">
        <f>IF(AND($A657&lt;&gt;"",'算罪台'!$B$6&lt;&gt;"",ISNUMBER(SEARCH($A657,'算罪台'!$B$6))),1,0)</f>
        <v/>
      </c>
    </row>
    <row r="659">
      <c r="A659" s="34" t="inlineStr">
        <is>
          <t>送钱贿赂</t>
        </is>
      </c>
      <c r="B659" s="34" t="inlineStr">
        <is>
          <t>行贿罪</t>
        </is>
      </c>
      <c r="C659" s="34">
        <f>IF(AND($A658&lt;&gt;"",'算罪台'!$B$4&lt;&gt;"",ISNUMBER(SEARCH($A658,'算罪台'!$B$4))),1,0)</f>
        <v/>
      </c>
      <c r="D659" s="34">
        <f>IF(AND($A658&lt;&gt;"",'算罪台'!$B$5&lt;&gt;"",ISNUMBER(SEARCH($A658,'算罪台'!$B$5))),1,0)</f>
        <v/>
      </c>
      <c r="E659" s="34">
        <f>IF(AND($A658&lt;&gt;"",'算罪台'!$B$6&lt;&gt;"",ISNUMBER(SEARCH($A658,'算罪台'!$B$6))),1,0)</f>
        <v/>
      </c>
    </row>
    <row r="660">
      <c r="A660" s="34" t="inlineStr">
        <is>
          <t>给钱买通</t>
        </is>
      </c>
      <c r="B660" s="34" t="inlineStr">
        <is>
          <t>行贿罪</t>
        </is>
      </c>
      <c r="C660" s="34">
        <f>IF(AND($A659&lt;&gt;"",'算罪台'!$B$4&lt;&gt;"",ISNUMBER(SEARCH($A659,'算罪台'!$B$4))),1,0)</f>
        <v/>
      </c>
      <c r="D660" s="34">
        <f>IF(AND($A659&lt;&gt;"",'算罪台'!$B$5&lt;&gt;"",ISNUMBER(SEARCH($A659,'算罪台'!$B$5))),1,0)</f>
        <v/>
      </c>
      <c r="E660" s="34">
        <f>IF(AND($A659&lt;&gt;"",'算罪台'!$B$6&lt;&gt;"",ISNUMBER(SEARCH($A659,'算罪台'!$B$6))),1,0)</f>
        <v/>
      </c>
    </row>
    <row r="661">
      <c r="A661" s="34" t="inlineStr">
        <is>
          <t>行贿官员</t>
        </is>
      </c>
      <c r="B661" s="34" t="inlineStr">
        <is>
          <t>行贿罪</t>
        </is>
      </c>
      <c r="C661" s="34">
        <f>IF(AND($A660&lt;&gt;"",'算罪台'!$B$4&lt;&gt;"",ISNUMBER(SEARCH($A660,'算罪台'!$B$4))),1,0)</f>
        <v/>
      </c>
      <c r="D661" s="34">
        <f>IF(AND($A660&lt;&gt;"",'算罪台'!$B$5&lt;&gt;"",ISNUMBER(SEARCH($A660,'算罪台'!$B$5))),1,0)</f>
        <v/>
      </c>
      <c r="E661" s="34">
        <f>IF(AND($A660&lt;&gt;"",'算罪台'!$B$6&lt;&gt;"",ISNUMBER(SEARCH($A660,'算罪台'!$B$6))),1,0)</f>
        <v/>
      </c>
    </row>
    <row r="662">
      <c r="A662" s="34" t="inlineStr">
        <is>
          <t>向官员行贿</t>
        </is>
      </c>
      <c r="B662" s="34" t="inlineStr">
        <is>
          <t>行贿罪</t>
        </is>
      </c>
      <c r="C662" s="34">
        <f>IF(AND($A661&lt;&gt;"",'算罪台'!$B$4&lt;&gt;"",ISNUMBER(SEARCH($A661,'算罪台'!$B$4))),1,0)</f>
        <v/>
      </c>
      <c r="D662" s="34">
        <f>IF(AND($A661&lt;&gt;"",'算罪台'!$B$5&lt;&gt;"",ISNUMBER(SEARCH($A661,'算罪台'!$B$5))),1,0)</f>
        <v/>
      </c>
      <c r="E662" s="34">
        <f>IF(AND($A661&lt;&gt;"",'算罪台'!$B$6&lt;&gt;"",ISNUMBER(SEARCH($A661,'算罪台'!$B$6))),1,0)</f>
        <v/>
      </c>
    </row>
    <row r="663">
      <c r="A663" s="34" t="inlineStr">
        <is>
          <t>妨碍司法</t>
        </is>
      </c>
      <c r="B663" s="34" t="inlineStr">
        <is>
          <t>妨碍司法罪</t>
        </is>
      </c>
      <c r="C663" s="34">
        <f>IF(AND($A662&lt;&gt;"",'算罪台'!$B$4&lt;&gt;"",ISNUMBER(SEARCH($A662,'算罪台'!$B$4))),1,0)</f>
        <v/>
      </c>
      <c r="D663" s="34">
        <f>IF(AND($A662&lt;&gt;"",'算罪台'!$B$5&lt;&gt;"",ISNUMBER(SEARCH($A662,'算罪台'!$B$5))),1,0)</f>
        <v/>
      </c>
      <c r="E663" s="34">
        <f>IF(AND($A662&lt;&gt;"",'算罪台'!$B$6&lt;&gt;"",ISNUMBER(SEARCH($A662,'算罪台'!$B$6))),1,0)</f>
        <v/>
      </c>
    </row>
    <row r="664">
      <c r="A664" s="34" t="inlineStr">
        <is>
          <t>阻碍司法</t>
        </is>
      </c>
      <c r="B664" s="34" t="inlineStr">
        <is>
          <t>妨碍司法罪</t>
        </is>
      </c>
      <c r="C664" s="34">
        <f>IF(AND($A663&lt;&gt;"",'算罪台'!$B$4&lt;&gt;"",ISNUMBER(SEARCH($A663,'算罪台'!$B$4))),1,0)</f>
        <v/>
      </c>
      <c r="D664" s="34">
        <f>IF(AND($A663&lt;&gt;"",'算罪台'!$B$5&lt;&gt;"",ISNUMBER(SEARCH($A663,'算罪台'!$B$5))),1,0)</f>
        <v/>
      </c>
      <c r="E664" s="34">
        <f>IF(AND($A663&lt;&gt;"",'算罪台'!$B$6&lt;&gt;"",ISNUMBER(SEARCH($A663,'算罪台'!$B$6))),1,0)</f>
        <v/>
      </c>
    </row>
    <row r="665">
      <c r="A665" s="34" t="inlineStr">
        <is>
          <t>阻碍法律文书</t>
        </is>
      </c>
      <c r="B665" s="34" t="inlineStr">
        <is>
          <t>妨碍司法罪</t>
        </is>
      </c>
      <c r="C665" s="34">
        <f>IF(AND($A664&lt;&gt;"",'算罪台'!$B$4&lt;&gt;"",ISNUMBER(SEARCH($A664,'算罪台'!$B$4))),1,0)</f>
        <v/>
      </c>
      <c r="D665" s="34">
        <f>IF(AND($A664&lt;&gt;"",'算罪台'!$B$5&lt;&gt;"",ISNUMBER(SEARCH($A664,'算罪台'!$B$5))),1,0)</f>
        <v/>
      </c>
      <c r="E665" s="34">
        <f>IF(AND($A664&lt;&gt;"",'算罪台'!$B$6&lt;&gt;"",ISNUMBER(SEARCH($A664,'算罪台'!$B$6))),1,0)</f>
        <v/>
      </c>
    </row>
    <row r="666">
      <c r="A666" s="34" t="inlineStr">
        <is>
          <t>阻挠办案</t>
        </is>
      </c>
      <c r="B666" s="34" t="inlineStr">
        <is>
          <t>妨碍司法罪</t>
        </is>
      </c>
      <c r="C666" s="34">
        <f>IF(AND($A665&lt;&gt;"",'算罪台'!$B$4&lt;&gt;"",ISNUMBER(SEARCH($A665,'算罪台'!$B$4))),1,0)</f>
        <v/>
      </c>
      <c r="D666" s="34">
        <f>IF(AND($A665&lt;&gt;"",'算罪台'!$B$5&lt;&gt;"",ISNUMBER(SEARCH($A665,'算罪台'!$B$5))),1,0)</f>
        <v/>
      </c>
      <c r="E666" s="34">
        <f>IF(AND($A665&lt;&gt;"",'算罪台'!$B$6&lt;&gt;"",ISNUMBER(SEARCH($A665,'算罪台'!$B$6))),1,0)</f>
        <v/>
      </c>
    </row>
    <row r="667">
      <c r="A667" s="34" t="inlineStr">
        <is>
          <t>妨碍办案</t>
        </is>
      </c>
      <c r="B667" s="34" t="inlineStr">
        <is>
          <t>妨碍司法罪</t>
        </is>
      </c>
      <c r="C667" s="34">
        <f>IF(AND($A666&lt;&gt;"",'算罪台'!$B$4&lt;&gt;"",ISNUMBER(SEARCH($A666,'算罪台'!$B$4))),1,0)</f>
        <v/>
      </c>
      <c r="D667" s="34">
        <f>IF(AND($A666&lt;&gt;"",'算罪台'!$B$5&lt;&gt;"",ISNUMBER(SEARCH($A666,'算罪台'!$B$5))),1,0)</f>
        <v/>
      </c>
      <c r="E667" s="34">
        <f>IF(AND($A666&lt;&gt;"",'算罪台'!$B$6&lt;&gt;"",ISNUMBER(SEARCH($A666,'算罪台'!$B$6))),1,0)</f>
        <v/>
      </c>
    </row>
    <row r="668">
      <c r="A668" s="34" t="inlineStr">
        <is>
          <t>撕毁文书</t>
        </is>
      </c>
      <c r="B668" s="34" t="inlineStr">
        <is>
          <t>妨碍司法罪</t>
        </is>
      </c>
      <c r="C668" s="34">
        <f>IF(AND($A667&lt;&gt;"",'算罪台'!$B$4&lt;&gt;"",ISNUMBER(SEARCH($A667,'算罪台'!$B$4))),1,0)</f>
        <v/>
      </c>
      <c r="D668" s="34">
        <f>IF(AND($A667&lt;&gt;"",'算罪台'!$B$5&lt;&gt;"",ISNUMBER(SEARCH($A667,'算罪台'!$B$5))),1,0)</f>
        <v/>
      </c>
      <c r="E668" s="34">
        <f>IF(AND($A667&lt;&gt;"",'算罪台'!$B$6&lt;&gt;"",ISNUMBER(SEARCH($A667,'算罪台'!$B$6))),1,0)</f>
        <v/>
      </c>
    </row>
    <row r="669">
      <c r="A669" s="34" t="inlineStr">
        <is>
          <t>干扰司法</t>
        </is>
      </c>
      <c r="B669" s="34" t="inlineStr">
        <is>
          <t>妨碍司法罪</t>
        </is>
      </c>
      <c r="C669" s="34">
        <f>IF(AND($A668&lt;&gt;"",'算罪台'!$B$4&lt;&gt;"",ISNUMBER(SEARCH($A668,'算罪台'!$B$4))),1,0)</f>
        <v/>
      </c>
      <c r="D669" s="34">
        <f>IF(AND($A668&lt;&gt;"",'算罪台'!$B$5&lt;&gt;"",ISNUMBER(SEARCH($A668,'算罪台'!$B$5))),1,0)</f>
        <v/>
      </c>
      <c r="E669" s="34">
        <f>IF(AND($A668&lt;&gt;"",'算罪台'!$B$6&lt;&gt;"",ISNUMBER(SEARCH($A668,'算罪台'!$B$6))),1,0)</f>
        <v/>
      </c>
    </row>
    <row r="670">
      <c r="A670" s="34" t="inlineStr">
        <is>
          <t>阻碍法律执行</t>
        </is>
      </c>
      <c r="B670" s="34" t="inlineStr">
        <is>
          <t>妨碍司法罪</t>
        </is>
      </c>
      <c r="C670" s="34">
        <f>IF(AND($A669&lt;&gt;"",'算罪台'!$B$4&lt;&gt;"",ISNUMBER(SEARCH($A669,'算罪台'!$B$4))),1,0)</f>
        <v/>
      </c>
      <c r="D670" s="34">
        <f>IF(AND($A669&lt;&gt;"",'算罪台'!$B$5&lt;&gt;"",ISNUMBER(SEARCH($A669,'算罪台'!$B$5))),1,0)</f>
        <v/>
      </c>
      <c r="E670" s="34">
        <f>IF(AND($A669&lt;&gt;"",'算罪台'!$B$6&lt;&gt;"",ISNUMBER(SEARCH($A669,'算罪台'!$B$6))),1,0)</f>
        <v/>
      </c>
    </row>
    <row r="671">
      <c r="A671" s="34" t="inlineStr">
        <is>
          <t>妨碍司法公正</t>
        </is>
      </c>
      <c r="B671" s="34" t="inlineStr">
        <is>
          <t>妨碍司法罪</t>
        </is>
      </c>
      <c r="C671" s="34">
        <f>IF(AND($A670&lt;&gt;"",'算罪台'!$B$4&lt;&gt;"",ISNUMBER(SEARCH($A670,'算罪台'!$B$4))),1,0)</f>
        <v/>
      </c>
      <c r="D671" s="34">
        <f>IF(AND($A670&lt;&gt;"",'算罪台'!$B$5&lt;&gt;"",ISNUMBER(SEARCH($A670,'算罪台'!$B$5))),1,0)</f>
        <v/>
      </c>
      <c r="E671" s="34">
        <f>IF(AND($A670&lt;&gt;"",'算罪台'!$B$6&lt;&gt;"",ISNUMBER(SEARCH($A670,'算罪台'!$B$6))),1,0)</f>
        <v/>
      </c>
    </row>
    <row r="672">
      <c r="A672" s="34" t="inlineStr">
        <is>
          <t>干扰办案</t>
        </is>
      </c>
      <c r="B672" s="34" t="inlineStr">
        <is>
          <t>妨碍司法罪</t>
        </is>
      </c>
      <c r="C672" s="34">
        <f>IF(AND($A671&lt;&gt;"",'算罪台'!$B$4&lt;&gt;"",ISNUMBER(SEARCH($A671,'算罪台'!$B$4))),1,0)</f>
        <v/>
      </c>
      <c r="D672" s="34">
        <f>IF(AND($A671&lt;&gt;"",'算罪台'!$B$5&lt;&gt;"",ISNUMBER(SEARCH($A671,'算罪台'!$B$5))),1,0)</f>
        <v/>
      </c>
      <c r="E672" s="34">
        <f>IF(AND($A671&lt;&gt;"",'算罪台'!$B$6&lt;&gt;"",ISNUMBER(SEARCH($A671,'算罪台'!$B$6))),1,0)</f>
        <v/>
      </c>
    </row>
    <row r="673">
      <c r="A673" s="34" t="inlineStr">
        <is>
          <t>阻挠司法</t>
        </is>
      </c>
      <c r="B673" s="34" t="inlineStr">
        <is>
          <t>妨碍司法罪</t>
        </is>
      </c>
      <c r="C673" s="34">
        <f>IF(AND($A672&lt;&gt;"",'算罪台'!$B$4&lt;&gt;"",ISNUMBER(SEARCH($A672,'算罪台'!$B$4))),1,0)</f>
        <v/>
      </c>
      <c r="D673" s="34">
        <f>IF(AND($A672&lt;&gt;"",'算罪台'!$B$5&lt;&gt;"",ISNUMBER(SEARCH($A672,'算罪台'!$B$5))),1,0)</f>
        <v/>
      </c>
      <c r="E673" s="34">
        <f>IF(AND($A672&lt;&gt;"",'算罪台'!$B$6&lt;&gt;"",ISNUMBER(SEARCH($A672,'算罪台'!$B$6))),1,0)</f>
        <v/>
      </c>
    </row>
    <row r="674">
      <c r="A674" s="34" t="inlineStr">
        <is>
          <t>妨害司法</t>
        </is>
      </c>
      <c r="B674" s="34" t="inlineStr">
        <is>
          <t>妨碍司法罪</t>
        </is>
      </c>
      <c r="C674" s="34">
        <f>IF(AND($A673&lt;&gt;"",'算罪台'!$B$4&lt;&gt;"",ISNUMBER(SEARCH($A673,'算罪台'!$B$4))),1,0)</f>
        <v/>
      </c>
      <c r="D674" s="34">
        <f>IF(AND($A673&lt;&gt;"",'算罪台'!$B$5&lt;&gt;"",ISNUMBER(SEARCH($A673,'算罪台'!$B$5))),1,0)</f>
        <v/>
      </c>
      <c r="E674" s="34">
        <f>IF(AND($A673&lt;&gt;"",'算罪台'!$B$6&lt;&gt;"",ISNUMBER(SEARCH($A673,'算罪台'!$B$6))),1,0)</f>
        <v/>
      </c>
    </row>
    <row r="675">
      <c r="A675" s="34" t="inlineStr">
        <is>
          <t>拒绝命令</t>
        </is>
      </c>
      <c r="B675" s="34" t="inlineStr">
        <is>
          <t>拒绝听从执法人员命令与检查罪</t>
        </is>
      </c>
      <c r="C675" s="34">
        <f>IF(AND($A674&lt;&gt;"",'算罪台'!$B$4&lt;&gt;"",ISNUMBER(SEARCH($A674,'算罪台'!$B$4))),1,0)</f>
        <v/>
      </c>
      <c r="D675" s="34">
        <f>IF(AND($A674&lt;&gt;"",'算罪台'!$B$5&lt;&gt;"",ISNUMBER(SEARCH($A674,'算罪台'!$B$5))),1,0)</f>
        <v/>
      </c>
      <c r="E675" s="34">
        <f>IF(AND($A674&lt;&gt;"",'算罪台'!$B$6&lt;&gt;"",ISNUMBER(SEARCH($A674,'算罪台'!$B$6))),1,0)</f>
        <v/>
      </c>
    </row>
    <row r="676">
      <c r="A676" s="34" t="inlineStr">
        <is>
          <t>不服从命令</t>
        </is>
      </c>
      <c r="B676" s="34" t="inlineStr">
        <is>
          <t>拒绝听从执法人员命令与检查罪</t>
        </is>
      </c>
      <c r="C676" s="34">
        <f>IF(AND($A675&lt;&gt;"",'算罪台'!$B$4&lt;&gt;"",ISNUMBER(SEARCH($A675,'算罪台'!$B$4))),1,0)</f>
        <v/>
      </c>
      <c r="D676" s="34">
        <f>IF(AND($A675&lt;&gt;"",'算罪台'!$B$5&lt;&gt;"",ISNUMBER(SEARCH($A675,'算罪台'!$B$5))),1,0)</f>
        <v/>
      </c>
      <c r="E676" s="34">
        <f>IF(AND($A675&lt;&gt;"",'算罪台'!$B$6&lt;&gt;"",ISNUMBER(SEARCH($A675,'算罪台'!$B$6))),1,0)</f>
        <v/>
      </c>
    </row>
    <row r="677">
      <c r="A677" s="34" t="inlineStr">
        <is>
          <t>拒绝检查</t>
        </is>
      </c>
      <c r="B677" s="34" t="inlineStr">
        <is>
          <t>拒绝听从执法人员命令与检查罪</t>
        </is>
      </c>
      <c r="C677" s="34">
        <f>IF(AND($A676&lt;&gt;"",'算罪台'!$B$4&lt;&gt;"",ISNUMBER(SEARCH($A676,'算罪台'!$B$4))),1,0)</f>
        <v/>
      </c>
      <c r="D677" s="34">
        <f>IF(AND($A676&lt;&gt;"",'算罪台'!$B$5&lt;&gt;"",ISNUMBER(SEARCH($A676,'算罪台'!$B$5))),1,0)</f>
        <v/>
      </c>
      <c r="E677" s="34">
        <f>IF(AND($A676&lt;&gt;"",'算罪台'!$B$6&lt;&gt;"",ISNUMBER(SEARCH($A676,'算罪台'!$B$6))),1,0)</f>
        <v/>
      </c>
    </row>
    <row r="678">
      <c r="A678" s="34" t="inlineStr">
        <is>
          <t>不配合检查</t>
        </is>
      </c>
      <c r="B678" s="34" t="inlineStr">
        <is>
          <t>拒绝听从执法人员命令与检查罪</t>
        </is>
      </c>
      <c r="C678" s="34">
        <f>IF(AND($A677&lt;&gt;"",'算罪台'!$B$4&lt;&gt;"",ISNUMBER(SEARCH($A677,'算罪台'!$B$4))),1,0)</f>
        <v/>
      </c>
      <c r="D678" s="34">
        <f>IF(AND($A677&lt;&gt;"",'算罪台'!$B$5&lt;&gt;"",ISNUMBER(SEARCH($A677,'算罪台'!$B$5))),1,0)</f>
        <v/>
      </c>
      <c r="E678" s="34">
        <f>IF(AND($A677&lt;&gt;"",'算罪台'!$B$6&lt;&gt;"",ISNUMBER(SEARCH($A677,'算罪台'!$B$6))),1,0)</f>
        <v/>
      </c>
    </row>
    <row r="679">
      <c r="A679" s="34" t="inlineStr">
        <is>
          <t>拒绝指示</t>
        </is>
      </c>
      <c r="B679" s="34" t="inlineStr">
        <is>
          <t>拒绝听从执法人员命令与检查罪</t>
        </is>
      </c>
      <c r="C679" s="34">
        <f>IF(AND($A678&lt;&gt;"",'算罪台'!$B$4&lt;&gt;"",ISNUMBER(SEARCH($A678,'算罪台'!$B$4))),1,0)</f>
        <v/>
      </c>
      <c r="D679" s="34">
        <f>IF(AND($A678&lt;&gt;"",'算罪台'!$B$5&lt;&gt;"",ISNUMBER(SEARCH($A678,'算罪台'!$B$5))),1,0)</f>
        <v/>
      </c>
      <c r="E679" s="34">
        <f>IF(AND($A678&lt;&gt;"",'算罪台'!$B$6&lt;&gt;"",ISNUMBER(SEARCH($A678,'算罪台'!$B$6))),1,0)</f>
        <v/>
      </c>
    </row>
    <row r="680">
      <c r="A680" s="34" t="inlineStr">
        <is>
          <t>不听指挥</t>
        </is>
      </c>
      <c r="B680" s="34" t="inlineStr">
        <is>
          <t>拒绝听从执法人员命令与检查罪</t>
        </is>
      </c>
      <c r="C680" s="34">
        <f>IF(AND($A679&lt;&gt;"",'算罪台'!$B$4&lt;&gt;"",ISNUMBER(SEARCH($A679,'算罪台'!$B$4))),1,0)</f>
        <v/>
      </c>
      <c r="D680" s="34">
        <f>IF(AND($A679&lt;&gt;"",'算罪台'!$B$5&lt;&gt;"",ISNUMBER(SEARCH($A679,'算罪台'!$B$5))),1,0)</f>
        <v/>
      </c>
      <c r="E680" s="34">
        <f>IF(AND($A679&lt;&gt;"",'算罪台'!$B$6&lt;&gt;"",ISNUMBER(SEARCH($A679,'算罪台'!$B$6))),1,0)</f>
        <v/>
      </c>
    </row>
    <row r="681">
      <c r="A681" s="34" t="inlineStr">
        <is>
          <t>不配合</t>
        </is>
      </c>
      <c r="B681" s="34" t="inlineStr">
        <is>
          <t>拒绝听从执法人员命令与检查罪</t>
        </is>
      </c>
      <c r="C681" s="34">
        <f>IF(AND($A680&lt;&gt;"",'算罪台'!$B$4&lt;&gt;"",ISNUMBER(SEARCH($A680,'算罪台'!$B$4))),1,0)</f>
        <v/>
      </c>
      <c r="D681" s="34">
        <f>IF(AND($A680&lt;&gt;"",'算罪台'!$B$5&lt;&gt;"",ISNUMBER(SEARCH($A680,'算罪台'!$B$5))),1,0)</f>
        <v/>
      </c>
      <c r="E681" s="34">
        <f>IF(AND($A680&lt;&gt;"",'算罪台'!$B$6&lt;&gt;"",ISNUMBER(SEARCH($A680,'算罪台'!$B$6))),1,0)</f>
        <v/>
      </c>
    </row>
    <row r="682">
      <c r="A682" s="34" t="inlineStr">
        <is>
          <t>无视警察命令</t>
        </is>
      </c>
      <c r="B682" s="34" t="inlineStr">
        <is>
          <t>拒绝听从执法人员命令与检查罪</t>
        </is>
      </c>
      <c r="C682" s="34">
        <f>IF(AND($A681&lt;&gt;"",'算罪台'!$B$4&lt;&gt;"",ISNUMBER(SEARCH($A681,'算罪台'!$B$4))),1,0)</f>
        <v/>
      </c>
      <c r="D682" s="34">
        <f>IF(AND($A681&lt;&gt;"",'算罪台'!$B$5&lt;&gt;"",ISNUMBER(SEARCH($A681,'算罪台'!$B$5))),1,0)</f>
        <v/>
      </c>
      <c r="E682" s="34">
        <f>IF(AND($A681&lt;&gt;"",'算罪台'!$B$6&lt;&gt;"",ISNUMBER(SEARCH($A681,'算罪台'!$B$6))),1,0)</f>
        <v/>
      </c>
    </row>
    <row r="683">
      <c r="A683" s="34" t="inlineStr">
        <is>
          <t>不靠边</t>
        </is>
      </c>
      <c r="B683" s="34" t="inlineStr">
        <is>
          <t>拒绝听从执法人员命令与检查罪</t>
        </is>
      </c>
      <c r="C683" s="34">
        <f>IF(AND($A682&lt;&gt;"",'算罪台'!$B$4&lt;&gt;"",ISNUMBER(SEARCH($A682,'算罪台'!$B$4))),1,0)</f>
        <v/>
      </c>
      <c r="D683" s="34">
        <f>IF(AND($A682&lt;&gt;"",'算罪台'!$B$5&lt;&gt;"",ISNUMBER(SEARCH($A682,'算罪台'!$B$5))),1,0)</f>
        <v/>
      </c>
      <c r="E683" s="34">
        <f>IF(AND($A682&lt;&gt;"",'算罪台'!$B$6&lt;&gt;"",ISNUMBER(SEARCH($A682,'算罪台'!$B$6))),1,0)</f>
        <v/>
      </c>
    </row>
    <row r="684">
      <c r="A684" s="34" t="inlineStr">
        <is>
          <t>不靠边停</t>
        </is>
      </c>
      <c r="B684" s="34" t="inlineStr">
        <is>
          <t>拒绝听从执法人员命令与检查罪</t>
        </is>
      </c>
      <c r="C684" s="34">
        <f>IF(AND($A683&lt;&gt;"",'算罪台'!$B$4&lt;&gt;"",ISNUMBER(SEARCH($A683,'算罪台'!$B$4))),1,0)</f>
        <v/>
      </c>
      <c r="D684" s="34">
        <f>IF(AND($A683&lt;&gt;"",'算罪台'!$B$5&lt;&gt;"",ISNUMBER(SEARCH($A683,'算罪台'!$B$5))),1,0)</f>
        <v/>
      </c>
      <c r="E684" s="34">
        <f>IF(AND($A683&lt;&gt;"",'算罪台'!$B$6&lt;&gt;"",ISNUMBER(SEARCH($A683,'算罪台'!$B$6))),1,0)</f>
        <v/>
      </c>
    </row>
    <row r="685">
      <c r="A685" s="34" t="inlineStr">
        <is>
          <t>不下车</t>
        </is>
      </c>
      <c r="B685" s="34" t="inlineStr">
        <is>
          <t>拒绝听从执法人员命令与检查罪</t>
        </is>
      </c>
      <c r="C685" s="34">
        <f>IF(AND($A684&lt;&gt;"",'算罪台'!$B$4&lt;&gt;"",ISNUMBER(SEARCH($A684,'算罪台'!$B$4))),1,0)</f>
        <v/>
      </c>
      <c r="D685" s="34">
        <f>IF(AND($A684&lt;&gt;"",'算罪台'!$B$5&lt;&gt;"",ISNUMBER(SEARCH($A684,'算罪台'!$B$5))),1,0)</f>
        <v/>
      </c>
      <c r="E685" s="34">
        <f>IF(AND($A684&lt;&gt;"",'算罪台'!$B$6&lt;&gt;"",ISNUMBER(SEARCH($A684,'算罪台'!$B$6))),1,0)</f>
        <v/>
      </c>
    </row>
    <row r="686">
      <c r="A686" s="34" t="inlineStr">
        <is>
          <t>不配合警察</t>
        </is>
      </c>
      <c r="B686" s="34" t="inlineStr">
        <is>
          <t>拒绝听从执法人员命令与检查罪</t>
        </is>
      </c>
      <c r="C686" s="34">
        <f>IF(AND($A685&lt;&gt;"",'算罪台'!$B$4&lt;&gt;"",ISNUMBER(SEARCH($A685,'算罪台'!$B$4))),1,0)</f>
        <v/>
      </c>
      <c r="D686" s="34">
        <f>IF(AND($A685&lt;&gt;"",'算罪台'!$B$5&lt;&gt;"",ISNUMBER(SEARCH($A685,'算罪台'!$B$5))),1,0)</f>
        <v/>
      </c>
      <c r="E686" s="34">
        <f>IF(AND($A685&lt;&gt;"",'算罪台'!$B$6&lt;&gt;"",ISNUMBER(SEARCH($A685,'算罪台'!$B$6))),1,0)</f>
        <v/>
      </c>
    </row>
    <row r="687">
      <c r="A687" s="34" t="inlineStr">
        <is>
          <t>不听警察的</t>
        </is>
      </c>
      <c r="B687" s="34" t="inlineStr">
        <is>
          <t>拒绝听从执法人员命令与检查罪</t>
        </is>
      </c>
      <c r="C687" s="34">
        <f>IF(AND($A686&lt;&gt;"",'算罪台'!$B$4&lt;&gt;"",ISNUMBER(SEARCH($A686,'算罪台'!$B$4))),1,0)</f>
        <v/>
      </c>
      <c r="D687" s="34">
        <f>IF(AND($A686&lt;&gt;"",'算罪台'!$B$5&lt;&gt;"",ISNUMBER(SEARCH($A686,'算罪台'!$B$5))),1,0)</f>
        <v/>
      </c>
      <c r="E687" s="34">
        <f>IF(AND($A686&lt;&gt;"",'算罪台'!$B$6&lt;&gt;"",ISNUMBER(SEARCH($A686,'算罪台'!$B$6))),1,0)</f>
        <v/>
      </c>
    </row>
    <row r="688">
      <c r="A688" s="34" t="inlineStr">
        <is>
          <t>拒检</t>
        </is>
      </c>
      <c r="B688" s="34" t="inlineStr">
        <is>
          <t>拒绝听从执法人员命令与检查罪</t>
        </is>
      </c>
      <c r="C688" s="34">
        <f>IF(AND($A687&lt;&gt;"",'算罪台'!$B$4&lt;&gt;"",ISNUMBER(SEARCH($A687,'算罪台'!$B$4))),1,0)</f>
        <v/>
      </c>
      <c r="D688" s="34">
        <f>IF(AND($A687&lt;&gt;"",'算罪台'!$B$5&lt;&gt;"",ISNUMBER(SEARCH($A687,'算罪台'!$B$5))),1,0)</f>
        <v/>
      </c>
      <c r="E688" s="34">
        <f>IF(AND($A687&lt;&gt;"",'算罪台'!$B$6&lt;&gt;"",ISNUMBER(SEARCH($A687,'算罪台'!$B$6))),1,0)</f>
        <v/>
      </c>
    </row>
    <row r="689">
      <c r="A689" s="34" t="inlineStr">
        <is>
          <t>不开窗</t>
        </is>
      </c>
      <c r="B689" s="34" t="inlineStr">
        <is>
          <t>拒绝听从执法人员命令与检查罪</t>
        </is>
      </c>
      <c r="C689" s="34">
        <f>IF(AND($A688&lt;&gt;"",'算罪台'!$B$4&lt;&gt;"",ISNUMBER(SEARCH($A688,'算罪台'!$B$4))),1,0)</f>
        <v/>
      </c>
      <c r="D689" s="34">
        <f>IF(AND($A688&lt;&gt;"",'算罪台'!$B$5&lt;&gt;"",ISNUMBER(SEARCH($A688,'算罪台'!$B$5))),1,0)</f>
        <v/>
      </c>
      <c r="E689" s="34">
        <f>IF(AND($A688&lt;&gt;"",'算罪台'!$B$6&lt;&gt;"",ISNUMBER(SEARCH($A688,'算罪台'!$B$6))),1,0)</f>
        <v/>
      </c>
    </row>
    <row r="690">
      <c r="A690" s="34" t="inlineStr">
        <is>
          <t>拒绝配合</t>
        </is>
      </c>
      <c r="B690" s="34" t="inlineStr">
        <is>
          <t>拒绝听从执法人员命令与检查罪</t>
        </is>
      </c>
      <c r="C690" s="34">
        <f>IF(AND($A689&lt;&gt;"",'算罪台'!$B$4&lt;&gt;"",ISNUMBER(SEARCH($A689,'算罪台'!$B$4))),1,0)</f>
        <v/>
      </c>
      <c r="D690" s="34">
        <f>IF(AND($A689&lt;&gt;"",'算罪台'!$B$5&lt;&gt;"",ISNUMBER(SEARCH($A689,'算罪台'!$B$5))),1,0)</f>
        <v/>
      </c>
      <c r="E690" s="34">
        <f>IF(AND($A689&lt;&gt;"",'算罪台'!$B$6&lt;&gt;"",ISNUMBER(SEARCH($A689,'算罪台'!$B$6))),1,0)</f>
        <v/>
      </c>
    </row>
    <row r="691">
      <c r="A691" s="34" t="inlineStr">
        <is>
          <t>不服从警察</t>
        </is>
      </c>
      <c r="B691" s="34" t="inlineStr">
        <is>
          <t>拒绝听从执法人员命令与检查罪</t>
        </is>
      </c>
      <c r="C691" s="34">
        <f>IF(AND($A690&lt;&gt;"",'算罪台'!$B$4&lt;&gt;"",ISNUMBER(SEARCH($A690,'算罪台'!$B$4))),1,0)</f>
        <v/>
      </c>
      <c r="D691" s="34">
        <f>IF(AND($A690&lt;&gt;"",'算罪台'!$B$5&lt;&gt;"",ISNUMBER(SEARCH($A690,'算罪台'!$B$5))),1,0)</f>
        <v/>
      </c>
      <c r="E691" s="34">
        <f>IF(AND($A690&lt;&gt;"",'算罪台'!$B$6&lt;&gt;"",ISNUMBER(SEARCH($A690,'算罪台'!$B$6))),1,0)</f>
        <v/>
      </c>
    </row>
    <row r="692">
      <c r="A692" s="34" t="inlineStr">
        <is>
          <t>不听从命令</t>
        </is>
      </c>
      <c r="B692" s="34" t="inlineStr">
        <is>
          <t>拒绝听从执法人员命令与检查罪</t>
        </is>
      </c>
      <c r="C692" s="34">
        <f>IF(AND($A691&lt;&gt;"",'算罪台'!$B$4&lt;&gt;"",ISNUMBER(SEARCH($A691,'算罪台'!$B$4))),1,0)</f>
        <v/>
      </c>
      <c r="D692" s="34">
        <f>IF(AND($A691&lt;&gt;"",'算罪台'!$B$5&lt;&gt;"",ISNUMBER(SEARCH($A691,'算罪台'!$B$5))),1,0)</f>
        <v/>
      </c>
      <c r="E692" s="34">
        <f>IF(AND($A691&lt;&gt;"",'算罪台'!$B$6&lt;&gt;"",ISNUMBER(SEARCH($A691,'算罪台'!$B$6))),1,0)</f>
        <v/>
      </c>
    </row>
    <row r="693">
      <c r="A693" s="34" t="inlineStr">
        <is>
          <t>无视指示</t>
        </is>
      </c>
      <c r="B693" s="34" t="inlineStr">
        <is>
          <t>拒绝听从执法人员命令与检查罪</t>
        </is>
      </c>
      <c r="C693" s="34">
        <f>IF(AND($A692&lt;&gt;"",'算罪台'!$B$4&lt;&gt;"",ISNUMBER(SEARCH($A692,'算罪台'!$B$4))),1,0)</f>
        <v/>
      </c>
      <c r="D693" s="34">
        <f>IF(AND($A692&lt;&gt;"",'算罪台'!$B$5&lt;&gt;"",ISNUMBER(SEARCH($A692,'算罪台'!$B$5))),1,0)</f>
        <v/>
      </c>
      <c r="E693" s="34">
        <f>IF(AND($A692&lt;&gt;"",'算罪台'!$B$6&lt;&gt;"",ISNUMBER(SEARCH($A692,'算罪台'!$B$6))),1,0)</f>
        <v/>
      </c>
    </row>
    <row r="694">
      <c r="A694" s="34" t="inlineStr">
        <is>
          <t>拒不配合</t>
        </is>
      </c>
      <c r="B694" s="34" t="inlineStr">
        <is>
          <t>拒绝听从执法人员命令与检查罪</t>
        </is>
      </c>
      <c r="C694" s="34">
        <f>IF(AND($A693&lt;&gt;"",'算罪台'!$B$4&lt;&gt;"",ISNUMBER(SEARCH($A693,'算罪台'!$B$4))),1,0)</f>
        <v/>
      </c>
      <c r="D694" s="34">
        <f>IF(AND($A693&lt;&gt;"",'算罪台'!$B$5&lt;&gt;"",ISNUMBER(SEARCH($A693,'算罪台'!$B$5))),1,0)</f>
        <v/>
      </c>
      <c r="E694" s="34">
        <f>IF(AND($A693&lt;&gt;"",'算罪台'!$B$6&lt;&gt;"",ISNUMBER(SEARCH($A693,'算罪台'!$B$6))),1,0)</f>
        <v/>
      </c>
    </row>
    <row r="695">
      <c r="A695" s="34" t="inlineStr">
        <is>
          <t>抗拒检查</t>
        </is>
      </c>
      <c r="B695" s="34" t="inlineStr">
        <is>
          <t>拒绝听从执法人员命令与检查罪</t>
        </is>
      </c>
      <c r="C695" s="34">
        <f>IF(AND($A694&lt;&gt;"",'算罪台'!$B$4&lt;&gt;"",ISNUMBER(SEARCH($A694,'算罪台'!$B$4))),1,0)</f>
        <v/>
      </c>
      <c r="D695" s="34">
        <f>IF(AND($A694&lt;&gt;"",'算罪台'!$B$5&lt;&gt;"",ISNUMBER(SEARCH($A694,'算罪台'!$B$5))),1,0)</f>
        <v/>
      </c>
      <c r="E695" s="34">
        <f>IF(AND($A694&lt;&gt;"",'算罪台'!$B$6&lt;&gt;"",ISNUMBER(SEARCH($A694,'算罪台'!$B$6))),1,0)</f>
        <v/>
      </c>
    </row>
    <row r="696">
      <c r="A696" s="34" t="inlineStr">
        <is>
          <t>不服从指挥</t>
        </is>
      </c>
      <c r="B696" s="34" t="inlineStr">
        <is>
          <t>拒绝听从执法人员命令与检查罪</t>
        </is>
      </c>
      <c r="C696" s="34">
        <f>IF(AND($A695&lt;&gt;"",'算罪台'!$B$4&lt;&gt;"",ISNUMBER(SEARCH($A695,'算罪台'!$B$4))),1,0)</f>
        <v/>
      </c>
      <c r="D696" s="34">
        <f>IF(AND($A695&lt;&gt;"",'算罪台'!$B$5&lt;&gt;"",ISNUMBER(SEARCH($A695,'算罪台'!$B$5))),1,0)</f>
        <v/>
      </c>
      <c r="E696" s="34">
        <f>IF(AND($A695&lt;&gt;"",'算罪台'!$B$6&lt;&gt;"",ISNUMBER(SEARCH($A695,'算罪台'!$B$6))),1,0)</f>
        <v/>
      </c>
    </row>
    <row r="697">
      <c r="A697" s="34" t="inlineStr">
        <is>
          <t>拒绝执法检查</t>
        </is>
      </c>
      <c r="B697" s="34" t="inlineStr">
        <is>
          <t>拒绝听从执法人员命令与检查罪</t>
        </is>
      </c>
      <c r="C697" s="34">
        <f>IF(AND($A696&lt;&gt;"",'算罪台'!$B$4&lt;&gt;"",ISNUMBER(SEARCH($A696,'算罪台'!$B$4))),1,0)</f>
        <v/>
      </c>
      <c r="D697" s="34">
        <f>IF(AND($A696&lt;&gt;"",'算罪台'!$B$5&lt;&gt;"",ISNUMBER(SEARCH($A696,'算罪台'!$B$5))),1,0)</f>
        <v/>
      </c>
      <c r="E697" s="34">
        <f>IF(AND($A696&lt;&gt;"",'算罪台'!$B$6&lt;&gt;"",ISNUMBER(SEARCH($A696,'算罪台'!$B$6))),1,0)</f>
        <v/>
      </c>
    </row>
    <row r="698">
      <c r="A698" s="34" t="inlineStr">
        <is>
          <t>不停车检查</t>
        </is>
      </c>
      <c r="B698" s="34" t="inlineStr">
        <is>
          <t>拒绝听从执法人员命令与检查罪</t>
        </is>
      </c>
      <c r="C698" s="34">
        <f>IF(AND($A697&lt;&gt;"",'算罪台'!$B$4&lt;&gt;"",ISNUMBER(SEARCH($A697,'算罪台'!$B$4))),1,0)</f>
        <v/>
      </c>
      <c r="D698" s="34">
        <f>IF(AND($A697&lt;&gt;"",'算罪台'!$B$5&lt;&gt;"",ISNUMBER(SEARCH($A697,'算罪台'!$B$5))),1,0)</f>
        <v/>
      </c>
      <c r="E698" s="34">
        <f>IF(AND($A697&lt;&gt;"",'算罪台'!$B$6&lt;&gt;"",ISNUMBER(SEARCH($A697,'算罪台'!$B$6))),1,0)</f>
        <v/>
      </c>
    </row>
    <row r="699">
      <c r="A699" s="34" t="inlineStr">
        <is>
          <t>拒绝盘查</t>
        </is>
      </c>
      <c r="B699" s="34" t="inlineStr">
        <is>
          <t>拒绝听从执法人员命令与检查罪</t>
        </is>
      </c>
      <c r="C699" s="34">
        <f>IF(AND($A698&lt;&gt;"",'算罪台'!$B$4&lt;&gt;"",ISNUMBER(SEARCH($A698,'算罪台'!$B$4))),1,0)</f>
        <v/>
      </c>
      <c r="D699" s="34">
        <f>IF(AND($A698&lt;&gt;"",'算罪台'!$B$5&lt;&gt;"",ISNUMBER(SEARCH($A698,'算罪台'!$B$5))),1,0)</f>
        <v/>
      </c>
      <c r="E699" s="34">
        <f>IF(AND($A698&lt;&gt;"",'算罪台'!$B$6&lt;&gt;"",ISNUMBER(SEARCH($A698,'算罪台'!$B$6))),1,0)</f>
        <v/>
      </c>
    </row>
    <row r="700">
      <c r="A700" s="34" t="inlineStr">
        <is>
          <t>拒绝提供身份</t>
        </is>
      </c>
      <c r="B700" s="34" t="inlineStr">
        <is>
          <t>拒绝提供身份罪</t>
        </is>
      </c>
      <c r="C700" s="34">
        <f>IF(AND($A699&lt;&gt;"",'算罪台'!$B$4&lt;&gt;"",ISNUMBER(SEARCH($A699,'算罪台'!$B$4))),1,0)</f>
        <v/>
      </c>
      <c r="D700" s="34">
        <f>IF(AND($A699&lt;&gt;"",'算罪台'!$B$5&lt;&gt;"",ISNUMBER(SEARCH($A699,'算罪台'!$B$5))),1,0)</f>
        <v/>
      </c>
      <c r="E700" s="34">
        <f>IF(AND($A699&lt;&gt;"",'算罪台'!$B$6&lt;&gt;"",ISNUMBER(SEARCH($A699,'算罪台'!$B$6))),1,0)</f>
        <v/>
      </c>
    </row>
    <row r="701">
      <c r="A701" s="34" t="inlineStr">
        <is>
          <t>拒报身份</t>
        </is>
      </c>
      <c r="B701" s="34" t="inlineStr">
        <is>
          <t>拒绝提供身份罪</t>
        </is>
      </c>
      <c r="C701" s="34">
        <f>IF(AND($A700&lt;&gt;"",'算罪台'!$B$4&lt;&gt;"",ISNUMBER(SEARCH($A700,'算罪台'!$B$4))),1,0)</f>
        <v/>
      </c>
      <c r="D701" s="34">
        <f>IF(AND($A700&lt;&gt;"",'算罪台'!$B$5&lt;&gt;"",ISNUMBER(SEARCH($A700,'算罪台'!$B$5))),1,0)</f>
        <v/>
      </c>
      <c r="E701" s="34">
        <f>IF(AND($A700&lt;&gt;"",'算罪台'!$B$6&lt;&gt;"",ISNUMBER(SEARCH($A700,'算罪台'!$B$6))),1,0)</f>
        <v/>
      </c>
    </row>
    <row r="702">
      <c r="A702" s="34" t="inlineStr">
        <is>
          <t>不提供身份</t>
        </is>
      </c>
      <c r="B702" s="34" t="inlineStr">
        <is>
          <t>拒绝提供身份罪</t>
        </is>
      </c>
      <c r="C702" s="34">
        <f>IF(AND($A701&lt;&gt;"",'算罪台'!$B$4&lt;&gt;"",ISNUMBER(SEARCH($A701,'算罪台'!$B$4))),1,0)</f>
        <v/>
      </c>
      <c r="D702" s="34">
        <f>IF(AND($A701&lt;&gt;"",'算罪台'!$B$5&lt;&gt;"",ISNUMBER(SEARCH($A701,'算罪台'!$B$5))),1,0)</f>
        <v/>
      </c>
      <c r="E702" s="34">
        <f>IF(AND($A701&lt;&gt;"",'算罪台'!$B$6&lt;&gt;"",ISNUMBER(SEARCH($A701,'算罪台'!$B$6))),1,0)</f>
        <v/>
      </c>
    </row>
    <row r="703">
      <c r="A703" s="34" t="inlineStr">
        <is>
          <t>拒绝出示证件</t>
        </is>
      </c>
      <c r="B703" s="34" t="inlineStr">
        <is>
          <t>拒绝提供身份罪</t>
        </is>
      </c>
      <c r="C703" s="34">
        <f>IF(AND($A702&lt;&gt;"",'算罪台'!$B$4&lt;&gt;"",ISNUMBER(SEARCH($A702,'算罪台'!$B$4))),1,0)</f>
        <v/>
      </c>
      <c r="D703" s="34">
        <f>IF(AND($A702&lt;&gt;"",'算罪台'!$B$5&lt;&gt;"",ISNUMBER(SEARCH($A702,'算罪台'!$B$5))),1,0)</f>
        <v/>
      </c>
      <c r="E703" s="34">
        <f>IF(AND($A702&lt;&gt;"",'算罪台'!$B$6&lt;&gt;"",ISNUMBER(SEARCH($A702,'算罪台'!$B$6))),1,0)</f>
        <v/>
      </c>
    </row>
    <row r="704">
      <c r="A704" s="34" t="inlineStr">
        <is>
          <t>不报姓名</t>
        </is>
      </c>
      <c r="B704" s="34" t="inlineStr">
        <is>
          <t>拒绝提供身份罪</t>
        </is>
      </c>
      <c r="C704" s="34">
        <f>IF(AND($A703&lt;&gt;"",'算罪台'!$B$4&lt;&gt;"",ISNUMBER(SEARCH($A703,'算罪台'!$B$4))),1,0)</f>
        <v/>
      </c>
      <c r="D704" s="34">
        <f>IF(AND($A703&lt;&gt;"",'算罪台'!$B$5&lt;&gt;"",ISNUMBER(SEARCH($A703,'算罪台'!$B$5))),1,0)</f>
        <v/>
      </c>
      <c r="E704" s="34">
        <f>IF(AND($A703&lt;&gt;"",'算罪台'!$B$6&lt;&gt;"",ISNUMBER(SEARCH($A703,'算罪台'!$B$6))),1,0)</f>
        <v/>
      </c>
    </row>
    <row r="705">
      <c r="A705" s="34" t="inlineStr">
        <is>
          <t>不给看证件</t>
        </is>
      </c>
      <c r="B705" s="34" t="inlineStr">
        <is>
          <t>拒绝提供身份罪</t>
        </is>
      </c>
      <c r="C705" s="34">
        <f>IF(AND($A704&lt;&gt;"",'算罪台'!$B$4&lt;&gt;"",ISNUMBER(SEARCH($A704,'算罪台'!$B$4))),1,0)</f>
        <v/>
      </c>
      <c r="D705" s="34">
        <f>IF(AND($A704&lt;&gt;"",'算罪台'!$B$5&lt;&gt;"",ISNUMBER(SEARCH($A704,'算罪台'!$B$5))),1,0)</f>
        <v/>
      </c>
      <c r="E705" s="34">
        <f>IF(AND($A704&lt;&gt;"",'算罪台'!$B$6&lt;&gt;"",ISNUMBER(SEARCH($A704,'算罪台'!$B$6))),1,0)</f>
        <v/>
      </c>
    </row>
    <row r="706">
      <c r="A706" s="34" t="inlineStr">
        <is>
          <t>拒绝报名字</t>
        </is>
      </c>
      <c r="B706" s="34" t="inlineStr">
        <is>
          <t>拒绝提供身份罪</t>
        </is>
      </c>
      <c r="C706" s="34">
        <f>IF(AND($A705&lt;&gt;"",'算罪台'!$B$4&lt;&gt;"",ISNUMBER(SEARCH($A705,'算罪台'!$B$4))),1,0)</f>
        <v/>
      </c>
      <c r="D706" s="34">
        <f>IF(AND($A705&lt;&gt;"",'算罪台'!$B$5&lt;&gt;"",ISNUMBER(SEARCH($A705,'算罪台'!$B$5))),1,0)</f>
        <v/>
      </c>
      <c r="E706" s="34">
        <f>IF(AND($A705&lt;&gt;"",'算罪台'!$B$6&lt;&gt;"",ISNUMBER(SEARCH($A705,'算罪台'!$B$6))),1,0)</f>
        <v/>
      </c>
    </row>
    <row r="707">
      <c r="A707" s="34" t="inlineStr">
        <is>
          <t>不报名字</t>
        </is>
      </c>
      <c r="B707" s="34" t="inlineStr">
        <is>
          <t>拒绝提供身份罪</t>
        </is>
      </c>
      <c r="C707" s="34">
        <f>IF(AND($A706&lt;&gt;"",'算罪台'!$B$4&lt;&gt;"",ISNUMBER(SEARCH($A706,'算罪台'!$B$4))),1,0)</f>
        <v/>
      </c>
      <c r="D707" s="34">
        <f>IF(AND($A706&lt;&gt;"",'算罪台'!$B$5&lt;&gt;"",ISNUMBER(SEARCH($A706,'算罪台'!$B$5))),1,0)</f>
        <v/>
      </c>
      <c r="E707" s="34">
        <f>IF(AND($A706&lt;&gt;"",'算罪台'!$B$6&lt;&gt;"",ISNUMBER(SEARCH($A706,'算罪台'!$B$6))),1,0)</f>
        <v/>
      </c>
    </row>
    <row r="708">
      <c r="A708" s="34" t="inlineStr">
        <is>
          <t>不给身份证</t>
        </is>
      </c>
      <c r="B708" s="34" t="inlineStr">
        <is>
          <t>拒绝提供身份罪</t>
        </is>
      </c>
      <c r="C708" s="34">
        <f>IF(AND($A707&lt;&gt;"",'算罪台'!$B$4&lt;&gt;"",ISNUMBER(SEARCH($A707,'算罪台'!$B$4))),1,0)</f>
        <v/>
      </c>
      <c r="D708" s="34">
        <f>IF(AND($A707&lt;&gt;"",'算罪台'!$B$5&lt;&gt;"",ISNUMBER(SEARCH($A707,'算罪台'!$B$5))),1,0)</f>
        <v/>
      </c>
      <c r="E708" s="34">
        <f>IF(AND($A707&lt;&gt;"",'算罪台'!$B$6&lt;&gt;"",ISNUMBER(SEARCH($A707,'算罪台'!$B$6))),1,0)</f>
        <v/>
      </c>
    </row>
    <row r="709">
      <c r="A709" s="34" t="inlineStr">
        <is>
          <t>拒报姓名</t>
        </is>
      </c>
      <c r="B709" s="34" t="inlineStr">
        <is>
          <t>拒绝提供身份罪</t>
        </is>
      </c>
      <c r="C709" s="34">
        <f>IF(AND($A708&lt;&gt;"",'算罪台'!$B$4&lt;&gt;"",ISNUMBER(SEARCH($A708,'算罪台'!$B$4))),1,0)</f>
        <v/>
      </c>
      <c r="D709" s="34">
        <f>IF(AND($A708&lt;&gt;"",'算罪台'!$B$5&lt;&gt;"",ISNUMBER(SEARCH($A708,'算罪台'!$B$5))),1,0)</f>
        <v/>
      </c>
      <c r="E709" s="34">
        <f>IF(AND($A708&lt;&gt;"",'算罪台'!$B$6&lt;&gt;"",ISNUMBER(SEARCH($A708,'算罪台'!$B$6))),1,0)</f>
        <v/>
      </c>
    </row>
    <row r="710">
      <c r="A710" s="34" t="inlineStr">
        <is>
          <t>不说自己是谁</t>
        </is>
      </c>
      <c r="B710" s="34" t="inlineStr">
        <is>
          <t>拒绝提供身份罪</t>
        </is>
      </c>
      <c r="C710" s="34">
        <f>IF(AND($A709&lt;&gt;"",'算罪台'!$B$4&lt;&gt;"",ISNUMBER(SEARCH($A709,'算罪台'!$B$4))),1,0)</f>
        <v/>
      </c>
      <c r="D710" s="34">
        <f>IF(AND($A709&lt;&gt;"",'算罪台'!$B$5&lt;&gt;"",ISNUMBER(SEARCH($A709,'算罪台'!$B$5))),1,0)</f>
        <v/>
      </c>
      <c r="E710" s="34">
        <f>IF(AND($A709&lt;&gt;"",'算罪台'!$B$6&lt;&gt;"",ISNUMBER(SEARCH($A709,'算罪台'!$B$6))),1,0)</f>
        <v/>
      </c>
    </row>
    <row r="711">
      <c r="A711" s="34" t="inlineStr">
        <is>
          <t>装不认识</t>
        </is>
      </c>
      <c r="B711" s="34" t="inlineStr">
        <is>
          <t>拒绝提供身份罪</t>
        </is>
      </c>
      <c r="C711" s="34">
        <f>IF(AND($A710&lt;&gt;"",'算罪台'!$B$4&lt;&gt;"",ISNUMBER(SEARCH($A710,'算罪台'!$B$4))),1,0)</f>
        <v/>
      </c>
      <c r="D711" s="34">
        <f>IF(AND($A710&lt;&gt;"",'算罪台'!$B$5&lt;&gt;"",ISNUMBER(SEARCH($A710,'算罪台'!$B$5))),1,0)</f>
        <v/>
      </c>
      <c r="E711" s="34">
        <f>IF(AND($A710&lt;&gt;"",'算罪台'!$B$6&lt;&gt;"",ISNUMBER(SEARCH($A710,'算罪台'!$B$6))),1,0)</f>
        <v/>
      </c>
    </row>
    <row r="712">
      <c r="A712" s="34" t="inlineStr">
        <is>
          <t>不肯说名字</t>
        </is>
      </c>
      <c r="B712" s="34" t="inlineStr">
        <is>
          <t>拒绝提供身份罪</t>
        </is>
      </c>
      <c r="C712" s="34">
        <f>IF(AND($A711&lt;&gt;"",'算罪台'!$B$4&lt;&gt;"",ISNUMBER(SEARCH($A711,'算罪台'!$B$4))),1,0)</f>
        <v/>
      </c>
      <c r="D712" s="34">
        <f>IF(AND($A711&lt;&gt;"",'算罪台'!$B$5&lt;&gt;"",ISNUMBER(SEARCH($A711,'算罪台'!$B$5))),1,0)</f>
        <v/>
      </c>
      <c r="E712" s="34">
        <f>IF(AND($A711&lt;&gt;"",'算罪台'!$B$6&lt;&gt;"",ISNUMBER(SEARCH($A711,'算罪台'!$B$6))),1,0)</f>
        <v/>
      </c>
    </row>
    <row r="713">
      <c r="A713" s="34" t="inlineStr">
        <is>
          <t>拒不报身份</t>
        </is>
      </c>
      <c r="B713" s="34" t="inlineStr">
        <is>
          <t>拒绝提供身份罪</t>
        </is>
      </c>
      <c r="C713" s="34">
        <f>IF(AND($A712&lt;&gt;"",'算罪台'!$B$4&lt;&gt;"",ISNUMBER(SEARCH($A712,'算罪台'!$B$4))),1,0)</f>
        <v/>
      </c>
      <c r="D713" s="34">
        <f>IF(AND($A712&lt;&gt;"",'算罪台'!$B$5&lt;&gt;"",ISNUMBER(SEARCH($A712,'算罪台'!$B$5))),1,0)</f>
        <v/>
      </c>
      <c r="E713" s="34">
        <f>IF(AND($A712&lt;&gt;"",'算罪台'!$B$6&lt;&gt;"",ISNUMBER(SEARCH($A712,'算罪台'!$B$6))),1,0)</f>
        <v/>
      </c>
    </row>
    <row r="714">
      <c r="A714" s="34" t="inlineStr">
        <is>
          <t>拒绝提供证件</t>
        </is>
      </c>
      <c r="B714" s="34" t="inlineStr">
        <is>
          <t>拒绝提供身份罪</t>
        </is>
      </c>
      <c r="C714" s="34">
        <f>IF(AND($A713&lt;&gt;"",'算罪台'!$B$4&lt;&gt;"",ISNUMBER(SEARCH($A713,'算罪台'!$B$4))),1,0)</f>
        <v/>
      </c>
      <c r="D714" s="34">
        <f>IF(AND($A713&lt;&gt;"",'算罪台'!$B$5&lt;&gt;"",ISNUMBER(SEARCH($A713,'算罪台'!$B$5))),1,0)</f>
        <v/>
      </c>
      <c r="E714" s="34">
        <f>IF(AND($A713&lt;&gt;"",'算罪台'!$B$6&lt;&gt;"",ISNUMBER(SEARCH($A713,'算罪台'!$B$6))),1,0)</f>
        <v/>
      </c>
    </row>
    <row r="715">
      <c r="A715" s="34" t="inlineStr">
        <is>
          <t>隐瞒身份</t>
        </is>
      </c>
      <c r="B715" s="34" t="inlineStr">
        <is>
          <t>拒绝提供身份罪</t>
        </is>
      </c>
      <c r="C715" s="34">
        <f>IF(AND($A714&lt;&gt;"",'算罪台'!$B$4&lt;&gt;"",ISNUMBER(SEARCH($A714,'算罪台'!$B$4))),1,0)</f>
        <v/>
      </c>
      <c r="D715" s="34">
        <f>IF(AND($A714&lt;&gt;"",'算罪台'!$B$5&lt;&gt;"",ISNUMBER(SEARCH($A714,'算罪台'!$B$5))),1,0)</f>
        <v/>
      </c>
      <c r="E715" s="34">
        <f>IF(AND($A714&lt;&gt;"",'算罪台'!$B$6&lt;&gt;"",ISNUMBER(SEARCH($A714,'算罪台'!$B$6))),1,0)</f>
        <v/>
      </c>
    </row>
    <row r="716">
      <c r="A716" s="34" t="inlineStr">
        <is>
          <t>不报真实姓名</t>
        </is>
      </c>
      <c r="B716" s="34" t="inlineStr">
        <is>
          <t>拒绝提供身份罪</t>
        </is>
      </c>
      <c r="C716" s="34">
        <f>IF(AND($A715&lt;&gt;"",'算罪台'!$B$4&lt;&gt;"",ISNUMBER(SEARCH($A715,'算罪台'!$B$4))),1,0)</f>
        <v/>
      </c>
      <c r="D716" s="34">
        <f>IF(AND($A715&lt;&gt;"",'算罪台'!$B$5&lt;&gt;"",ISNUMBER(SEARCH($A715,'算罪台'!$B$5))),1,0)</f>
        <v/>
      </c>
      <c r="E716" s="34">
        <f>IF(AND($A715&lt;&gt;"",'算罪台'!$B$6&lt;&gt;"",ISNUMBER(SEARCH($A715,'算罪台'!$B$6))),1,0)</f>
        <v/>
      </c>
    </row>
    <row r="717">
      <c r="A717" s="34" t="inlineStr">
        <is>
          <t>拒不出示证件</t>
        </is>
      </c>
      <c r="B717" s="34" t="inlineStr">
        <is>
          <t>拒绝提供身份罪</t>
        </is>
      </c>
      <c r="C717" s="34">
        <f>IF(AND($A716&lt;&gt;"",'算罪台'!$B$4&lt;&gt;"",ISNUMBER(SEARCH($A716,'算罪台'!$B$4))),1,0)</f>
        <v/>
      </c>
      <c r="D717" s="34">
        <f>IF(AND($A716&lt;&gt;"",'算罪台'!$B$5&lt;&gt;"",ISNUMBER(SEARCH($A716,'算罪台'!$B$5))),1,0)</f>
        <v/>
      </c>
      <c r="E717" s="34">
        <f>IF(AND($A716&lt;&gt;"",'算罪台'!$B$6&lt;&gt;"",ISNUMBER(SEARCH($A716,'算罪台'!$B$6))),1,0)</f>
        <v/>
      </c>
    </row>
    <row r="718">
      <c r="A718" s="34" t="inlineStr">
        <is>
          <t>破坏证据</t>
        </is>
      </c>
      <c r="B718" s="34" t="inlineStr">
        <is>
          <t>破坏证据罪</t>
        </is>
      </c>
      <c r="C718" s="34">
        <f>IF(AND($A717&lt;&gt;"",'算罪台'!$B$4&lt;&gt;"",ISNUMBER(SEARCH($A717,'算罪台'!$B$4))),1,0)</f>
        <v/>
      </c>
      <c r="D718" s="34">
        <f>IF(AND($A717&lt;&gt;"",'算罪台'!$B$5&lt;&gt;"",ISNUMBER(SEARCH($A717,'算罪台'!$B$5))),1,0)</f>
        <v/>
      </c>
      <c r="E718" s="34">
        <f>IF(AND($A717&lt;&gt;"",'算罪台'!$B$6&lt;&gt;"",ISNUMBER(SEARCH($A717,'算罪台'!$B$6))),1,0)</f>
        <v/>
      </c>
    </row>
    <row r="719">
      <c r="A719" s="34" t="inlineStr">
        <is>
          <t>销毁证据</t>
        </is>
      </c>
      <c r="B719" s="34" t="inlineStr">
        <is>
          <t>破坏证据罪</t>
        </is>
      </c>
      <c r="C719" s="34">
        <f>IF(AND($A718&lt;&gt;"",'算罪台'!$B$4&lt;&gt;"",ISNUMBER(SEARCH($A718,'算罪台'!$B$4))),1,0)</f>
        <v/>
      </c>
      <c r="D719" s="34">
        <f>IF(AND($A718&lt;&gt;"",'算罪台'!$B$5&lt;&gt;"",ISNUMBER(SEARCH($A718,'算罪台'!$B$5))),1,0)</f>
        <v/>
      </c>
      <c r="E719" s="34">
        <f>IF(AND($A718&lt;&gt;"",'算罪台'!$B$6&lt;&gt;"",ISNUMBER(SEARCH($A718,'算罪台'!$B$6))),1,0)</f>
        <v/>
      </c>
    </row>
    <row r="720">
      <c r="A720" s="34" t="inlineStr">
        <is>
          <t>毁灭证据</t>
        </is>
      </c>
      <c r="B720" s="34" t="inlineStr">
        <is>
          <t>破坏证据罪</t>
        </is>
      </c>
      <c r="C720" s="34">
        <f>IF(AND($A719&lt;&gt;"",'算罪台'!$B$4&lt;&gt;"",ISNUMBER(SEARCH($A719,'算罪台'!$B$4))),1,0)</f>
        <v/>
      </c>
      <c r="D720" s="34">
        <f>IF(AND($A719&lt;&gt;"",'算罪台'!$B$5&lt;&gt;"",ISNUMBER(SEARCH($A719,'算罪台'!$B$5))),1,0)</f>
        <v/>
      </c>
      <c r="E720" s="34">
        <f>IF(AND($A719&lt;&gt;"",'算罪台'!$B$6&lt;&gt;"",ISNUMBER(SEARCH($A719,'算罪台'!$B$6))),1,0)</f>
        <v/>
      </c>
    </row>
    <row r="721">
      <c r="A721" s="34" t="inlineStr">
        <is>
          <t>篡改证据</t>
        </is>
      </c>
      <c r="B721" s="34" t="inlineStr">
        <is>
          <t>破坏证据罪</t>
        </is>
      </c>
      <c r="C721" s="34">
        <f>IF(AND($A720&lt;&gt;"",'算罪台'!$B$4&lt;&gt;"",ISNUMBER(SEARCH($A720,'算罪台'!$B$4))),1,0)</f>
        <v/>
      </c>
      <c r="D721" s="34">
        <f>IF(AND($A720&lt;&gt;"",'算罪台'!$B$5&lt;&gt;"",ISNUMBER(SEARCH($A720,'算罪台'!$B$5))),1,0)</f>
        <v/>
      </c>
      <c r="E721" s="34">
        <f>IF(AND($A720&lt;&gt;"",'算罪台'!$B$6&lt;&gt;"",ISNUMBER(SEARCH($A720,'算罪台'!$B$6))),1,0)</f>
        <v/>
      </c>
    </row>
    <row r="722">
      <c r="A722" s="34" t="inlineStr">
        <is>
          <t>伪造证据</t>
        </is>
      </c>
      <c r="B722" s="34" t="inlineStr">
        <is>
          <t>破坏证据罪</t>
        </is>
      </c>
      <c r="C722" s="34">
        <f>IF(AND($A721&lt;&gt;"",'算罪台'!$B$4&lt;&gt;"",ISNUMBER(SEARCH($A721,'算罪台'!$B$4))),1,0)</f>
        <v/>
      </c>
      <c r="D722" s="34">
        <f>IF(AND($A721&lt;&gt;"",'算罪台'!$B$5&lt;&gt;"",ISNUMBER(SEARCH($A721,'算罪台'!$B$5))),1,0)</f>
        <v/>
      </c>
      <c r="E722" s="34">
        <f>IF(AND($A721&lt;&gt;"",'算罪台'!$B$6&lt;&gt;"",ISNUMBER(SEARCH($A721,'算罪台'!$B$6))),1,0)</f>
        <v/>
      </c>
    </row>
    <row r="723">
      <c r="A723" s="34" t="inlineStr">
        <is>
          <t>藏匿证据</t>
        </is>
      </c>
      <c r="B723" s="34" t="inlineStr">
        <is>
          <t>破坏证据罪</t>
        </is>
      </c>
      <c r="C723" s="34">
        <f>IF(AND($A722&lt;&gt;"",'算罪台'!$B$4&lt;&gt;"",ISNUMBER(SEARCH($A722,'算罪台'!$B$4))),1,0)</f>
        <v/>
      </c>
      <c r="D723" s="34">
        <f>IF(AND($A722&lt;&gt;"",'算罪台'!$B$5&lt;&gt;"",ISNUMBER(SEARCH($A722,'算罪台'!$B$5))),1,0)</f>
        <v/>
      </c>
      <c r="E723" s="34">
        <f>IF(AND($A722&lt;&gt;"",'算罪台'!$B$6&lt;&gt;"",ISNUMBER(SEARCH($A722,'算罪台'!$B$6))),1,0)</f>
        <v/>
      </c>
    </row>
    <row r="724">
      <c r="A724" s="34" t="inlineStr">
        <is>
          <t>丢掉证据</t>
        </is>
      </c>
      <c r="B724" s="34" t="inlineStr">
        <is>
          <t>破坏证据罪</t>
        </is>
      </c>
      <c r="C724" s="34">
        <f>IF(AND($A723&lt;&gt;"",'算罪台'!$B$4&lt;&gt;"",ISNUMBER(SEARCH($A723,'算罪台'!$B$4))),1,0)</f>
        <v/>
      </c>
      <c r="D724" s="34">
        <f>IF(AND($A723&lt;&gt;"",'算罪台'!$B$5&lt;&gt;"",ISNUMBER(SEARCH($A723,'算罪台'!$B$5))),1,0)</f>
        <v/>
      </c>
      <c r="E724" s="34">
        <f>IF(AND($A723&lt;&gt;"",'算罪台'!$B$6&lt;&gt;"",ISNUMBER(SEARCH($A723,'算罪台'!$B$6))),1,0)</f>
        <v/>
      </c>
    </row>
    <row r="725">
      <c r="A725" s="34" t="inlineStr">
        <is>
          <t>扔掉毒品</t>
        </is>
      </c>
      <c r="B725" s="34" t="inlineStr">
        <is>
          <t>破坏证据罪</t>
        </is>
      </c>
      <c r="C725" s="34">
        <f>IF(AND($A724&lt;&gt;"",'算罪台'!$B$4&lt;&gt;"",ISNUMBER(SEARCH($A724,'算罪台'!$B$4))),1,0)</f>
        <v/>
      </c>
      <c r="D725" s="34">
        <f>IF(AND($A724&lt;&gt;"",'算罪台'!$B$5&lt;&gt;"",ISNUMBER(SEARCH($A724,'算罪台'!$B$5))),1,0)</f>
        <v/>
      </c>
      <c r="E725" s="34">
        <f>IF(AND($A724&lt;&gt;"",'算罪台'!$B$6&lt;&gt;"",ISNUMBER(SEARCH($A724,'算罪台'!$B$6))),1,0)</f>
        <v/>
      </c>
    </row>
    <row r="726">
      <c r="A726" s="34" t="inlineStr">
        <is>
          <t>毁证据</t>
        </is>
      </c>
      <c r="B726" s="34" t="inlineStr">
        <is>
          <t>破坏证据罪</t>
        </is>
      </c>
      <c r="C726" s="34">
        <f>IF(AND($A725&lt;&gt;"",'算罪台'!$B$4&lt;&gt;"",ISNUMBER(SEARCH($A725,'算罪台'!$B$4))),1,0)</f>
        <v/>
      </c>
      <c r="D726" s="34">
        <f>IF(AND($A725&lt;&gt;"",'算罪台'!$B$5&lt;&gt;"",ISNUMBER(SEARCH($A725,'算罪台'!$B$5))),1,0)</f>
        <v/>
      </c>
      <c r="E726" s="34">
        <f>IF(AND($A725&lt;&gt;"",'算罪台'!$B$6&lt;&gt;"",ISNUMBER(SEARCH($A725,'算罪台'!$B$6))),1,0)</f>
        <v/>
      </c>
    </row>
    <row r="727">
      <c r="A727" s="34" t="inlineStr">
        <is>
          <t>扔证物</t>
        </is>
      </c>
      <c r="B727" s="34" t="inlineStr">
        <is>
          <t>破坏证据罪</t>
        </is>
      </c>
      <c r="C727" s="34">
        <f>IF(AND($A726&lt;&gt;"",'算罪台'!$B$4&lt;&gt;"",ISNUMBER(SEARCH($A726,'算罪台'!$B$4))),1,0)</f>
        <v/>
      </c>
      <c r="D727" s="34">
        <f>IF(AND($A726&lt;&gt;"",'算罪台'!$B$5&lt;&gt;"",ISNUMBER(SEARCH($A726,'算罪台'!$B$5))),1,0)</f>
        <v/>
      </c>
      <c r="E727" s="34">
        <f>IF(AND($A726&lt;&gt;"",'算罪台'!$B$6&lt;&gt;"",ISNUMBER(SEARCH($A726,'算罪台'!$B$6))),1,0)</f>
        <v/>
      </c>
    </row>
    <row r="728">
      <c r="A728" s="34" t="inlineStr">
        <is>
          <t>冲掉毒品</t>
        </is>
      </c>
      <c r="B728" s="34" t="inlineStr">
        <is>
          <t>破坏证据罪</t>
        </is>
      </c>
      <c r="C728" s="34">
        <f>IF(AND($A727&lt;&gt;"",'算罪台'!$B$4&lt;&gt;"",ISNUMBER(SEARCH($A727,'算罪台'!$B$4))),1,0)</f>
        <v/>
      </c>
      <c r="D728" s="34">
        <f>IF(AND($A727&lt;&gt;"",'算罪台'!$B$5&lt;&gt;"",ISNUMBER(SEARCH($A727,'算罪台'!$B$5))),1,0)</f>
        <v/>
      </c>
      <c r="E728" s="34">
        <f>IF(AND($A727&lt;&gt;"",'算罪台'!$B$6&lt;&gt;"",ISNUMBER(SEARCH($A727,'算罪台'!$B$6))),1,0)</f>
        <v/>
      </c>
    </row>
    <row r="729">
      <c r="A729" s="34" t="inlineStr">
        <is>
          <t>删监控</t>
        </is>
      </c>
      <c r="B729" s="34" t="inlineStr">
        <is>
          <t>破坏证据罪</t>
        </is>
      </c>
      <c r="C729" s="34">
        <f>IF(AND($A728&lt;&gt;"",'算罪台'!$B$4&lt;&gt;"",ISNUMBER(SEARCH($A728,'算罪台'!$B$4))),1,0)</f>
        <v/>
      </c>
      <c r="D729" s="34">
        <f>IF(AND($A728&lt;&gt;"",'算罪台'!$B$5&lt;&gt;"",ISNUMBER(SEARCH($A728,'算罪台'!$B$5))),1,0)</f>
        <v/>
      </c>
      <c r="E729" s="34">
        <f>IF(AND($A728&lt;&gt;"",'算罪台'!$B$6&lt;&gt;"",ISNUMBER(SEARCH($A728,'算罪台'!$B$6))),1,0)</f>
        <v/>
      </c>
    </row>
    <row r="730">
      <c r="A730" s="34" t="inlineStr">
        <is>
          <t>擦指纹</t>
        </is>
      </c>
      <c r="B730" s="34" t="inlineStr">
        <is>
          <t>破坏证据罪</t>
        </is>
      </c>
      <c r="C730" s="34">
        <f>IF(AND($A729&lt;&gt;"",'算罪台'!$B$4&lt;&gt;"",ISNUMBER(SEARCH($A729,'算罪台'!$B$4))),1,0)</f>
        <v/>
      </c>
      <c r="D730" s="34">
        <f>IF(AND($A729&lt;&gt;"",'算罪台'!$B$5&lt;&gt;"",ISNUMBER(SEARCH($A729,'算罪台'!$B$5))),1,0)</f>
        <v/>
      </c>
      <c r="E730" s="34">
        <f>IF(AND($A729&lt;&gt;"",'算罪台'!$B$6&lt;&gt;"",ISNUMBER(SEARCH($A729,'算罪台'!$B$6))),1,0)</f>
        <v/>
      </c>
    </row>
    <row r="731">
      <c r="A731" s="34" t="inlineStr">
        <is>
          <t>毁监控</t>
        </is>
      </c>
      <c r="B731" s="34" t="inlineStr">
        <is>
          <t>破坏证据罪</t>
        </is>
      </c>
      <c r="C731" s="34">
        <f>IF(AND($A730&lt;&gt;"",'算罪台'!$B$4&lt;&gt;"",ISNUMBER(SEARCH($A730,'算罪台'!$B$4))),1,0)</f>
        <v/>
      </c>
      <c r="D731" s="34">
        <f>IF(AND($A730&lt;&gt;"",'算罪台'!$B$5&lt;&gt;"",ISNUMBER(SEARCH($A730,'算罪台'!$B$5))),1,0)</f>
        <v/>
      </c>
      <c r="E731" s="34">
        <f>IF(AND($A730&lt;&gt;"",'算罪台'!$B$6&lt;&gt;"",ISNUMBER(SEARCH($A730,'算罪台'!$B$6))),1,0)</f>
        <v/>
      </c>
    </row>
    <row r="732">
      <c r="A732" s="34" t="inlineStr">
        <is>
          <t>藏证物</t>
        </is>
      </c>
      <c r="B732" s="34" t="inlineStr">
        <is>
          <t>破坏证据罪</t>
        </is>
      </c>
      <c r="C732" s="34">
        <f>IF(AND($A731&lt;&gt;"",'算罪台'!$B$4&lt;&gt;"",ISNUMBER(SEARCH($A731,'算罪台'!$B$4))),1,0)</f>
        <v/>
      </c>
      <c r="D732" s="34">
        <f>IF(AND($A731&lt;&gt;"",'算罪台'!$B$5&lt;&gt;"",ISNUMBER(SEARCH($A731,'算罪台'!$B$5))),1,0)</f>
        <v/>
      </c>
      <c r="E732" s="34">
        <f>IF(AND($A731&lt;&gt;"",'算罪台'!$B$6&lt;&gt;"",ISNUMBER(SEARCH($A731,'算罪台'!$B$6))),1,0)</f>
        <v/>
      </c>
    </row>
    <row r="733">
      <c r="A733" s="34" t="inlineStr">
        <is>
          <t>销毁证物</t>
        </is>
      </c>
      <c r="B733" s="34" t="inlineStr">
        <is>
          <t>破坏证据罪</t>
        </is>
      </c>
      <c r="C733" s="34">
        <f>IF(AND($A732&lt;&gt;"",'算罪台'!$B$4&lt;&gt;"",ISNUMBER(SEARCH($A732,'算罪台'!$B$4))),1,0)</f>
        <v/>
      </c>
      <c r="D733" s="34">
        <f>IF(AND($A732&lt;&gt;"",'算罪台'!$B$5&lt;&gt;"",ISNUMBER(SEARCH($A732,'算罪台'!$B$5))),1,0)</f>
        <v/>
      </c>
      <c r="E733" s="34">
        <f>IF(AND($A732&lt;&gt;"",'算罪台'!$B$6&lt;&gt;"",ISNUMBER(SEARCH($A732,'算罪台'!$B$6))),1,0)</f>
        <v/>
      </c>
    </row>
    <row r="734">
      <c r="A734" s="34" t="inlineStr">
        <is>
          <t>转移证据</t>
        </is>
      </c>
      <c r="B734" s="34" t="inlineStr">
        <is>
          <t>破坏证据罪</t>
        </is>
      </c>
      <c r="C734" s="34">
        <f>IF(AND($A733&lt;&gt;"",'算罪台'!$B$4&lt;&gt;"",ISNUMBER(SEARCH($A733,'算罪台'!$B$4))),1,0)</f>
        <v/>
      </c>
      <c r="D734" s="34">
        <f>IF(AND($A733&lt;&gt;"",'算罪台'!$B$5&lt;&gt;"",ISNUMBER(SEARCH($A733,'算罪台'!$B$5))),1,0)</f>
        <v/>
      </c>
      <c r="E734" s="34">
        <f>IF(AND($A733&lt;&gt;"",'算罪台'!$B$6&lt;&gt;"",ISNUMBER(SEARCH($A733,'算罪台'!$B$6))),1,0)</f>
        <v/>
      </c>
    </row>
    <row r="735">
      <c r="A735" s="34" t="inlineStr">
        <is>
          <t>隐匿证据</t>
        </is>
      </c>
      <c r="B735" s="34" t="inlineStr">
        <is>
          <t>破坏证据罪</t>
        </is>
      </c>
      <c r="C735" s="34">
        <f>IF(AND($A734&lt;&gt;"",'算罪台'!$B$4&lt;&gt;"",ISNUMBER(SEARCH($A734,'算罪台'!$B$4))),1,0)</f>
        <v/>
      </c>
      <c r="D735" s="34">
        <f>IF(AND($A734&lt;&gt;"",'算罪台'!$B$5&lt;&gt;"",ISNUMBER(SEARCH($A734,'算罪台'!$B$5))),1,0)</f>
        <v/>
      </c>
      <c r="E735" s="34">
        <f>IF(AND($A734&lt;&gt;"",'算罪台'!$B$6&lt;&gt;"",ISNUMBER(SEARCH($A734,'算罪台'!$B$6))),1,0)</f>
        <v/>
      </c>
    </row>
    <row r="736">
      <c r="A736" s="34" t="inlineStr">
        <is>
          <t>清除证据</t>
        </is>
      </c>
      <c r="B736" s="34" t="inlineStr">
        <is>
          <t>破坏证据罪</t>
        </is>
      </c>
      <c r="C736" s="34">
        <f>IF(AND($A735&lt;&gt;"",'算罪台'!$B$4&lt;&gt;"",ISNUMBER(SEARCH($A735,'算罪台'!$B$4))),1,0)</f>
        <v/>
      </c>
      <c r="D736" s="34">
        <f>IF(AND($A735&lt;&gt;"",'算罪台'!$B$5&lt;&gt;"",ISNUMBER(SEARCH($A735,'算罪台'!$B$5))),1,0)</f>
        <v/>
      </c>
      <c r="E736" s="34">
        <f>IF(AND($A735&lt;&gt;"",'算罪台'!$B$6&lt;&gt;"",ISNUMBER(SEARCH($A735,'算罪台'!$B$6))),1,0)</f>
        <v/>
      </c>
    </row>
    <row r="737">
      <c r="A737" s="34" t="inlineStr">
        <is>
          <t>破坏现场</t>
        </is>
      </c>
      <c r="B737" s="34" t="inlineStr">
        <is>
          <t>破坏证据罪</t>
        </is>
      </c>
      <c r="C737" s="34">
        <f>IF(AND($A736&lt;&gt;"",'算罪台'!$B$4&lt;&gt;"",ISNUMBER(SEARCH($A736,'算罪台'!$B$4))),1,0)</f>
        <v/>
      </c>
      <c r="D737" s="34">
        <f>IF(AND($A736&lt;&gt;"",'算罪台'!$B$5&lt;&gt;"",ISNUMBER(SEARCH($A736,'算罪台'!$B$5))),1,0)</f>
        <v/>
      </c>
      <c r="E737" s="34">
        <f>IF(AND($A736&lt;&gt;"",'算罪台'!$B$6&lt;&gt;"",ISNUMBER(SEARCH($A736,'算罪台'!$B$6))),1,0)</f>
        <v/>
      </c>
    </row>
    <row r="738">
      <c r="A738" s="34" t="inlineStr">
        <is>
          <t>湮灭证据</t>
        </is>
      </c>
      <c r="B738" s="34" t="inlineStr">
        <is>
          <t>破坏证据罪</t>
        </is>
      </c>
      <c r="C738" s="34">
        <f>IF(AND($A737&lt;&gt;"",'算罪台'!$B$4&lt;&gt;"",ISNUMBER(SEARCH($A737,'算罪台'!$B$4))),1,0)</f>
        <v/>
      </c>
      <c r="D738" s="34">
        <f>IF(AND($A737&lt;&gt;"",'算罪台'!$B$5&lt;&gt;"",ISNUMBER(SEARCH($A737,'算罪台'!$B$5))),1,0)</f>
        <v/>
      </c>
      <c r="E738" s="34">
        <f>IF(AND($A737&lt;&gt;"",'算罪台'!$B$6&lt;&gt;"",ISNUMBER(SEARCH($A737,'算罪台'!$B$6))),1,0)</f>
        <v/>
      </c>
    </row>
    <row r="739">
      <c r="A739" s="34" t="inlineStr">
        <is>
          <t>冒充政府</t>
        </is>
      </c>
      <c r="B739" s="34" t="inlineStr">
        <is>
          <t>冒充政府雇员罪</t>
        </is>
      </c>
      <c r="C739" s="34">
        <f>IF(AND($A738&lt;&gt;"",'算罪台'!$B$4&lt;&gt;"",ISNUMBER(SEARCH($A738,'算罪台'!$B$4))),1,0)</f>
        <v/>
      </c>
      <c r="D739" s="34">
        <f>IF(AND($A738&lt;&gt;"",'算罪台'!$B$5&lt;&gt;"",ISNUMBER(SEARCH($A738,'算罪台'!$B$5))),1,0)</f>
        <v/>
      </c>
      <c r="E739" s="34">
        <f>IF(AND($A738&lt;&gt;"",'算罪台'!$B$6&lt;&gt;"",ISNUMBER(SEARCH($A738,'算罪台'!$B$6))),1,0)</f>
        <v/>
      </c>
    </row>
    <row r="740">
      <c r="A740" s="34" t="inlineStr">
        <is>
          <t>冒充警察</t>
        </is>
      </c>
      <c r="B740" s="34" t="inlineStr">
        <is>
          <t>冒充政府雇员罪</t>
        </is>
      </c>
      <c r="C740" s="34">
        <f>IF(AND($A739&lt;&gt;"",'算罪台'!$B$4&lt;&gt;"",ISNUMBER(SEARCH($A739,'算罪台'!$B$4))),1,0)</f>
        <v/>
      </c>
      <c r="D740" s="34">
        <f>IF(AND($A739&lt;&gt;"",'算罪台'!$B$5&lt;&gt;"",ISNUMBER(SEARCH($A739,'算罪台'!$B$5))),1,0)</f>
        <v/>
      </c>
      <c r="E740" s="34">
        <f>IF(AND($A739&lt;&gt;"",'算罪台'!$B$6&lt;&gt;"",ISNUMBER(SEARCH($A739,'算罪台'!$B$6))),1,0)</f>
        <v/>
      </c>
    </row>
    <row r="741">
      <c r="A741" s="34" t="inlineStr">
        <is>
          <t>假冒警察</t>
        </is>
      </c>
      <c r="B741" s="34" t="inlineStr">
        <is>
          <t>冒充政府雇员罪</t>
        </is>
      </c>
      <c r="C741" s="34">
        <f>IF(AND($A740&lt;&gt;"",'算罪台'!$B$4&lt;&gt;"",ISNUMBER(SEARCH($A740,'算罪台'!$B$4))),1,0)</f>
        <v/>
      </c>
      <c r="D741" s="34">
        <f>IF(AND($A740&lt;&gt;"",'算罪台'!$B$5&lt;&gt;"",ISNUMBER(SEARCH($A740,'算罪台'!$B$5))),1,0)</f>
        <v/>
      </c>
      <c r="E741" s="34">
        <f>IF(AND($A740&lt;&gt;"",'算罪台'!$B$6&lt;&gt;"",ISNUMBER(SEARCH($A740,'算罪台'!$B$6))),1,0)</f>
        <v/>
      </c>
    </row>
    <row r="742">
      <c r="A742" s="34" t="inlineStr">
        <is>
          <t>冒充公职</t>
        </is>
      </c>
      <c r="B742" s="34" t="inlineStr">
        <is>
          <t>冒充政府雇员罪</t>
        </is>
      </c>
      <c r="C742" s="34">
        <f>IF(AND($A741&lt;&gt;"",'算罪台'!$B$4&lt;&gt;"",ISNUMBER(SEARCH($A741,'算罪台'!$B$4))),1,0)</f>
        <v/>
      </c>
      <c r="D742" s="34">
        <f>IF(AND($A741&lt;&gt;"",'算罪台'!$B$5&lt;&gt;"",ISNUMBER(SEARCH($A741,'算罪台'!$B$5))),1,0)</f>
        <v/>
      </c>
      <c r="E742" s="34">
        <f>IF(AND($A741&lt;&gt;"",'算罪台'!$B$6&lt;&gt;"",ISNUMBER(SEARCH($A741,'算罪台'!$B$6))),1,0)</f>
        <v/>
      </c>
    </row>
    <row r="743">
      <c r="A743" s="34" t="inlineStr">
        <is>
          <t>假扮警察</t>
        </is>
      </c>
      <c r="B743" s="34" t="inlineStr">
        <is>
          <t>冒充政府雇员罪</t>
        </is>
      </c>
      <c r="C743" s="34">
        <f>IF(AND($A742&lt;&gt;"",'算罪台'!$B$4&lt;&gt;"",ISNUMBER(SEARCH($A742,'算罪台'!$B$4))),1,0)</f>
        <v/>
      </c>
      <c r="D743" s="34">
        <f>IF(AND($A742&lt;&gt;"",'算罪台'!$B$5&lt;&gt;"",ISNUMBER(SEARCH($A742,'算罪台'!$B$5))),1,0)</f>
        <v/>
      </c>
      <c r="E743" s="34">
        <f>IF(AND($A742&lt;&gt;"",'算罪台'!$B$6&lt;&gt;"",ISNUMBER(SEARCH($A742,'算罪台'!$B$6))),1,0)</f>
        <v/>
      </c>
    </row>
    <row r="744">
      <c r="A744" s="34" t="inlineStr">
        <is>
          <t>假冒执法</t>
        </is>
      </c>
      <c r="B744" s="34" t="inlineStr">
        <is>
          <t>冒充政府雇员罪</t>
        </is>
      </c>
      <c r="C744" s="34">
        <f>IF(AND($A743&lt;&gt;"",'算罪台'!$B$4&lt;&gt;"",ISNUMBER(SEARCH($A743,'算罪台'!$B$4))),1,0)</f>
        <v/>
      </c>
      <c r="D744" s="34">
        <f>IF(AND($A743&lt;&gt;"",'算罪台'!$B$5&lt;&gt;"",ISNUMBER(SEARCH($A743,'算罪台'!$B$5))),1,0)</f>
        <v/>
      </c>
      <c r="E744" s="34">
        <f>IF(AND($A743&lt;&gt;"",'算罪台'!$B$6&lt;&gt;"",ISNUMBER(SEARCH($A743,'算罪台'!$B$6))),1,0)</f>
        <v/>
      </c>
    </row>
    <row r="745">
      <c r="A745" s="34" t="inlineStr">
        <is>
          <t>冒充公务员</t>
        </is>
      </c>
      <c r="B745" s="34" t="inlineStr">
        <is>
          <t>冒充政府雇员罪</t>
        </is>
      </c>
      <c r="C745" s="34">
        <f>IF(AND($A744&lt;&gt;"",'算罪台'!$B$4&lt;&gt;"",ISNUMBER(SEARCH($A744,'算罪台'!$B$4))),1,0)</f>
        <v/>
      </c>
      <c r="D745" s="34">
        <f>IF(AND($A744&lt;&gt;"",'算罪台'!$B$5&lt;&gt;"",ISNUMBER(SEARCH($A744,'算罪台'!$B$5))),1,0)</f>
        <v/>
      </c>
      <c r="E745" s="34">
        <f>IF(AND($A744&lt;&gt;"",'算罪台'!$B$6&lt;&gt;"",ISNUMBER(SEARCH($A744,'算罪台'!$B$6))),1,0)</f>
        <v/>
      </c>
    </row>
    <row r="746">
      <c r="A746" s="34" t="inlineStr">
        <is>
          <t>假警察</t>
        </is>
      </c>
      <c r="B746" s="34" t="inlineStr">
        <is>
          <t>冒充政府雇员罪</t>
        </is>
      </c>
      <c r="C746" s="34">
        <f>IF(AND($A745&lt;&gt;"",'算罪台'!$B$4&lt;&gt;"",ISNUMBER(SEARCH($A745,'算罪台'!$B$4))),1,0)</f>
        <v/>
      </c>
      <c r="D746" s="34">
        <f>IF(AND($A745&lt;&gt;"",'算罪台'!$B$5&lt;&gt;"",ISNUMBER(SEARCH($A745,'算罪台'!$B$5))),1,0)</f>
        <v/>
      </c>
      <c r="E746" s="34">
        <f>IF(AND($A745&lt;&gt;"",'算罪台'!$B$6&lt;&gt;"",ISNUMBER(SEARCH($A745,'算罪台'!$B$6))),1,0)</f>
        <v/>
      </c>
    </row>
    <row r="747">
      <c r="A747" s="34" t="inlineStr">
        <is>
          <t>假装警察</t>
        </is>
      </c>
      <c r="B747" s="34" t="inlineStr">
        <is>
          <t>冒充政府雇员罪</t>
        </is>
      </c>
      <c r="C747" s="34">
        <f>IF(AND($A746&lt;&gt;"",'算罪台'!$B$4&lt;&gt;"",ISNUMBER(SEARCH($A746,'算罪台'!$B$4))),1,0)</f>
        <v/>
      </c>
      <c r="D747" s="34">
        <f>IF(AND($A746&lt;&gt;"",'算罪台'!$B$5&lt;&gt;"",ISNUMBER(SEARCH($A746,'算罪台'!$B$5))),1,0)</f>
        <v/>
      </c>
      <c r="E747" s="34">
        <f>IF(AND($A746&lt;&gt;"",'算罪台'!$B$6&lt;&gt;"",ISNUMBER(SEARCH($A746,'算罪台'!$B$6))),1,0)</f>
        <v/>
      </c>
    </row>
    <row r="748">
      <c r="A748" s="34" t="inlineStr">
        <is>
          <t>扮警察</t>
        </is>
      </c>
      <c r="B748" s="34" t="inlineStr">
        <is>
          <t>冒充政府雇员罪</t>
        </is>
      </c>
      <c r="C748" s="34">
        <f>IF(AND($A747&lt;&gt;"",'算罪台'!$B$4&lt;&gt;"",ISNUMBER(SEARCH($A747,'算罪台'!$B$4))),1,0)</f>
        <v/>
      </c>
      <c r="D748" s="34">
        <f>IF(AND($A747&lt;&gt;"",'算罪台'!$B$5&lt;&gt;"",ISNUMBER(SEARCH($A747,'算罪台'!$B$5))),1,0)</f>
        <v/>
      </c>
      <c r="E748" s="34">
        <f>IF(AND($A747&lt;&gt;"",'算罪台'!$B$6&lt;&gt;"",ISNUMBER(SEARCH($A747,'算罪台'!$B$6))),1,0)</f>
        <v/>
      </c>
    </row>
    <row r="749">
      <c r="A749" s="34" t="inlineStr">
        <is>
          <t>假冒探员</t>
        </is>
      </c>
      <c r="B749" s="34" t="inlineStr">
        <is>
          <t>冒充政府雇员罪</t>
        </is>
      </c>
      <c r="C749" s="34">
        <f>IF(AND($A748&lt;&gt;"",'算罪台'!$B$4&lt;&gt;"",ISNUMBER(SEARCH($A748,'算罪台'!$B$4))),1,0)</f>
        <v/>
      </c>
      <c r="D749" s="34">
        <f>IF(AND($A748&lt;&gt;"",'算罪台'!$B$5&lt;&gt;"",ISNUMBER(SEARCH($A748,'算罪台'!$B$5))),1,0)</f>
        <v/>
      </c>
      <c r="E749" s="34">
        <f>IF(AND($A748&lt;&gt;"",'算罪台'!$B$6&lt;&gt;"",ISNUMBER(SEARCH($A748,'算罪台'!$B$6))),1,0)</f>
        <v/>
      </c>
    </row>
    <row r="750">
      <c r="A750" s="34" t="inlineStr">
        <is>
          <t>冒充政府人员</t>
        </is>
      </c>
      <c r="B750" s="34" t="inlineStr">
        <is>
          <t>冒充政府雇员罪</t>
        </is>
      </c>
      <c r="C750" s="34">
        <f>IF(AND($A749&lt;&gt;"",'算罪台'!$B$4&lt;&gt;"",ISNUMBER(SEARCH($A749,'算罪台'!$B$4))),1,0)</f>
        <v/>
      </c>
      <c r="D750" s="34">
        <f>IF(AND($A749&lt;&gt;"",'算罪台'!$B$5&lt;&gt;"",ISNUMBER(SEARCH($A749,'算罪台'!$B$5))),1,0)</f>
        <v/>
      </c>
      <c r="E750" s="34">
        <f>IF(AND($A749&lt;&gt;"",'算罪台'!$B$6&lt;&gt;"",ISNUMBER(SEARCH($A749,'算罪台'!$B$6))),1,0)</f>
        <v/>
      </c>
    </row>
    <row r="751">
      <c r="A751" s="34" t="inlineStr">
        <is>
          <t>假冒官员</t>
        </is>
      </c>
      <c r="B751" s="34" t="inlineStr">
        <is>
          <t>冒充政府雇员罪</t>
        </is>
      </c>
      <c r="C751" s="34">
        <f>IF(AND($A750&lt;&gt;"",'算罪台'!$B$4&lt;&gt;"",ISNUMBER(SEARCH($A750,'算罪台'!$B$4))),1,0)</f>
        <v/>
      </c>
      <c r="D751" s="34">
        <f>IF(AND($A750&lt;&gt;"",'算罪台'!$B$5&lt;&gt;"",ISNUMBER(SEARCH($A750,'算罪台'!$B$5))),1,0)</f>
        <v/>
      </c>
      <c r="E751" s="34">
        <f>IF(AND($A750&lt;&gt;"",'算罪台'!$B$6&lt;&gt;"",ISNUMBER(SEARCH($A750,'算罪台'!$B$6))),1,0)</f>
        <v/>
      </c>
    </row>
    <row r="752">
      <c r="A752" s="34" t="inlineStr">
        <is>
          <t>冒充执法人员</t>
        </is>
      </c>
      <c r="B752" s="34" t="inlineStr">
        <is>
          <t>冒充政府雇员罪</t>
        </is>
      </c>
      <c r="C752" s="34">
        <f>IF(AND($A751&lt;&gt;"",'算罪台'!$B$4&lt;&gt;"",ISNUMBER(SEARCH($A751,'算罪台'!$B$4))),1,0)</f>
        <v/>
      </c>
      <c r="D752" s="34">
        <f>IF(AND($A751&lt;&gt;"",'算罪台'!$B$5&lt;&gt;"",ISNUMBER(SEARCH($A751,'算罪台'!$B$5))),1,0)</f>
        <v/>
      </c>
      <c r="E752" s="34">
        <f>IF(AND($A751&lt;&gt;"",'算罪台'!$B$6&lt;&gt;"",ISNUMBER(SEARCH($A751,'算罪台'!$B$6))),1,0)</f>
        <v/>
      </c>
    </row>
    <row r="753">
      <c r="A753" s="34" t="inlineStr">
        <is>
          <t>假冒公职人员</t>
        </is>
      </c>
      <c r="B753" s="34" t="inlineStr">
        <is>
          <t>冒充政府雇员罪</t>
        </is>
      </c>
      <c r="C753" s="34">
        <f>IF(AND($A752&lt;&gt;"",'算罪台'!$B$4&lt;&gt;"",ISNUMBER(SEARCH($A752,'算罪台'!$B$4))),1,0)</f>
        <v/>
      </c>
      <c r="D753" s="34">
        <f>IF(AND($A752&lt;&gt;"",'算罪台'!$B$5&lt;&gt;"",ISNUMBER(SEARCH($A752,'算罪台'!$B$5))),1,0)</f>
        <v/>
      </c>
      <c r="E753" s="34">
        <f>IF(AND($A752&lt;&gt;"",'算罪台'!$B$6&lt;&gt;"",ISNUMBER(SEARCH($A752,'算罪台'!$B$6))),1,0)</f>
        <v/>
      </c>
    </row>
    <row r="754">
      <c r="A754" s="34" t="inlineStr">
        <is>
          <t>冒充官员</t>
        </is>
      </c>
      <c r="B754" s="34" t="inlineStr">
        <is>
          <t>冒充政府雇员罪</t>
        </is>
      </c>
      <c r="C754" s="34">
        <f>IF(AND($A753&lt;&gt;"",'算罪台'!$B$4&lt;&gt;"",ISNUMBER(SEARCH($A753,'算罪台'!$B$4))),1,0)</f>
        <v/>
      </c>
      <c r="D754" s="34">
        <f>IF(AND($A753&lt;&gt;"",'算罪台'!$B$5&lt;&gt;"",ISNUMBER(SEARCH($A753,'算罪台'!$B$5))),1,0)</f>
        <v/>
      </c>
      <c r="E754" s="34">
        <f>IF(AND($A753&lt;&gt;"",'算罪台'!$B$6&lt;&gt;"",ISNUMBER(SEARCH($A753,'算罪台'!$B$6))),1,0)</f>
        <v/>
      </c>
    </row>
    <row r="755">
      <c r="A755" s="34" t="inlineStr">
        <is>
          <t>伪装警察</t>
        </is>
      </c>
      <c r="B755" s="34" t="inlineStr">
        <is>
          <t>冒充政府雇员罪</t>
        </is>
      </c>
      <c r="C755" s="34">
        <f>IF(AND($A754&lt;&gt;"",'算罪台'!$B$4&lt;&gt;"",ISNUMBER(SEARCH($A754,'算罪台'!$B$4))),1,0)</f>
        <v/>
      </c>
      <c r="D755" s="34">
        <f>IF(AND($A754&lt;&gt;"",'算罪台'!$B$5&lt;&gt;"",ISNUMBER(SEARCH($A754,'算罪台'!$B$5))),1,0)</f>
        <v/>
      </c>
      <c r="E755" s="34">
        <f>IF(AND($A754&lt;&gt;"",'算罪台'!$B$6&lt;&gt;"",ISNUMBER(SEARCH($A754,'算罪台'!$B$6))),1,0)</f>
        <v/>
      </c>
    </row>
    <row r="756">
      <c r="A756" s="34" t="inlineStr">
        <is>
          <t>假冒警官</t>
        </is>
      </c>
      <c r="B756" s="34" t="inlineStr">
        <is>
          <t>冒充政府雇员罪</t>
        </is>
      </c>
      <c r="C756" s="34">
        <f>IF(AND($A755&lt;&gt;"",'算罪台'!$B$4&lt;&gt;"",ISNUMBER(SEARCH($A755,'算罪台'!$B$4))),1,0)</f>
        <v/>
      </c>
      <c r="D756" s="34">
        <f>IF(AND($A755&lt;&gt;"",'算罪台'!$B$5&lt;&gt;"",ISNUMBER(SEARCH($A755,'算罪台'!$B$5))),1,0)</f>
        <v/>
      </c>
      <c r="E756" s="34">
        <f>IF(AND($A755&lt;&gt;"",'算罪台'!$B$6&lt;&gt;"",ISNUMBER(SEARCH($A755,'算罪台'!$B$6))),1,0)</f>
        <v/>
      </c>
    </row>
    <row r="757">
      <c r="A757" s="34" t="inlineStr">
        <is>
          <t>冒充警员</t>
        </is>
      </c>
      <c r="B757" s="34" t="inlineStr">
        <is>
          <t>冒充政府雇员罪</t>
        </is>
      </c>
      <c r="C757" s="34">
        <f>IF(AND($A756&lt;&gt;"",'算罪台'!$B$4&lt;&gt;"",ISNUMBER(SEARCH($A756,'算罪台'!$B$4))),1,0)</f>
        <v/>
      </c>
      <c r="D757" s="34">
        <f>IF(AND($A756&lt;&gt;"",'算罪台'!$B$5&lt;&gt;"",ISNUMBER(SEARCH($A756,'算罪台'!$B$5))),1,0)</f>
        <v/>
      </c>
      <c r="E757" s="34">
        <f>IF(AND($A756&lt;&gt;"",'算罪台'!$B$6&lt;&gt;"",ISNUMBER(SEARCH($A756,'算罪台'!$B$6))),1,0)</f>
        <v/>
      </c>
    </row>
    <row r="758">
      <c r="A758" s="34" t="inlineStr">
        <is>
          <t>虚假逮捕</t>
        </is>
      </c>
      <c r="B758" s="34" t="inlineStr">
        <is>
          <t>虚假逮捕罪</t>
        </is>
      </c>
      <c r="C758" s="34">
        <f>IF(AND($A757&lt;&gt;"",'算罪台'!$B$4&lt;&gt;"",ISNUMBER(SEARCH($A757,'算罪台'!$B$4))),1,0)</f>
        <v/>
      </c>
      <c r="D758" s="34">
        <f>IF(AND($A757&lt;&gt;"",'算罪台'!$B$5&lt;&gt;"",ISNUMBER(SEARCH($A757,'算罪台'!$B$5))),1,0)</f>
        <v/>
      </c>
      <c r="E758" s="34">
        <f>IF(AND($A757&lt;&gt;"",'算罪台'!$B$6&lt;&gt;"",ISNUMBER(SEARCH($A757,'算罪台'!$B$6))),1,0)</f>
        <v/>
      </c>
    </row>
    <row r="759">
      <c r="A759" s="34" t="inlineStr">
        <is>
          <t>非法逮捕</t>
        </is>
      </c>
      <c r="B759" s="34" t="inlineStr">
        <is>
          <t>虚假逮捕罪</t>
        </is>
      </c>
      <c r="C759" s="34">
        <f>IF(AND($A758&lt;&gt;"",'算罪台'!$B$4&lt;&gt;"",ISNUMBER(SEARCH($A758,'算罪台'!$B$4))),1,0)</f>
        <v/>
      </c>
      <c r="D759" s="34">
        <f>IF(AND($A758&lt;&gt;"",'算罪台'!$B$5&lt;&gt;"",ISNUMBER(SEARCH($A758,'算罪台'!$B$5))),1,0)</f>
        <v/>
      </c>
      <c r="E759" s="34">
        <f>IF(AND($A758&lt;&gt;"",'算罪台'!$B$6&lt;&gt;"",ISNUMBER(SEARCH($A758,'算罪台'!$B$6))),1,0)</f>
        <v/>
      </c>
    </row>
    <row r="760">
      <c r="A760" s="34" t="inlineStr">
        <is>
          <t>非法扣押</t>
        </is>
      </c>
      <c r="B760" s="34" t="inlineStr">
        <is>
          <t>虚假逮捕罪</t>
        </is>
      </c>
      <c r="C760" s="34">
        <f>IF(AND($A759&lt;&gt;"",'算罪台'!$B$4&lt;&gt;"",ISNUMBER(SEARCH($A759,'算罪台'!$B$4))),1,0)</f>
        <v/>
      </c>
      <c r="D760" s="34">
        <f>IF(AND($A759&lt;&gt;"",'算罪台'!$B$5&lt;&gt;"",ISNUMBER(SEARCH($A759,'算罪台'!$B$5))),1,0)</f>
        <v/>
      </c>
      <c r="E760" s="34">
        <f>IF(AND($A759&lt;&gt;"",'算罪台'!$B$6&lt;&gt;"",ISNUMBER(SEARCH($A759,'算罪台'!$B$6))),1,0)</f>
        <v/>
      </c>
    </row>
    <row r="761">
      <c r="A761" s="34" t="inlineStr">
        <is>
          <t>无依据逮捕</t>
        </is>
      </c>
      <c r="B761" s="34" t="inlineStr">
        <is>
          <t>虚假逮捕罪</t>
        </is>
      </c>
      <c r="C761" s="34">
        <f>IF(AND($A760&lt;&gt;"",'算罪台'!$B$4&lt;&gt;"",ISNUMBER(SEARCH($A760,'算罪台'!$B$4))),1,0)</f>
        <v/>
      </c>
      <c r="D761" s="34">
        <f>IF(AND($A760&lt;&gt;"",'算罪台'!$B$5&lt;&gt;"",ISNUMBER(SEARCH($A760,'算罪台'!$B$5))),1,0)</f>
        <v/>
      </c>
      <c r="E761" s="34">
        <f>IF(AND($A760&lt;&gt;"",'算罪台'!$B$6&lt;&gt;"",ISNUMBER(SEARCH($A760,'算罪台'!$B$6))),1,0)</f>
        <v/>
      </c>
    </row>
    <row r="762">
      <c r="A762" s="34" t="inlineStr">
        <is>
          <t>乱抓人</t>
        </is>
      </c>
      <c r="B762" s="34" t="inlineStr">
        <is>
          <t>虚假逮捕罪</t>
        </is>
      </c>
      <c r="C762" s="34">
        <f>IF(AND($A761&lt;&gt;"",'算罪台'!$B$4&lt;&gt;"",ISNUMBER(SEARCH($A761,'算罪台'!$B$4))),1,0)</f>
        <v/>
      </c>
      <c r="D762" s="34">
        <f>IF(AND($A761&lt;&gt;"",'算罪台'!$B$5&lt;&gt;"",ISNUMBER(SEARCH($A761,'算罪台'!$B$5))),1,0)</f>
        <v/>
      </c>
      <c r="E762" s="34">
        <f>IF(AND($A761&lt;&gt;"",'算罪台'!$B$6&lt;&gt;"",ISNUMBER(SEARCH($A761,'算罪台'!$B$6))),1,0)</f>
        <v/>
      </c>
    </row>
    <row r="763">
      <c r="A763" s="34" t="inlineStr">
        <is>
          <t>无故逮捕</t>
        </is>
      </c>
      <c r="B763" s="34" t="inlineStr">
        <is>
          <t>虚假逮捕罪</t>
        </is>
      </c>
      <c r="C763" s="34">
        <f>IF(AND($A762&lt;&gt;"",'算罪台'!$B$4&lt;&gt;"",ISNUMBER(SEARCH($A762,'算罪台'!$B$4))),1,0)</f>
        <v/>
      </c>
      <c r="D763" s="34">
        <f>IF(AND($A762&lt;&gt;"",'算罪台'!$B$5&lt;&gt;"",ISNUMBER(SEARCH($A762,'算罪台'!$B$5))),1,0)</f>
        <v/>
      </c>
      <c r="E763" s="34">
        <f>IF(AND($A762&lt;&gt;"",'算罪台'!$B$6&lt;&gt;"",ISNUMBER(SEARCH($A762,'算罪台'!$B$6))),1,0)</f>
        <v/>
      </c>
    </row>
    <row r="764">
      <c r="A764" s="34" t="inlineStr">
        <is>
          <t>违规抓人</t>
        </is>
      </c>
      <c r="B764" s="34" t="inlineStr">
        <is>
          <t>虚假逮捕罪</t>
        </is>
      </c>
      <c r="C764" s="34">
        <f>IF(AND($A763&lt;&gt;"",'算罪台'!$B$4&lt;&gt;"",ISNUMBER(SEARCH($A763,'算罪台'!$B$4))),1,0)</f>
        <v/>
      </c>
      <c r="D764" s="34">
        <f>IF(AND($A763&lt;&gt;"",'算罪台'!$B$5&lt;&gt;"",ISNUMBER(SEARCH($A763,'算罪台'!$B$5))),1,0)</f>
        <v/>
      </c>
      <c r="E764" s="34">
        <f>IF(AND($A763&lt;&gt;"",'算罪台'!$B$6&lt;&gt;"",ISNUMBER(SEARCH($A763,'算罪台'!$B$6))),1,0)</f>
        <v/>
      </c>
    </row>
    <row r="765">
      <c r="A765" s="34" t="inlineStr">
        <is>
          <t>栽赃抓人</t>
        </is>
      </c>
      <c r="B765" s="34" t="inlineStr">
        <is>
          <t>虚假逮捕罪</t>
        </is>
      </c>
      <c r="C765" s="34">
        <f>IF(AND($A764&lt;&gt;"",'算罪台'!$B$4&lt;&gt;"",ISNUMBER(SEARCH($A764,'算罪台'!$B$4))),1,0)</f>
        <v/>
      </c>
      <c r="D765" s="34">
        <f>IF(AND($A764&lt;&gt;"",'算罪台'!$B$5&lt;&gt;"",ISNUMBER(SEARCH($A764,'算罪台'!$B$5))),1,0)</f>
        <v/>
      </c>
      <c r="E765" s="34">
        <f>IF(AND($A764&lt;&gt;"",'算罪台'!$B$6&lt;&gt;"",ISNUMBER(SEARCH($A764,'算罪台'!$B$6))),1,0)</f>
        <v/>
      </c>
    </row>
    <row r="766">
      <c r="A766" s="34" t="inlineStr">
        <is>
          <t>无证据逮捕</t>
        </is>
      </c>
      <c r="B766" s="34" t="inlineStr">
        <is>
          <t>虚假逮捕罪</t>
        </is>
      </c>
      <c r="C766" s="34">
        <f>IF(AND($A765&lt;&gt;"",'算罪台'!$B$4&lt;&gt;"",ISNUMBER(SEARCH($A765,'算罪台'!$B$4))),1,0)</f>
        <v/>
      </c>
      <c r="D766" s="34">
        <f>IF(AND($A765&lt;&gt;"",'算罪台'!$B$5&lt;&gt;"",ISNUMBER(SEARCH($A765,'算罪台'!$B$5))),1,0)</f>
        <v/>
      </c>
      <c r="E766" s="34">
        <f>IF(AND($A765&lt;&gt;"",'算罪台'!$B$6&lt;&gt;"",ISNUMBER(SEARCH($A765,'算罪台'!$B$6))),1,0)</f>
        <v/>
      </c>
    </row>
    <row r="767">
      <c r="A767" s="34" t="inlineStr">
        <is>
          <t>非法拘捕</t>
        </is>
      </c>
      <c r="B767" s="34" t="inlineStr">
        <is>
          <t>虚假逮捕罪</t>
        </is>
      </c>
      <c r="C767" s="34">
        <f>IF(AND($A766&lt;&gt;"",'算罪台'!$B$4&lt;&gt;"",ISNUMBER(SEARCH($A766,'算罪台'!$B$4))),1,0)</f>
        <v/>
      </c>
      <c r="D767" s="34">
        <f>IF(AND($A766&lt;&gt;"",'算罪台'!$B$5&lt;&gt;"",ISNUMBER(SEARCH($A766,'算罪台'!$B$5))),1,0)</f>
        <v/>
      </c>
      <c r="E767" s="34">
        <f>IF(AND($A766&lt;&gt;"",'算罪台'!$B$6&lt;&gt;"",ISNUMBER(SEARCH($A766,'算罪台'!$B$6))),1,0)</f>
        <v/>
      </c>
    </row>
    <row r="768">
      <c r="A768" s="34" t="inlineStr">
        <is>
          <t>违法逮捕</t>
        </is>
      </c>
      <c r="B768" s="34" t="inlineStr">
        <is>
          <t>虚假逮捕罪</t>
        </is>
      </c>
      <c r="C768" s="34">
        <f>IF(AND($A767&lt;&gt;"",'算罪台'!$B$4&lt;&gt;"",ISNUMBER(SEARCH($A767,'算罪台'!$B$4))),1,0)</f>
        <v/>
      </c>
      <c r="D768" s="34">
        <f>IF(AND($A767&lt;&gt;"",'算罪台'!$B$5&lt;&gt;"",ISNUMBER(SEARCH($A767,'算罪台'!$B$5))),1,0)</f>
        <v/>
      </c>
      <c r="E768" s="34">
        <f>IF(AND($A767&lt;&gt;"",'算罪台'!$B$6&lt;&gt;"",ISNUMBER(SEARCH($A767,'算罪台'!$B$6))),1,0)</f>
        <v/>
      </c>
    </row>
    <row r="769">
      <c r="A769" s="34" t="inlineStr">
        <is>
          <t>无理逮捕</t>
        </is>
      </c>
      <c r="B769" s="34" t="inlineStr">
        <is>
          <t>虚假逮捕罪</t>
        </is>
      </c>
      <c r="C769" s="34">
        <f>IF(AND($A768&lt;&gt;"",'算罪台'!$B$4&lt;&gt;"",ISNUMBER(SEARCH($A768,'算罪台'!$B$4))),1,0)</f>
        <v/>
      </c>
      <c r="D769" s="34">
        <f>IF(AND($A768&lt;&gt;"",'算罪台'!$B$5&lt;&gt;"",ISNUMBER(SEARCH($A768,'算罪台'!$B$5))),1,0)</f>
        <v/>
      </c>
      <c r="E769" s="34">
        <f>IF(AND($A768&lt;&gt;"",'算罪台'!$B$6&lt;&gt;"",ISNUMBER(SEARCH($A768,'算罪台'!$B$6))),1,0)</f>
        <v/>
      </c>
    </row>
    <row r="770">
      <c r="A770" s="34" t="inlineStr">
        <is>
          <t>滥用逮捕</t>
        </is>
      </c>
      <c r="B770" s="34" t="inlineStr">
        <is>
          <t>虚假逮捕罪</t>
        </is>
      </c>
      <c r="C770" s="34">
        <f>IF(AND($A769&lt;&gt;"",'算罪台'!$B$4&lt;&gt;"",ISNUMBER(SEARCH($A769,'算罪台'!$B$4))),1,0)</f>
        <v/>
      </c>
      <c r="D770" s="34">
        <f>IF(AND($A769&lt;&gt;"",'算罪台'!$B$5&lt;&gt;"",ISNUMBER(SEARCH($A769,'算罪台'!$B$5))),1,0)</f>
        <v/>
      </c>
      <c r="E770" s="34">
        <f>IF(AND($A769&lt;&gt;"",'算罪台'!$B$6&lt;&gt;"",ISNUMBER(SEARCH($A769,'算罪台'!$B$6))),1,0)</f>
        <v/>
      </c>
    </row>
    <row r="771">
      <c r="A771" s="34" t="inlineStr">
        <is>
          <t>伪证</t>
        </is>
      </c>
      <c r="B771" s="34" t="inlineStr">
        <is>
          <t>伪证罪</t>
        </is>
      </c>
      <c r="C771" s="34">
        <f>IF(AND($A770&lt;&gt;"",'算罪台'!$B$4&lt;&gt;"",ISNUMBER(SEARCH($A770,'算罪台'!$B$4))),1,0)</f>
        <v/>
      </c>
      <c r="D771" s="34">
        <f>IF(AND($A770&lt;&gt;"",'算罪台'!$B$5&lt;&gt;"",ISNUMBER(SEARCH($A770,'算罪台'!$B$5))),1,0)</f>
        <v/>
      </c>
      <c r="E771" s="34">
        <f>IF(AND($A770&lt;&gt;"",'算罪台'!$B$6&lt;&gt;"",ISNUMBER(SEARCH($A770,'算罪台'!$B$6))),1,0)</f>
        <v/>
      </c>
    </row>
    <row r="772">
      <c r="A772" s="34" t="inlineStr">
        <is>
          <t>作伪证</t>
        </is>
      </c>
      <c r="B772" s="34" t="inlineStr">
        <is>
          <t>伪证罪</t>
        </is>
      </c>
      <c r="C772" s="34">
        <f>IF(AND($A771&lt;&gt;"",'算罪台'!$B$4&lt;&gt;"",ISNUMBER(SEARCH($A771,'算罪台'!$B$4))),1,0)</f>
        <v/>
      </c>
      <c r="D772" s="34">
        <f>IF(AND($A771&lt;&gt;"",'算罪台'!$B$5&lt;&gt;"",ISNUMBER(SEARCH($A771,'算罪台'!$B$5))),1,0)</f>
        <v/>
      </c>
      <c r="E772" s="34">
        <f>IF(AND($A771&lt;&gt;"",'算罪台'!$B$6&lt;&gt;"",ISNUMBER(SEARCH($A771,'算罪台'!$B$6))),1,0)</f>
        <v/>
      </c>
    </row>
    <row r="773">
      <c r="A773" s="34" t="inlineStr">
        <is>
          <t>虚假证言</t>
        </is>
      </c>
      <c r="B773" s="34" t="inlineStr">
        <is>
          <t>伪证罪</t>
        </is>
      </c>
      <c r="C773" s="34">
        <f>IF(AND($A772&lt;&gt;"",'算罪台'!$B$4&lt;&gt;"",ISNUMBER(SEARCH($A772,'算罪台'!$B$4))),1,0)</f>
        <v/>
      </c>
      <c r="D773" s="34">
        <f>IF(AND($A772&lt;&gt;"",'算罪台'!$B$5&lt;&gt;"",ISNUMBER(SEARCH($A772,'算罪台'!$B$5))),1,0)</f>
        <v/>
      </c>
      <c r="E773" s="34">
        <f>IF(AND($A772&lt;&gt;"",'算罪台'!$B$6&lt;&gt;"",ISNUMBER(SEARCH($A772,'算罪台'!$B$6))),1,0)</f>
        <v/>
      </c>
    </row>
    <row r="774">
      <c r="A774" s="34" t="inlineStr">
        <is>
          <t>假证供</t>
        </is>
      </c>
      <c r="B774" s="34" t="inlineStr">
        <is>
          <t>伪证罪</t>
        </is>
      </c>
      <c r="C774" s="34">
        <f>IF(AND($A773&lt;&gt;"",'算罪台'!$B$4&lt;&gt;"",ISNUMBER(SEARCH($A773,'算罪台'!$B$4))),1,0)</f>
        <v/>
      </c>
      <c r="D774" s="34">
        <f>IF(AND($A773&lt;&gt;"",'算罪台'!$B$5&lt;&gt;"",ISNUMBER(SEARCH($A773,'算罪台'!$B$5))),1,0)</f>
        <v/>
      </c>
      <c r="E774" s="34">
        <f>IF(AND($A773&lt;&gt;"",'算罪台'!$B$6&lt;&gt;"",ISNUMBER(SEARCH($A773,'算罪台'!$B$6))),1,0)</f>
        <v/>
      </c>
    </row>
    <row r="775">
      <c r="A775" s="34" t="inlineStr">
        <is>
          <t>提供假证</t>
        </is>
      </c>
      <c r="B775" s="34" t="inlineStr">
        <is>
          <t>伪证罪</t>
        </is>
      </c>
      <c r="C775" s="34">
        <f>IF(AND($A774&lt;&gt;"",'算罪台'!$B$4&lt;&gt;"",ISNUMBER(SEARCH($A774,'算罪台'!$B$4))),1,0)</f>
        <v/>
      </c>
      <c r="D775" s="34">
        <f>IF(AND($A774&lt;&gt;"",'算罪台'!$B$5&lt;&gt;"",ISNUMBER(SEARCH($A774,'算罪台'!$B$5))),1,0)</f>
        <v/>
      </c>
      <c r="E775" s="34">
        <f>IF(AND($A774&lt;&gt;"",'算罪台'!$B$6&lt;&gt;"",ISNUMBER(SEARCH($A774,'算罪台'!$B$6))),1,0)</f>
        <v/>
      </c>
    </row>
    <row r="776">
      <c r="A776" s="34" t="inlineStr">
        <is>
          <t>撒谎作证</t>
        </is>
      </c>
      <c r="B776" s="34" t="inlineStr">
        <is>
          <t>伪证罪</t>
        </is>
      </c>
      <c r="C776" s="34">
        <f>IF(AND($A775&lt;&gt;"",'算罪台'!$B$4&lt;&gt;"",ISNUMBER(SEARCH($A775,'算罪台'!$B$4))),1,0)</f>
        <v/>
      </c>
      <c r="D776" s="34">
        <f>IF(AND($A775&lt;&gt;"",'算罪台'!$B$5&lt;&gt;"",ISNUMBER(SEARCH($A775,'算罪台'!$B$5))),1,0)</f>
        <v/>
      </c>
      <c r="E776" s="34">
        <f>IF(AND($A775&lt;&gt;"",'算罪台'!$B$6&lt;&gt;"",ISNUMBER(SEARCH($A775,'算罪台'!$B$6))),1,0)</f>
        <v/>
      </c>
    </row>
    <row r="777">
      <c r="A777" s="34" t="inlineStr">
        <is>
          <t>提供伪证</t>
        </is>
      </c>
      <c r="B777" s="34" t="inlineStr">
        <is>
          <t>伪证罪</t>
        </is>
      </c>
      <c r="C777" s="34">
        <f>IF(AND($A776&lt;&gt;"",'算罪台'!$B$4&lt;&gt;"",ISNUMBER(SEARCH($A776,'算罪台'!$B$4))),1,0)</f>
        <v/>
      </c>
      <c r="D777" s="34">
        <f>IF(AND($A776&lt;&gt;"",'算罪台'!$B$5&lt;&gt;"",ISNUMBER(SEARCH($A776,'算罪台'!$B$5))),1,0)</f>
        <v/>
      </c>
      <c r="E777" s="34">
        <f>IF(AND($A776&lt;&gt;"",'算罪台'!$B$6&lt;&gt;"",ISNUMBER(SEARCH($A776,'算罪台'!$B$6))),1,0)</f>
        <v/>
      </c>
    </row>
    <row r="778">
      <c r="A778" s="34" t="inlineStr">
        <is>
          <t>假口供</t>
        </is>
      </c>
      <c r="B778" s="34" t="inlineStr">
        <is>
          <t>伪证罪</t>
        </is>
      </c>
      <c r="C778" s="34">
        <f>IF(AND($A777&lt;&gt;"",'算罪台'!$B$4&lt;&gt;"",ISNUMBER(SEARCH($A777,'算罪台'!$B$4))),1,0)</f>
        <v/>
      </c>
      <c r="D778" s="34">
        <f>IF(AND($A777&lt;&gt;"",'算罪台'!$B$5&lt;&gt;"",ISNUMBER(SEARCH($A777,'算罪台'!$B$5))),1,0)</f>
        <v/>
      </c>
      <c r="E778" s="34">
        <f>IF(AND($A777&lt;&gt;"",'算罪台'!$B$6&lt;&gt;"",ISNUMBER(SEARCH($A777,'算罪台'!$B$6))),1,0)</f>
        <v/>
      </c>
    </row>
    <row r="779">
      <c r="A779" s="34" t="inlineStr">
        <is>
          <t>作假证</t>
        </is>
      </c>
      <c r="B779" s="34" t="inlineStr">
        <is>
          <t>伪证罪</t>
        </is>
      </c>
      <c r="C779" s="34">
        <f>IF(AND($A778&lt;&gt;"",'算罪台'!$B$4&lt;&gt;"",ISNUMBER(SEARCH($A778,'算罪台'!$B$4))),1,0)</f>
        <v/>
      </c>
      <c r="D779" s="34">
        <f>IF(AND($A778&lt;&gt;"",'算罪台'!$B$5&lt;&gt;"",ISNUMBER(SEARCH($A778,'算罪台'!$B$5))),1,0)</f>
        <v/>
      </c>
      <c r="E779" s="34">
        <f>IF(AND($A778&lt;&gt;"",'算罪台'!$B$6&lt;&gt;"",ISNUMBER(SEARCH($A778,'算罪台'!$B$6))),1,0)</f>
        <v/>
      </c>
    </row>
    <row r="780">
      <c r="A780" s="34" t="inlineStr">
        <is>
          <t>虚假作证</t>
        </is>
      </c>
      <c r="B780" s="34" t="inlineStr">
        <is>
          <t>伪证罪</t>
        </is>
      </c>
      <c r="C780" s="34">
        <f>IF(AND($A779&lt;&gt;"",'算罪台'!$B$4&lt;&gt;"",ISNUMBER(SEARCH($A779,'算罪台'!$B$4))),1,0)</f>
        <v/>
      </c>
      <c r="D780" s="34">
        <f>IF(AND($A779&lt;&gt;"",'算罪台'!$B$5&lt;&gt;"",ISNUMBER(SEARCH($A779,'算罪台'!$B$5))),1,0)</f>
        <v/>
      </c>
      <c r="E780" s="34">
        <f>IF(AND($A779&lt;&gt;"",'算罪台'!$B$6&lt;&gt;"",ISNUMBER(SEARCH($A779,'算罪台'!$B$6))),1,0)</f>
        <v/>
      </c>
    </row>
    <row r="781">
      <c r="A781" s="34" t="inlineStr">
        <is>
          <t>做伪证</t>
        </is>
      </c>
      <c r="B781" s="34" t="inlineStr">
        <is>
          <t>伪证罪</t>
        </is>
      </c>
      <c r="C781" s="34">
        <f>IF(AND($A780&lt;&gt;"",'算罪台'!$B$4&lt;&gt;"",ISNUMBER(SEARCH($A780,'算罪台'!$B$4))),1,0)</f>
        <v/>
      </c>
      <c r="D781" s="34">
        <f>IF(AND($A780&lt;&gt;"",'算罪台'!$B$5&lt;&gt;"",ISNUMBER(SEARCH($A780,'算罪台'!$B$5))),1,0)</f>
        <v/>
      </c>
      <c r="E781" s="34">
        <f>IF(AND($A780&lt;&gt;"",'算罪台'!$B$6&lt;&gt;"",ISNUMBER(SEARCH($A780,'算罪台'!$B$6))),1,0)</f>
        <v/>
      </c>
    </row>
    <row r="782">
      <c r="A782" s="34" t="inlineStr">
        <is>
          <t>假证词</t>
        </is>
      </c>
      <c r="B782" s="34" t="inlineStr">
        <is>
          <t>伪证罪</t>
        </is>
      </c>
      <c r="C782" s="34">
        <f>IF(AND($A781&lt;&gt;"",'算罪台'!$B$4&lt;&gt;"",ISNUMBER(SEARCH($A781,'算罪台'!$B$4))),1,0)</f>
        <v/>
      </c>
      <c r="D782" s="34">
        <f>IF(AND($A781&lt;&gt;"",'算罪台'!$B$5&lt;&gt;"",ISNUMBER(SEARCH($A781,'算罪台'!$B$5))),1,0)</f>
        <v/>
      </c>
      <c r="E782" s="34">
        <f>IF(AND($A781&lt;&gt;"",'算罪台'!$B$6&lt;&gt;"",ISNUMBER(SEARCH($A781,'算罪台'!$B$6))),1,0)</f>
        <v/>
      </c>
    </row>
    <row r="783">
      <c r="A783" s="34" t="inlineStr">
        <is>
          <t>伪造证言</t>
        </is>
      </c>
      <c r="B783" s="34" t="inlineStr">
        <is>
          <t>伪证罪</t>
        </is>
      </c>
      <c r="C783" s="34">
        <f>IF(AND($A782&lt;&gt;"",'算罪台'!$B$4&lt;&gt;"",ISNUMBER(SEARCH($A782,'算罪台'!$B$4))),1,0)</f>
        <v/>
      </c>
      <c r="D783" s="34">
        <f>IF(AND($A782&lt;&gt;"",'算罪台'!$B$5&lt;&gt;"",ISNUMBER(SEARCH($A782,'算罪台'!$B$5))),1,0)</f>
        <v/>
      </c>
      <c r="E783" s="34">
        <f>IF(AND($A782&lt;&gt;"",'算罪台'!$B$6&lt;&gt;"",ISNUMBER(SEARCH($A782,'算罪台'!$B$6))),1,0)</f>
        <v/>
      </c>
    </row>
    <row r="784">
      <c r="A784" s="34" t="inlineStr">
        <is>
          <t>冒充律师</t>
        </is>
      </c>
      <c r="B784" s="34" t="inlineStr">
        <is>
          <t>冒充律师罪</t>
        </is>
      </c>
      <c r="C784" s="34">
        <f>IF(AND($A783&lt;&gt;"",'算罪台'!$B$4&lt;&gt;"",ISNUMBER(SEARCH($A783,'算罪台'!$B$4))),1,0)</f>
        <v/>
      </c>
      <c r="D784" s="34">
        <f>IF(AND($A783&lt;&gt;"",'算罪台'!$B$5&lt;&gt;"",ISNUMBER(SEARCH($A783,'算罪台'!$B$5))),1,0)</f>
        <v/>
      </c>
      <c r="E784" s="34">
        <f>IF(AND($A783&lt;&gt;"",'算罪台'!$B$6&lt;&gt;"",ISNUMBER(SEARCH($A783,'算罪台'!$B$6))),1,0)</f>
        <v/>
      </c>
    </row>
    <row r="785">
      <c r="A785" s="34" t="inlineStr">
        <is>
          <t>假冒律师</t>
        </is>
      </c>
      <c r="B785" s="34" t="inlineStr">
        <is>
          <t>冒充律师罪</t>
        </is>
      </c>
      <c r="C785" s="34">
        <f>IF(AND($A784&lt;&gt;"",'算罪台'!$B$4&lt;&gt;"",ISNUMBER(SEARCH($A784,'算罪台'!$B$4))),1,0)</f>
        <v/>
      </c>
      <c r="D785" s="34">
        <f>IF(AND($A784&lt;&gt;"",'算罪台'!$B$5&lt;&gt;"",ISNUMBER(SEARCH($A784,'算罪台'!$B$5))),1,0)</f>
        <v/>
      </c>
      <c r="E785" s="34">
        <f>IF(AND($A784&lt;&gt;"",'算罪台'!$B$6&lt;&gt;"",ISNUMBER(SEARCH($A784,'算罪台'!$B$6))),1,0)</f>
        <v/>
      </c>
    </row>
    <row r="786">
      <c r="A786" s="34" t="inlineStr">
        <is>
          <t>假扮律师</t>
        </is>
      </c>
      <c r="B786" s="34" t="inlineStr">
        <is>
          <t>冒充律师罪</t>
        </is>
      </c>
      <c r="C786" s="34">
        <f>IF(AND($A785&lt;&gt;"",'算罪台'!$B$4&lt;&gt;"",ISNUMBER(SEARCH($A785,'算罪台'!$B$4))),1,0)</f>
        <v/>
      </c>
      <c r="D786" s="34">
        <f>IF(AND($A785&lt;&gt;"",'算罪台'!$B$5&lt;&gt;"",ISNUMBER(SEARCH($A785,'算罪台'!$B$5))),1,0)</f>
        <v/>
      </c>
      <c r="E786" s="34">
        <f>IF(AND($A785&lt;&gt;"",'算罪台'!$B$6&lt;&gt;"",ISNUMBER(SEARCH($A785,'算罪台'!$B$6))),1,0)</f>
        <v/>
      </c>
    </row>
    <row r="787">
      <c r="A787" s="34" t="inlineStr">
        <is>
          <t>假装律师</t>
        </is>
      </c>
      <c r="B787" s="34" t="inlineStr">
        <is>
          <t>冒充律师罪</t>
        </is>
      </c>
      <c r="C787" s="34">
        <f>IF(AND($A786&lt;&gt;"",'算罪台'!$B$4&lt;&gt;"",ISNUMBER(SEARCH($A786,'算罪台'!$B$4))),1,0)</f>
        <v/>
      </c>
      <c r="D787" s="34">
        <f>IF(AND($A786&lt;&gt;"",'算罪台'!$B$5&lt;&gt;"",ISNUMBER(SEARCH($A786,'算罪台'!$B$5))),1,0)</f>
        <v/>
      </c>
      <c r="E787" s="34">
        <f>IF(AND($A786&lt;&gt;"",'算罪台'!$B$6&lt;&gt;"",ISNUMBER(SEARCH($A786,'算罪台'!$B$6))),1,0)</f>
        <v/>
      </c>
    </row>
    <row r="788">
      <c r="A788" s="34" t="inlineStr">
        <is>
          <t>冒牌律师</t>
        </is>
      </c>
      <c r="B788" s="34" t="inlineStr">
        <is>
          <t>冒充律师罪</t>
        </is>
      </c>
      <c r="C788" s="34">
        <f>IF(AND($A787&lt;&gt;"",'算罪台'!$B$4&lt;&gt;"",ISNUMBER(SEARCH($A787,'算罪台'!$B$4))),1,0)</f>
        <v/>
      </c>
      <c r="D788" s="34">
        <f>IF(AND($A787&lt;&gt;"",'算罪台'!$B$5&lt;&gt;"",ISNUMBER(SEARCH($A787,'算罪台'!$B$5))),1,0)</f>
        <v/>
      </c>
      <c r="E788" s="34">
        <f>IF(AND($A787&lt;&gt;"",'算罪台'!$B$6&lt;&gt;"",ISNUMBER(SEARCH($A787,'算罪台'!$B$6))),1,0)</f>
        <v/>
      </c>
    </row>
    <row r="789">
      <c r="A789" s="34" t="inlineStr">
        <is>
          <t>冒充律师身份</t>
        </is>
      </c>
      <c r="B789" s="34" t="inlineStr">
        <is>
          <t>冒充律师罪</t>
        </is>
      </c>
      <c r="C789" s="34">
        <f>IF(AND($A788&lt;&gt;"",'算罪台'!$B$4&lt;&gt;"",ISNUMBER(SEARCH($A788,'算罪台'!$B$4))),1,0)</f>
        <v/>
      </c>
      <c r="D789" s="34">
        <f>IF(AND($A788&lt;&gt;"",'算罪台'!$B$5&lt;&gt;"",ISNUMBER(SEARCH($A788,'算罪台'!$B$5))),1,0)</f>
        <v/>
      </c>
      <c r="E789" s="34">
        <f>IF(AND($A788&lt;&gt;"",'算罪台'!$B$6&lt;&gt;"",ISNUMBER(SEARCH($A788,'算罪台'!$B$6))),1,0)</f>
        <v/>
      </c>
    </row>
    <row r="790">
      <c r="A790" s="34" t="inlineStr">
        <is>
          <t>无证当律师</t>
        </is>
      </c>
      <c r="B790" s="34" t="inlineStr">
        <is>
          <t>冒充律师罪</t>
        </is>
      </c>
      <c r="C790" s="34">
        <f>IF(AND($A789&lt;&gt;"",'算罪台'!$B$4&lt;&gt;"",ISNUMBER(SEARCH($A789,'算罪台'!$B$4))),1,0)</f>
        <v/>
      </c>
      <c r="D790" s="34">
        <f>IF(AND($A789&lt;&gt;"",'算罪台'!$B$5&lt;&gt;"",ISNUMBER(SEARCH($A789,'算罪台'!$B$5))),1,0)</f>
        <v/>
      </c>
      <c r="E790" s="34">
        <f>IF(AND($A789&lt;&gt;"",'算罪台'!$B$6&lt;&gt;"",ISNUMBER(SEARCH($A789,'算罪台'!$B$6))),1,0)</f>
        <v/>
      </c>
    </row>
    <row r="791">
      <c r="A791" s="34" t="inlineStr">
        <is>
          <t>妨碍公务</t>
        </is>
      </c>
      <c r="B791" s="34" t="inlineStr">
        <is>
          <t>妨碍政府雇员执行公务罪</t>
        </is>
      </c>
      <c r="C791" s="34">
        <f>IF(AND($A790&lt;&gt;"",'算罪台'!$B$4&lt;&gt;"",ISNUMBER(SEARCH($A790,'算罪台'!$B$4))),1,0)</f>
        <v/>
      </c>
      <c r="D791" s="34">
        <f>IF(AND($A790&lt;&gt;"",'算罪台'!$B$5&lt;&gt;"",ISNUMBER(SEARCH($A790,'算罪台'!$B$5))),1,0)</f>
        <v/>
      </c>
      <c r="E791" s="34">
        <f>IF(AND($A790&lt;&gt;"",'算罪台'!$B$6&lt;&gt;"",ISNUMBER(SEARCH($A790,'算罪台'!$B$6))),1,0)</f>
        <v/>
      </c>
    </row>
    <row r="792">
      <c r="A792" s="34" t="inlineStr">
        <is>
          <t>阻碍执法</t>
        </is>
      </c>
      <c r="B792" s="34" t="inlineStr">
        <is>
          <t>妨碍政府雇员执行公务罪</t>
        </is>
      </c>
      <c r="C792" s="34">
        <f>IF(AND($A791&lt;&gt;"",'算罪台'!$B$4&lt;&gt;"",ISNUMBER(SEARCH($A791,'算罪台'!$B$4))),1,0)</f>
        <v/>
      </c>
      <c r="D792" s="34">
        <f>IF(AND($A791&lt;&gt;"",'算罪台'!$B$5&lt;&gt;"",ISNUMBER(SEARCH($A791,'算罪台'!$B$5))),1,0)</f>
        <v/>
      </c>
      <c r="E792" s="34">
        <f>IF(AND($A791&lt;&gt;"",'算罪台'!$B$6&lt;&gt;"",ISNUMBER(SEARCH($A791,'算罪台'!$B$6))),1,0)</f>
        <v/>
      </c>
    </row>
    <row r="793">
      <c r="A793" s="34" t="inlineStr">
        <is>
          <t>妨碍执法</t>
        </is>
      </c>
      <c r="B793" s="34" t="inlineStr">
        <is>
          <t>妨碍政府雇员执行公务罪</t>
        </is>
      </c>
      <c r="C793" s="34">
        <f>IF(AND($A792&lt;&gt;"",'算罪台'!$B$4&lt;&gt;"",ISNUMBER(SEARCH($A792,'算罪台'!$B$4))),1,0)</f>
        <v/>
      </c>
      <c r="D793" s="34">
        <f>IF(AND($A792&lt;&gt;"",'算罪台'!$B$5&lt;&gt;"",ISNUMBER(SEARCH($A792,'算罪台'!$B$5))),1,0)</f>
        <v/>
      </c>
      <c r="E793" s="34">
        <f>IF(AND($A792&lt;&gt;"",'算罪台'!$B$6&lt;&gt;"",ISNUMBER(SEARCH($A792,'算罪台'!$B$6))),1,0)</f>
        <v/>
      </c>
    </row>
    <row r="794">
      <c r="A794" s="34" t="inlineStr">
        <is>
          <t>阻挠执法</t>
        </is>
      </c>
      <c r="B794" s="34" t="inlineStr">
        <is>
          <t>妨碍政府雇员执行公务罪</t>
        </is>
      </c>
      <c r="C794" s="34">
        <f>IF(AND($A793&lt;&gt;"",'算罪台'!$B$4&lt;&gt;"",ISNUMBER(SEARCH($A793,'算罪台'!$B$4))),1,0)</f>
        <v/>
      </c>
      <c r="D794" s="34">
        <f>IF(AND($A793&lt;&gt;"",'算罪台'!$B$5&lt;&gt;"",ISNUMBER(SEARCH($A793,'算罪台'!$B$5))),1,0)</f>
        <v/>
      </c>
      <c r="E794" s="34">
        <f>IF(AND($A793&lt;&gt;"",'算罪台'!$B$6&lt;&gt;"",ISNUMBER(SEARCH($A793,'算罪台'!$B$6))),1,0)</f>
        <v/>
      </c>
    </row>
    <row r="795">
      <c r="A795" s="34" t="inlineStr">
        <is>
          <t>妨碍政府雇员</t>
        </is>
      </c>
      <c r="B795" s="34" t="inlineStr">
        <is>
          <t>妨碍政府雇员执行公务罪</t>
        </is>
      </c>
      <c r="C795" s="34">
        <f>IF(AND($A794&lt;&gt;"",'算罪台'!$B$4&lt;&gt;"",ISNUMBER(SEARCH($A794,'算罪台'!$B$4))),1,0)</f>
        <v/>
      </c>
      <c r="D795" s="34">
        <f>IF(AND($A794&lt;&gt;"",'算罪台'!$B$5&lt;&gt;"",ISNUMBER(SEARCH($A794,'算罪台'!$B$5))),1,0)</f>
        <v/>
      </c>
      <c r="E795" s="34">
        <f>IF(AND($A794&lt;&gt;"",'算罪台'!$B$6&lt;&gt;"",ISNUMBER(SEARCH($A794,'算罪台'!$B$6))),1,0)</f>
        <v/>
      </c>
    </row>
    <row r="796">
      <c r="A796" s="34" t="inlineStr">
        <is>
          <t>阻碍救援</t>
        </is>
      </c>
      <c r="B796" s="34" t="inlineStr">
        <is>
          <t>妨碍政府雇员执行公务罪</t>
        </is>
      </c>
      <c r="C796" s="34">
        <f>IF(AND($A795&lt;&gt;"",'算罪台'!$B$4&lt;&gt;"",ISNUMBER(SEARCH($A795,'算罪台'!$B$4))),1,0)</f>
        <v/>
      </c>
      <c r="D796" s="34">
        <f>IF(AND($A795&lt;&gt;"",'算罪台'!$B$5&lt;&gt;"",ISNUMBER(SEARCH($A795,'算罪台'!$B$5))),1,0)</f>
        <v/>
      </c>
      <c r="E796" s="34">
        <f>IF(AND($A795&lt;&gt;"",'算罪台'!$B$6&lt;&gt;"",ISNUMBER(SEARCH($A795,'算罪台'!$B$6))),1,0)</f>
        <v/>
      </c>
    </row>
    <row r="797">
      <c r="A797" s="34" t="inlineStr">
        <is>
          <t>阻碍消防</t>
        </is>
      </c>
      <c r="B797" s="34" t="inlineStr">
        <is>
          <t>妨碍政府雇员执行公务罪</t>
        </is>
      </c>
      <c r="C797" s="34">
        <f>IF(AND($A796&lt;&gt;"",'算罪台'!$B$4&lt;&gt;"",ISNUMBER(SEARCH($A796,'算罪台'!$B$4))),1,0)</f>
        <v/>
      </c>
      <c r="D797" s="34">
        <f>IF(AND($A796&lt;&gt;"",'算罪台'!$B$5&lt;&gt;"",ISNUMBER(SEARCH($A796,'算罪台'!$B$5))),1,0)</f>
        <v/>
      </c>
      <c r="E797" s="34">
        <f>IF(AND($A796&lt;&gt;"",'算罪台'!$B$6&lt;&gt;"",ISNUMBER(SEARCH($A796,'算罪台'!$B$6))),1,0)</f>
        <v/>
      </c>
    </row>
    <row r="798">
      <c r="A798" s="34" t="inlineStr">
        <is>
          <t>挡着警察</t>
        </is>
      </c>
      <c r="B798" s="34" t="inlineStr">
        <is>
          <t>妨碍政府雇员执行公务罪</t>
        </is>
      </c>
      <c r="C798" s="34">
        <f>IF(AND($A797&lt;&gt;"",'算罪台'!$B$4&lt;&gt;"",ISNUMBER(SEARCH($A797,'算罪台'!$B$4))),1,0)</f>
        <v/>
      </c>
      <c r="D798" s="34">
        <f>IF(AND($A797&lt;&gt;"",'算罪台'!$B$5&lt;&gt;"",ISNUMBER(SEARCH($A797,'算罪台'!$B$5))),1,0)</f>
        <v/>
      </c>
      <c r="E798" s="34">
        <f>IF(AND($A797&lt;&gt;"",'算罪台'!$B$6&lt;&gt;"",ISNUMBER(SEARCH($A797,'算罪台'!$B$6))),1,0)</f>
        <v/>
      </c>
    </row>
    <row r="799">
      <c r="A799" s="34" t="inlineStr">
        <is>
          <t>干扰执法</t>
        </is>
      </c>
      <c r="B799" s="34" t="inlineStr">
        <is>
          <t>妨碍政府雇员执行公务罪</t>
        </is>
      </c>
      <c r="C799" s="34">
        <f>IF(AND($A798&lt;&gt;"",'算罪台'!$B$4&lt;&gt;"",ISNUMBER(SEARCH($A798,'算罪台'!$B$4))),1,0)</f>
        <v/>
      </c>
      <c r="D799" s="34">
        <f>IF(AND($A798&lt;&gt;"",'算罪台'!$B$5&lt;&gt;"",ISNUMBER(SEARCH($A798,'算罪台'!$B$5))),1,0)</f>
        <v/>
      </c>
      <c r="E799" s="34">
        <f>IF(AND($A798&lt;&gt;"",'算罪台'!$B$6&lt;&gt;"",ISNUMBER(SEARCH($A798,'算罪台'!$B$6))),1,0)</f>
        <v/>
      </c>
    </row>
    <row r="800">
      <c r="A800" s="34" t="inlineStr">
        <is>
          <t>阻拦警察</t>
        </is>
      </c>
      <c r="B800" s="34" t="inlineStr">
        <is>
          <t>妨碍政府雇员执行公务罪</t>
        </is>
      </c>
      <c r="C800" s="34">
        <f>IF(AND($A799&lt;&gt;"",'算罪台'!$B$4&lt;&gt;"",ISNUMBER(SEARCH($A799,'算罪台'!$B$4))),1,0)</f>
        <v/>
      </c>
      <c r="D800" s="34">
        <f>IF(AND($A799&lt;&gt;"",'算罪台'!$B$5&lt;&gt;"",ISNUMBER(SEARCH($A799,'算罪台'!$B$5))),1,0)</f>
        <v/>
      </c>
      <c r="E800" s="34">
        <f>IF(AND($A799&lt;&gt;"",'算罪台'!$B$6&lt;&gt;"",ISNUMBER(SEARCH($A799,'算罪台'!$B$6))),1,0)</f>
        <v/>
      </c>
    </row>
    <row r="801">
      <c r="A801" s="34" t="inlineStr">
        <is>
          <t>阻碍医护</t>
        </is>
      </c>
      <c r="B801" s="34" t="inlineStr">
        <is>
          <t>妨碍政府雇员执行公务罪</t>
        </is>
      </c>
      <c r="C801" s="34">
        <f>IF(AND($A800&lt;&gt;"",'算罪台'!$B$4&lt;&gt;"",ISNUMBER(SEARCH($A800,'算罪台'!$B$4))),1,0)</f>
        <v/>
      </c>
      <c r="D801" s="34">
        <f>IF(AND($A800&lt;&gt;"",'算罪台'!$B$5&lt;&gt;"",ISNUMBER(SEARCH($A800,'算罪台'!$B$5))),1,0)</f>
        <v/>
      </c>
      <c r="E801" s="34">
        <f>IF(AND($A800&lt;&gt;"",'算罪台'!$B$6&lt;&gt;"",ISNUMBER(SEARCH($A800,'算罪台'!$B$6))),1,0)</f>
        <v/>
      </c>
    </row>
    <row r="802">
      <c r="A802" s="34" t="inlineStr">
        <is>
          <t>挡住警察</t>
        </is>
      </c>
      <c r="B802" s="34" t="inlineStr">
        <is>
          <t>妨碍政府雇员执行公务罪</t>
        </is>
      </c>
      <c r="C802" s="34">
        <f>IF(AND($A801&lt;&gt;"",'算罪台'!$B$4&lt;&gt;"",ISNUMBER(SEARCH($A801,'算罪台'!$B$4))),1,0)</f>
        <v/>
      </c>
      <c r="D802" s="34">
        <f>IF(AND($A801&lt;&gt;"",'算罪台'!$B$5&lt;&gt;"",ISNUMBER(SEARCH($A801,'算罪台'!$B$5))),1,0)</f>
        <v/>
      </c>
      <c r="E802" s="34">
        <f>IF(AND($A801&lt;&gt;"",'算罪台'!$B$6&lt;&gt;"",ISNUMBER(SEARCH($A801,'算罪台'!$B$6))),1,0)</f>
        <v/>
      </c>
    </row>
    <row r="803">
      <c r="A803" s="34" t="inlineStr">
        <is>
          <t>妨碍警察</t>
        </is>
      </c>
      <c r="B803" s="34" t="inlineStr">
        <is>
          <t>妨碍政府雇员执行公务罪</t>
        </is>
      </c>
      <c r="C803" s="34">
        <f>IF(AND($A802&lt;&gt;"",'算罪台'!$B$4&lt;&gt;"",ISNUMBER(SEARCH($A802,'算罪台'!$B$4))),1,0)</f>
        <v/>
      </c>
      <c r="D803" s="34">
        <f>IF(AND($A802&lt;&gt;"",'算罪台'!$B$5&lt;&gt;"",ISNUMBER(SEARCH($A802,'算罪台'!$B$5))),1,0)</f>
        <v/>
      </c>
      <c r="E803" s="34">
        <f>IF(AND($A802&lt;&gt;"",'算罪台'!$B$6&lt;&gt;"",ISNUMBER(SEARCH($A802,'算罪台'!$B$6))),1,0)</f>
        <v/>
      </c>
    </row>
    <row r="804">
      <c r="A804" s="34" t="inlineStr">
        <is>
          <t>拦着不让抓</t>
        </is>
      </c>
      <c r="B804" s="34" t="inlineStr">
        <is>
          <t>妨碍政府雇员执行公务罪</t>
        </is>
      </c>
      <c r="C804" s="34">
        <f>IF(AND($A803&lt;&gt;"",'算罪台'!$B$4&lt;&gt;"",ISNUMBER(SEARCH($A803,'算罪台'!$B$4))),1,0)</f>
        <v/>
      </c>
      <c r="D804" s="34">
        <f>IF(AND($A803&lt;&gt;"",'算罪台'!$B$5&lt;&gt;"",ISNUMBER(SEARCH($A803,'算罪台'!$B$5))),1,0)</f>
        <v/>
      </c>
      <c r="E804" s="34">
        <f>IF(AND($A803&lt;&gt;"",'算罪台'!$B$6&lt;&gt;"",ISNUMBER(SEARCH($A803,'算罪台'!$B$6))),1,0)</f>
        <v/>
      </c>
    </row>
    <row r="805">
      <c r="A805" s="34" t="inlineStr">
        <is>
          <t>阻挠抓人</t>
        </is>
      </c>
      <c r="B805" s="34" t="inlineStr">
        <is>
          <t>妨碍政府雇员执行公务罪</t>
        </is>
      </c>
      <c r="C805" s="34">
        <f>IF(AND($A804&lt;&gt;"",'算罪台'!$B$4&lt;&gt;"",ISNUMBER(SEARCH($A804,'算罪台'!$B$4))),1,0)</f>
        <v/>
      </c>
      <c r="D805" s="34">
        <f>IF(AND($A804&lt;&gt;"",'算罪台'!$B$5&lt;&gt;"",ISNUMBER(SEARCH($A804,'算罪台'!$B$5))),1,0)</f>
        <v/>
      </c>
      <c r="E805" s="34">
        <f>IF(AND($A804&lt;&gt;"",'算罪台'!$B$6&lt;&gt;"",ISNUMBER(SEARCH($A804,'算罪台'!$B$6))),1,0)</f>
        <v/>
      </c>
    </row>
    <row r="806">
      <c r="A806" s="34" t="inlineStr">
        <is>
          <t>阻挡医护</t>
        </is>
      </c>
      <c r="B806" s="34" t="inlineStr">
        <is>
          <t>妨碍政府雇员执行公务罪</t>
        </is>
      </c>
      <c r="C806" s="34">
        <f>IF(AND($A805&lt;&gt;"",'算罪台'!$B$4&lt;&gt;"",ISNUMBER(SEARCH($A805,'算罪台'!$B$4))),1,0)</f>
        <v/>
      </c>
      <c r="D806" s="34">
        <f>IF(AND($A805&lt;&gt;"",'算罪台'!$B$5&lt;&gt;"",ISNUMBER(SEARCH($A805,'算罪台'!$B$5))),1,0)</f>
        <v/>
      </c>
      <c r="E806" s="34">
        <f>IF(AND($A805&lt;&gt;"",'算罪台'!$B$6&lt;&gt;"",ISNUMBER(SEARCH($A805,'算罪台'!$B$6))),1,0)</f>
        <v/>
      </c>
    </row>
    <row r="807">
      <c r="A807" s="34" t="inlineStr">
        <is>
          <t>阻碍消防员</t>
        </is>
      </c>
      <c r="B807" s="34" t="inlineStr">
        <is>
          <t>妨碍政府雇员执行公务罪</t>
        </is>
      </c>
      <c r="C807" s="34">
        <f>IF(AND($A806&lt;&gt;"",'算罪台'!$B$4&lt;&gt;"",ISNUMBER(SEARCH($A806,'算罪台'!$B$4))),1,0)</f>
        <v/>
      </c>
      <c r="D807" s="34">
        <f>IF(AND($A806&lt;&gt;"",'算罪台'!$B$5&lt;&gt;"",ISNUMBER(SEARCH($A806,'算罪台'!$B$5))),1,0)</f>
        <v/>
      </c>
      <c r="E807" s="34">
        <f>IF(AND($A806&lt;&gt;"",'算罪台'!$B$6&lt;&gt;"",ISNUMBER(SEARCH($A806,'算罪台'!$B$6))),1,0)</f>
        <v/>
      </c>
    </row>
    <row r="808">
      <c r="A808" s="34" t="inlineStr">
        <is>
          <t>阻挠办案</t>
        </is>
      </c>
      <c r="B808" s="34" t="inlineStr">
        <is>
          <t>妨碍政府雇员执行公务罪</t>
        </is>
      </c>
      <c r="C808" s="34">
        <f>IF(AND($A807&lt;&gt;"",'算罪台'!$B$4&lt;&gt;"",ISNUMBER(SEARCH($A807,'算罪台'!$B$4))),1,0)</f>
        <v/>
      </c>
      <c r="D808" s="34">
        <f>IF(AND($A807&lt;&gt;"",'算罪台'!$B$5&lt;&gt;"",ISNUMBER(SEARCH($A807,'算罪台'!$B$5))),1,0)</f>
        <v/>
      </c>
      <c r="E808" s="34">
        <f>IF(AND($A807&lt;&gt;"",'算罪台'!$B$6&lt;&gt;"",ISNUMBER(SEARCH($A807,'算罪台'!$B$6))),1,0)</f>
        <v/>
      </c>
    </row>
    <row r="809">
      <c r="A809" s="34" t="inlineStr">
        <is>
          <t>拦警察</t>
        </is>
      </c>
      <c r="B809" s="34" t="inlineStr">
        <is>
          <t>妨碍政府雇员执行公务罪</t>
        </is>
      </c>
      <c r="C809" s="34">
        <f>IF(AND($A808&lt;&gt;"",'算罪台'!$B$4&lt;&gt;"",ISNUMBER(SEARCH($A808,'算罪台'!$B$4))),1,0)</f>
        <v/>
      </c>
      <c r="D809" s="34">
        <f>IF(AND($A808&lt;&gt;"",'算罪台'!$B$5&lt;&gt;"",ISNUMBER(SEARCH($A808,'算罪台'!$B$5))),1,0)</f>
        <v/>
      </c>
      <c r="E809" s="34">
        <f>IF(AND($A808&lt;&gt;"",'算罪台'!$B$6&lt;&gt;"",ISNUMBER(SEARCH($A808,'算罪台'!$B$6))),1,0)</f>
        <v/>
      </c>
    </row>
    <row r="810">
      <c r="A810" s="34" t="inlineStr">
        <is>
          <t>妨碍执行公务</t>
        </is>
      </c>
      <c r="B810" s="34" t="inlineStr">
        <is>
          <t>妨碍政府雇员执行公务罪</t>
        </is>
      </c>
      <c r="C810" s="34">
        <f>IF(AND($A809&lt;&gt;"",'算罪台'!$B$4&lt;&gt;"",ISNUMBER(SEARCH($A809,'算罪台'!$B$4))),1,0)</f>
        <v/>
      </c>
      <c r="D810" s="34">
        <f>IF(AND($A809&lt;&gt;"",'算罪台'!$B$5&lt;&gt;"",ISNUMBER(SEARCH($A809,'算罪台'!$B$5))),1,0)</f>
        <v/>
      </c>
      <c r="E810" s="34">
        <f>IF(AND($A809&lt;&gt;"",'算罪台'!$B$6&lt;&gt;"",ISNUMBER(SEARCH($A809,'算罪台'!$B$6))),1,0)</f>
        <v/>
      </c>
    </row>
    <row r="811">
      <c r="A811" s="34" t="inlineStr">
        <is>
          <t>阻碍公务</t>
        </is>
      </c>
      <c r="B811" s="34" t="inlineStr">
        <is>
          <t>妨碍政府雇员执行公务罪</t>
        </is>
      </c>
      <c r="C811" s="34">
        <f>IF(AND($A810&lt;&gt;"",'算罪台'!$B$4&lt;&gt;"",ISNUMBER(SEARCH($A810,'算罪台'!$B$4))),1,0)</f>
        <v/>
      </c>
      <c r="D811" s="34">
        <f>IF(AND($A810&lt;&gt;"",'算罪台'!$B$5&lt;&gt;"",ISNUMBER(SEARCH($A810,'算罪台'!$B$5))),1,0)</f>
        <v/>
      </c>
      <c r="E811" s="34">
        <f>IF(AND($A810&lt;&gt;"",'算罪台'!$B$6&lt;&gt;"",ISNUMBER(SEARCH($A810,'算罪台'!$B$6))),1,0)</f>
        <v/>
      </c>
    </row>
    <row r="812">
      <c r="A812" s="34" t="inlineStr">
        <is>
          <t>抗拒执法</t>
        </is>
      </c>
      <c r="B812" s="34" t="inlineStr">
        <is>
          <t>妨碍政府雇员执行公务罪</t>
        </is>
      </c>
      <c r="C812" s="34">
        <f>IF(AND($A811&lt;&gt;"",'算罪台'!$B$4&lt;&gt;"",ISNUMBER(SEARCH($A811,'算罪台'!$B$4))),1,0)</f>
        <v/>
      </c>
      <c r="D812" s="34">
        <f>IF(AND($A811&lt;&gt;"",'算罪台'!$B$5&lt;&gt;"",ISNUMBER(SEARCH($A811,'算罪台'!$B$5))),1,0)</f>
        <v/>
      </c>
      <c r="E812" s="34">
        <f>IF(AND($A811&lt;&gt;"",'算罪台'!$B$6&lt;&gt;"",ISNUMBER(SEARCH($A811,'算罪台'!$B$6))),1,0)</f>
        <v/>
      </c>
    </row>
    <row r="813">
      <c r="A813" s="34" t="inlineStr">
        <is>
          <t>妨害公务</t>
        </is>
      </c>
      <c r="B813" s="34" t="inlineStr">
        <is>
          <t>妨碍政府雇员执行公务罪</t>
        </is>
      </c>
      <c r="C813" s="34">
        <f>IF(AND($A812&lt;&gt;"",'算罪台'!$B$4&lt;&gt;"",ISNUMBER(SEARCH($A812,'算罪台'!$B$4))),1,0)</f>
        <v/>
      </c>
      <c r="D813" s="34">
        <f>IF(AND($A812&lt;&gt;"",'算罪台'!$B$5&lt;&gt;"",ISNUMBER(SEARCH($A812,'算罪台'!$B$5))),1,0)</f>
        <v/>
      </c>
      <c r="E813" s="34">
        <f>IF(AND($A812&lt;&gt;"",'算罪台'!$B$6&lt;&gt;"",ISNUMBER(SEARCH($A812,'算罪台'!$B$6))),1,0)</f>
        <v/>
      </c>
    </row>
    <row r="814">
      <c r="A814" s="34" t="inlineStr">
        <is>
          <t>阻碍执法人员</t>
        </is>
      </c>
      <c r="B814" s="34" t="inlineStr">
        <is>
          <t>妨碍政府雇员执行公务罪</t>
        </is>
      </c>
      <c r="C814" s="34">
        <f>IF(AND($A813&lt;&gt;"",'算罪台'!$B$4&lt;&gt;"",ISNUMBER(SEARCH($A813,'算罪台'!$B$4))),1,0)</f>
        <v/>
      </c>
      <c r="D814" s="34">
        <f>IF(AND($A813&lt;&gt;"",'算罪台'!$B$5&lt;&gt;"",ISNUMBER(SEARCH($A813,'算罪台'!$B$5))),1,0)</f>
        <v/>
      </c>
      <c r="E814" s="34">
        <f>IF(AND($A813&lt;&gt;"",'算罪台'!$B$6&lt;&gt;"",ISNUMBER(SEARCH($A813,'算罪台'!$B$6))),1,0)</f>
        <v/>
      </c>
    </row>
    <row r="815">
      <c r="A815" s="34" t="inlineStr">
        <is>
          <t>围堵警察</t>
        </is>
      </c>
      <c r="B815" s="34" t="inlineStr">
        <is>
          <t>妨碍政府雇员执行公务罪</t>
        </is>
      </c>
      <c r="C815" s="34">
        <f>IF(AND($A814&lt;&gt;"",'算罪台'!$B$4&lt;&gt;"",ISNUMBER(SEARCH($A814,'算罪台'!$B$4))),1,0)</f>
        <v/>
      </c>
      <c r="D815" s="34">
        <f>IF(AND($A814&lt;&gt;"",'算罪台'!$B$5&lt;&gt;"",ISNUMBER(SEARCH($A814,'算罪台'!$B$5))),1,0)</f>
        <v/>
      </c>
      <c r="E815" s="34">
        <f>IF(AND($A814&lt;&gt;"",'算罪台'!$B$6&lt;&gt;"",ISNUMBER(SEARCH($A814,'算罪台'!$B$6))),1,0)</f>
        <v/>
      </c>
    </row>
    <row r="816">
      <c r="A816" s="34" t="inlineStr">
        <is>
          <t>阻碍公务执行</t>
        </is>
      </c>
      <c r="B816" s="34" t="inlineStr">
        <is>
          <t>妨碍政府雇员执行公务罪</t>
        </is>
      </c>
      <c r="C816" s="34">
        <f>IF(AND($A815&lt;&gt;"",'算罪台'!$B$4&lt;&gt;"",ISNUMBER(SEARCH($A815,'算罪台'!$B$4))),1,0)</f>
        <v/>
      </c>
      <c r="D816" s="34">
        <f>IF(AND($A815&lt;&gt;"",'算罪台'!$B$5&lt;&gt;"",ISNUMBER(SEARCH($A815,'算罪台'!$B$5))),1,0)</f>
        <v/>
      </c>
      <c r="E816" s="34">
        <f>IF(AND($A815&lt;&gt;"",'算罪台'!$B$6&lt;&gt;"",ISNUMBER(SEARCH($A815,'算罪台'!$B$6))),1,0)</f>
        <v/>
      </c>
    </row>
    <row r="817">
      <c r="A817" s="34" t="inlineStr">
        <is>
          <t>拒捕</t>
        </is>
      </c>
      <c r="B817" s="34" t="inlineStr">
        <is>
          <t>拒捕罪</t>
        </is>
      </c>
      <c r="C817" s="34">
        <f>IF(AND($A816&lt;&gt;"",'算罪台'!$B$4&lt;&gt;"",ISNUMBER(SEARCH($A816,'算罪台'!$B$4))),1,0)</f>
        <v/>
      </c>
      <c r="D817" s="34">
        <f>IF(AND($A816&lt;&gt;"",'算罪台'!$B$5&lt;&gt;"",ISNUMBER(SEARCH($A816,'算罪台'!$B$5))),1,0)</f>
        <v/>
      </c>
      <c r="E817" s="34">
        <f>IF(AND($A816&lt;&gt;"",'算罪台'!$B$6&lt;&gt;"",ISNUMBER(SEARCH($A816,'算罪台'!$B$6))),1,0)</f>
        <v/>
      </c>
    </row>
    <row r="818">
      <c r="A818" s="34" t="inlineStr">
        <is>
          <t>拒绝逮捕</t>
        </is>
      </c>
      <c r="B818" s="34" t="inlineStr">
        <is>
          <t>拒捕罪</t>
        </is>
      </c>
      <c r="C818" s="34">
        <f>IF(AND($A817&lt;&gt;"",'算罪台'!$B$4&lt;&gt;"",ISNUMBER(SEARCH($A817,'算罪台'!$B$4))),1,0)</f>
        <v/>
      </c>
      <c r="D818" s="34">
        <f>IF(AND($A817&lt;&gt;"",'算罪台'!$B$5&lt;&gt;"",ISNUMBER(SEARCH($A817,'算罪台'!$B$5))),1,0)</f>
        <v/>
      </c>
      <c r="E818" s="34">
        <f>IF(AND($A817&lt;&gt;"",'算罪台'!$B$6&lt;&gt;"",ISNUMBER(SEARCH($A817,'算罪台'!$B$6))),1,0)</f>
        <v/>
      </c>
    </row>
    <row r="819">
      <c r="A819" s="34" t="inlineStr">
        <is>
          <t>抗拒逮捕</t>
        </is>
      </c>
      <c r="B819" s="34" t="inlineStr">
        <is>
          <t>拒捕罪</t>
        </is>
      </c>
      <c r="C819" s="34">
        <f>IF(AND($A818&lt;&gt;"",'算罪台'!$B$4&lt;&gt;"",ISNUMBER(SEARCH($A818,'算罪台'!$B$4))),1,0)</f>
        <v/>
      </c>
      <c r="D819" s="34">
        <f>IF(AND($A818&lt;&gt;"",'算罪台'!$B$5&lt;&gt;"",ISNUMBER(SEARCH($A818,'算罪台'!$B$5))),1,0)</f>
        <v/>
      </c>
      <c r="E819" s="34">
        <f>IF(AND($A818&lt;&gt;"",'算罪台'!$B$6&lt;&gt;"",ISNUMBER(SEARCH($A818,'算罪台'!$B$6))),1,0)</f>
        <v/>
      </c>
    </row>
    <row r="820">
      <c r="A820" s="34" t="inlineStr">
        <is>
          <t>拒绝被捕</t>
        </is>
      </c>
      <c r="B820" s="34" t="inlineStr">
        <is>
          <t>拒捕罪</t>
        </is>
      </c>
      <c r="C820" s="34">
        <f>IF(AND($A819&lt;&gt;"",'算罪台'!$B$4&lt;&gt;"",ISNUMBER(SEARCH($A819,'算罪台'!$B$4))),1,0)</f>
        <v/>
      </c>
      <c r="D820" s="34">
        <f>IF(AND($A819&lt;&gt;"",'算罪台'!$B$5&lt;&gt;"",ISNUMBER(SEARCH($A819,'算罪台'!$B$5))),1,0)</f>
        <v/>
      </c>
      <c r="E820" s="34">
        <f>IF(AND($A819&lt;&gt;"",'算罪台'!$B$6&lt;&gt;"",ISNUMBER(SEARCH($A819,'算罪台'!$B$6))),1,0)</f>
        <v/>
      </c>
    </row>
    <row r="821">
      <c r="A821" s="34" t="inlineStr">
        <is>
          <t>反抗逮捕</t>
        </is>
      </c>
      <c r="B821" s="34" t="inlineStr">
        <is>
          <t>拒捕罪</t>
        </is>
      </c>
      <c r="C821" s="34">
        <f>IF(AND($A820&lt;&gt;"",'算罪台'!$B$4&lt;&gt;"",ISNUMBER(SEARCH($A820,'算罪台'!$B$4))),1,0)</f>
        <v/>
      </c>
      <c r="D821" s="34">
        <f>IF(AND($A820&lt;&gt;"",'算罪台'!$B$5&lt;&gt;"",ISNUMBER(SEARCH($A820,'算罪台'!$B$5))),1,0)</f>
        <v/>
      </c>
      <c r="E821" s="34">
        <f>IF(AND($A820&lt;&gt;"",'算罪台'!$B$6&lt;&gt;"",ISNUMBER(SEARCH($A820,'算罪台'!$B$6))),1,0)</f>
        <v/>
      </c>
    </row>
    <row r="822">
      <c r="A822" s="34" t="inlineStr">
        <is>
          <t>不让铐</t>
        </is>
      </c>
      <c r="B822" s="34" t="inlineStr">
        <is>
          <t>拒捕罪</t>
        </is>
      </c>
      <c r="C822" s="34">
        <f>IF(AND($A821&lt;&gt;"",'算罪台'!$B$4&lt;&gt;"",ISNUMBER(SEARCH($A821,'算罪台'!$B$4))),1,0)</f>
        <v/>
      </c>
      <c r="D822" s="34">
        <f>IF(AND($A821&lt;&gt;"",'算罪台'!$B$5&lt;&gt;"",ISNUMBER(SEARCH($A821,'算罪台'!$B$5))),1,0)</f>
        <v/>
      </c>
      <c r="E822" s="34">
        <f>IF(AND($A821&lt;&gt;"",'算罪台'!$B$6&lt;&gt;"",ISNUMBER(SEARCH($A821,'算罪台'!$B$6))),1,0)</f>
        <v/>
      </c>
    </row>
    <row r="823">
      <c r="A823" s="34" t="inlineStr">
        <is>
          <t>挣脱</t>
        </is>
      </c>
      <c r="B823" s="34" t="inlineStr">
        <is>
          <t>拒捕罪</t>
        </is>
      </c>
      <c r="C823" s="34">
        <f>IF(AND($A822&lt;&gt;"",'算罪台'!$B$4&lt;&gt;"",ISNUMBER(SEARCH($A822,'算罪台'!$B$4))),1,0)</f>
        <v/>
      </c>
      <c r="D823" s="34">
        <f>IF(AND($A822&lt;&gt;"",'算罪台'!$B$5&lt;&gt;"",ISNUMBER(SEARCH($A822,'算罪台'!$B$5))),1,0)</f>
        <v/>
      </c>
      <c r="E823" s="34">
        <f>IF(AND($A822&lt;&gt;"",'算罪台'!$B$6&lt;&gt;"",ISNUMBER(SEARCH($A822,'算罪台'!$B$6))),1,0)</f>
        <v/>
      </c>
    </row>
    <row r="824">
      <c r="A824" s="34" t="inlineStr">
        <is>
          <t>反抗抓捕</t>
        </is>
      </c>
      <c r="B824" s="34" t="inlineStr">
        <is>
          <t>拒捕罪</t>
        </is>
      </c>
      <c r="C824" s="34">
        <f>IF(AND($A823&lt;&gt;"",'算罪台'!$B$4&lt;&gt;"",ISNUMBER(SEARCH($A823,'算罪台'!$B$4))),1,0)</f>
        <v/>
      </c>
      <c r="D824" s="34">
        <f>IF(AND($A823&lt;&gt;"",'算罪台'!$B$5&lt;&gt;"",ISNUMBER(SEARCH($A823,'算罪台'!$B$5))),1,0)</f>
        <v/>
      </c>
      <c r="E824" s="34">
        <f>IF(AND($A823&lt;&gt;"",'算罪台'!$B$6&lt;&gt;"",ISNUMBER(SEARCH($A823,'算罪台'!$B$6))),1,0)</f>
        <v/>
      </c>
    </row>
    <row r="825">
      <c r="A825" s="34" t="inlineStr">
        <is>
          <t>逃避逮捕</t>
        </is>
      </c>
      <c r="B825" s="34" t="inlineStr">
        <is>
          <t>拒捕罪</t>
        </is>
      </c>
      <c r="C825" s="34">
        <f>IF(AND($A824&lt;&gt;"",'算罪台'!$B$4&lt;&gt;"",ISNUMBER(SEARCH($A824,'算罪台'!$B$4))),1,0)</f>
        <v/>
      </c>
      <c r="D825" s="34">
        <f>IF(AND($A824&lt;&gt;"",'算罪台'!$B$5&lt;&gt;"",ISNUMBER(SEARCH($A824,'算罪台'!$B$5))),1,0)</f>
        <v/>
      </c>
      <c r="E825" s="34">
        <f>IF(AND($A824&lt;&gt;"",'算罪台'!$B$6&lt;&gt;"",ISNUMBER(SEARCH($A824,'算罪台'!$B$6))),1,0)</f>
        <v/>
      </c>
    </row>
    <row r="826">
      <c r="A826" s="34" t="inlineStr">
        <is>
          <t>逃避追捕</t>
        </is>
      </c>
      <c r="B826" s="34" t="inlineStr">
        <is>
          <t>拒捕罪</t>
        </is>
      </c>
      <c r="C826" s="34">
        <f>IF(AND($A825&lt;&gt;"",'算罪台'!$B$4&lt;&gt;"",ISNUMBER(SEARCH($A825,'算罪台'!$B$4))),1,0)</f>
        <v/>
      </c>
      <c r="D826" s="34">
        <f>IF(AND($A825&lt;&gt;"",'算罪台'!$B$5&lt;&gt;"",ISNUMBER(SEARCH($A825,'算罪台'!$B$5))),1,0)</f>
        <v/>
      </c>
      <c r="E826" s="34">
        <f>IF(AND($A825&lt;&gt;"",'算罪台'!$B$6&lt;&gt;"",ISNUMBER(SEARCH($A825,'算罪台'!$B$6))),1,0)</f>
        <v/>
      </c>
    </row>
    <row r="827">
      <c r="A827" s="34" t="inlineStr">
        <is>
          <t>逃避抓捕</t>
        </is>
      </c>
      <c r="B827" s="34" t="inlineStr">
        <is>
          <t>拒捕罪</t>
        </is>
      </c>
      <c r="C827" s="34">
        <f>IF(AND($A826&lt;&gt;"",'算罪台'!$B$4&lt;&gt;"",ISNUMBER(SEARCH($A826,'算罪台'!$B$4))),1,0)</f>
        <v/>
      </c>
      <c r="D827" s="34">
        <f>IF(AND($A826&lt;&gt;"",'算罪台'!$B$5&lt;&gt;"",ISNUMBER(SEARCH($A826,'算罪台'!$B$5))),1,0)</f>
        <v/>
      </c>
      <c r="E827" s="34">
        <f>IF(AND($A826&lt;&gt;"",'算罪台'!$B$6&lt;&gt;"",ISNUMBER(SEARCH($A826,'算罪台'!$B$6))),1,0)</f>
        <v/>
      </c>
    </row>
    <row r="828">
      <c r="A828" s="34" t="inlineStr">
        <is>
          <t>拒不就范</t>
        </is>
      </c>
      <c r="B828" s="34" t="inlineStr">
        <is>
          <t>拒捕罪</t>
        </is>
      </c>
      <c r="C828" s="34">
        <f>IF(AND($A827&lt;&gt;"",'算罪台'!$B$4&lt;&gt;"",ISNUMBER(SEARCH($A827,'算罪台'!$B$4))),1,0)</f>
        <v/>
      </c>
      <c r="D828" s="34">
        <f>IF(AND($A827&lt;&gt;"",'算罪台'!$B$5&lt;&gt;"",ISNUMBER(SEARCH($A827,'算罪台'!$B$5))),1,0)</f>
        <v/>
      </c>
      <c r="E828" s="34">
        <f>IF(AND($A827&lt;&gt;"",'算罪台'!$B$6&lt;&gt;"",ISNUMBER(SEARCH($A827,'算罪台'!$B$6))),1,0)</f>
        <v/>
      </c>
    </row>
    <row r="829">
      <c r="A829" s="34" t="inlineStr">
        <is>
          <t>死活不让铐</t>
        </is>
      </c>
      <c r="B829" s="34" t="inlineStr">
        <is>
          <t>拒捕罪</t>
        </is>
      </c>
      <c r="C829" s="34">
        <f>IF(AND($A828&lt;&gt;"",'算罪台'!$B$4&lt;&gt;"",ISNUMBER(SEARCH($A828,'算罪台'!$B$4))),1,0)</f>
        <v/>
      </c>
      <c r="D829" s="34">
        <f>IF(AND($A828&lt;&gt;"",'算罪台'!$B$5&lt;&gt;"",ISNUMBER(SEARCH($A828,'算罪台'!$B$5))),1,0)</f>
        <v/>
      </c>
      <c r="E829" s="34">
        <f>IF(AND($A828&lt;&gt;"",'算罪台'!$B$6&lt;&gt;"",ISNUMBER(SEARCH($A828,'算罪台'!$B$6))),1,0)</f>
        <v/>
      </c>
    </row>
    <row r="830">
      <c r="A830" s="34" t="inlineStr">
        <is>
          <t>挣开</t>
        </is>
      </c>
      <c r="B830" s="34" t="inlineStr">
        <is>
          <t>拒捕罪</t>
        </is>
      </c>
      <c r="C830" s="34">
        <f>IF(AND($A829&lt;&gt;"",'算罪台'!$B$4&lt;&gt;"",ISNUMBER(SEARCH($A829,'算罪台'!$B$4))),1,0)</f>
        <v/>
      </c>
      <c r="D830" s="34">
        <f>IF(AND($A829&lt;&gt;"",'算罪台'!$B$5&lt;&gt;"",ISNUMBER(SEARCH($A829,'算罪台'!$B$5))),1,0)</f>
        <v/>
      </c>
      <c r="E830" s="34">
        <f>IF(AND($A829&lt;&gt;"",'算罪台'!$B$6&lt;&gt;"",ISNUMBER(SEARCH($A829,'算罪台'!$B$6))),1,0)</f>
        <v/>
      </c>
    </row>
    <row r="831">
      <c r="A831" s="34" t="inlineStr">
        <is>
          <t>甩开警察</t>
        </is>
      </c>
      <c r="B831" s="34" t="inlineStr">
        <is>
          <t>拒捕罪</t>
        </is>
      </c>
      <c r="C831" s="34">
        <f>IF(AND($A830&lt;&gt;"",'算罪台'!$B$4&lt;&gt;"",ISNUMBER(SEARCH($A830,'算罪台'!$B$4))),1,0)</f>
        <v/>
      </c>
      <c r="D831" s="34">
        <f>IF(AND($A830&lt;&gt;"",'算罪台'!$B$5&lt;&gt;"",ISNUMBER(SEARCH($A830,'算罪台'!$B$5))),1,0)</f>
        <v/>
      </c>
      <c r="E831" s="34">
        <f>IF(AND($A830&lt;&gt;"",'算罪台'!$B$6&lt;&gt;"",ISNUMBER(SEARCH($A830,'算罪台'!$B$6))),1,0)</f>
        <v/>
      </c>
    </row>
    <row r="832">
      <c r="A832" s="34" t="inlineStr">
        <is>
          <t>跑给警察追</t>
        </is>
      </c>
      <c r="B832" s="34" t="inlineStr">
        <is>
          <t>拒捕罪</t>
        </is>
      </c>
      <c r="C832" s="34">
        <f>IF(AND($A831&lt;&gt;"",'算罪台'!$B$4&lt;&gt;"",ISNUMBER(SEARCH($A831,'算罪台'!$B$4))),1,0)</f>
        <v/>
      </c>
      <c r="D832" s="34">
        <f>IF(AND($A831&lt;&gt;"",'算罪台'!$B$5&lt;&gt;"",ISNUMBER(SEARCH($A831,'算罪台'!$B$5))),1,0)</f>
        <v/>
      </c>
      <c r="E832" s="34">
        <f>IF(AND($A831&lt;&gt;"",'算罪台'!$B$6&lt;&gt;"",ISNUMBER(SEARCH($A831,'算罪台'!$B$6))),1,0)</f>
        <v/>
      </c>
    </row>
    <row r="833">
      <c r="A833" s="34" t="inlineStr">
        <is>
          <t>不让抓</t>
        </is>
      </c>
      <c r="B833" s="34" t="inlineStr">
        <is>
          <t>拒捕罪</t>
        </is>
      </c>
      <c r="C833" s="34">
        <f>IF(AND($A832&lt;&gt;"",'算罪台'!$B$4&lt;&gt;"",ISNUMBER(SEARCH($A832,'算罪台'!$B$4))),1,0)</f>
        <v/>
      </c>
      <c r="D833" s="34">
        <f>IF(AND($A832&lt;&gt;"",'算罪台'!$B$5&lt;&gt;"",ISNUMBER(SEARCH($A832,'算罪台'!$B$5))),1,0)</f>
        <v/>
      </c>
      <c r="E833" s="34">
        <f>IF(AND($A832&lt;&gt;"",'算罪台'!$B$6&lt;&gt;"",ISNUMBER(SEARCH($A832,'算罪台'!$B$6))),1,0)</f>
        <v/>
      </c>
    </row>
    <row r="834">
      <c r="A834" s="34" t="inlineStr">
        <is>
          <t>反抗被抓</t>
        </is>
      </c>
      <c r="B834" s="34" t="inlineStr">
        <is>
          <t>拒捕罪</t>
        </is>
      </c>
      <c r="C834" s="34">
        <f>IF(AND($A833&lt;&gt;"",'算罪台'!$B$4&lt;&gt;"",ISNUMBER(SEARCH($A833,'算罪台'!$B$4))),1,0)</f>
        <v/>
      </c>
      <c r="D834" s="34">
        <f>IF(AND($A833&lt;&gt;"",'算罪台'!$B$5&lt;&gt;"",ISNUMBER(SEARCH($A833,'算罪台'!$B$5))),1,0)</f>
        <v/>
      </c>
      <c r="E834" s="34">
        <f>IF(AND($A833&lt;&gt;"",'算罪台'!$B$6&lt;&gt;"",ISNUMBER(SEARCH($A833,'算罪台'!$B$6))),1,0)</f>
        <v/>
      </c>
    </row>
    <row r="835">
      <c r="A835" s="34" t="inlineStr">
        <is>
          <t>挣扎拒捕</t>
        </is>
      </c>
      <c r="B835" s="34" t="inlineStr">
        <is>
          <t>拒捕罪</t>
        </is>
      </c>
      <c r="C835" s="34">
        <f>IF(AND($A834&lt;&gt;"",'算罪台'!$B$4&lt;&gt;"",ISNUMBER(SEARCH($A834,'算罪台'!$B$4))),1,0)</f>
        <v/>
      </c>
      <c r="D835" s="34">
        <f>IF(AND($A834&lt;&gt;"",'算罪台'!$B$5&lt;&gt;"",ISNUMBER(SEARCH($A834,'算罪台'!$B$5))),1,0)</f>
        <v/>
      </c>
      <c r="E835" s="34">
        <f>IF(AND($A834&lt;&gt;"",'算罪台'!$B$6&lt;&gt;"",ISNUMBER(SEARCH($A834,'算罪台'!$B$6))),1,0)</f>
        <v/>
      </c>
    </row>
    <row r="836">
      <c r="A836" s="34" t="inlineStr">
        <is>
          <t>跟警察对着干被抓</t>
        </is>
      </c>
      <c r="B836" s="34" t="inlineStr">
        <is>
          <t>拒捕罪</t>
        </is>
      </c>
      <c r="C836" s="34">
        <f>IF(AND($A835&lt;&gt;"",'算罪台'!$B$4&lt;&gt;"",ISNUMBER(SEARCH($A835,'算罪台'!$B$4))),1,0)</f>
        <v/>
      </c>
      <c r="D836" s="34">
        <f>IF(AND($A835&lt;&gt;"",'算罪台'!$B$5&lt;&gt;"",ISNUMBER(SEARCH($A835,'算罪台'!$B$5))),1,0)</f>
        <v/>
      </c>
      <c r="E836" s="34">
        <f>IF(AND($A835&lt;&gt;"",'算罪台'!$B$6&lt;&gt;"",ISNUMBER(SEARCH($A835,'算罪台'!$B$6))),1,0)</f>
        <v/>
      </c>
    </row>
    <row r="837">
      <c r="A837" s="34" t="inlineStr">
        <is>
          <t>拒不被捕</t>
        </is>
      </c>
      <c r="B837" s="34" t="inlineStr">
        <is>
          <t>拒捕罪</t>
        </is>
      </c>
      <c r="C837" s="34">
        <f>IF(AND($A836&lt;&gt;"",'算罪台'!$B$4&lt;&gt;"",ISNUMBER(SEARCH($A836,'算罪台'!$B$4))),1,0)</f>
        <v/>
      </c>
      <c r="D837" s="34">
        <f>IF(AND($A836&lt;&gt;"",'算罪台'!$B$5&lt;&gt;"",ISNUMBER(SEARCH($A836,'算罪台'!$B$5))),1,0)</f>
        <v/>
      </c>
      <c r="E837" s="34">
        <f>IF(AND($A836&lt;&gt;"",'算罪台'!$B$6&lt;&gt;"",ISNUMBER(SEARCH($A836,'算罪台'!$B$6))),1,0)</f>
        <v/>
      </c>
    </row>
    <row r="838">
      <c r="A838" s="34" t="inlineStr">
        <is>
          <t>硬抗警察抓</t>
        </is>
      </c>
      <c r="B838" s="34" t="inlineStr">
        <is>
          <t>拒捕罪</t>
        </is>
      </c>
      <c r="C838" s="34">
        <f>IF(AND($A837&lt;&gt;"",'算罪台'!$B$4&lt;&gt;"",ISNUMBER(SEARCH($A837,'算罪台'!$B$4))),1,0)</f>
        <v/>
      </c>
      <c r="D838" s="34">
        <f>IF(AND($A837&lt;&gt;"",'算罪台'!$B$5&lt;&gt;"",ISNUMBER(SEARCH($A837,'算罪台'!$B$5))),1,0)</f>
        <v/>
      </c>
      <c r="E838" s="34">
        <f>IF(AND($A837&lt;&gt;"",'算罪台'!$B$6&lt;&gt;"",ISNUMBER(SEARCH($A837,'算罪台'!$B$6))),1,0)</f>
        <v/>
      </c>
    </row>
    <row r="839">
      <c r="A839" s="34" t="inlineStr">
        <is>
          <t>抗拒抓捕</t>
        </is>
      </c>
      <c r="B839" s="34" t="inlineStr">
        <is>
          <t>拒捕罪</t>
        </is>
      </c>
      <c r="C839" s="34">
        <f>IF(AND($A838&lt;&gt;"",'算罪台'!$B$4&lt;&gt;"",ISNUMBER(SEARCH($A838,'算罪台'!$B$4))),1,0)</f>
        <v/>
      </c>
      <c r="D839" s="34">
        <f>IF(AND($A838&lt;&gt;"",'算罪台'!$B$5&lt;&gt;"",ISNUMBER(SEARCH($A838,'算罪台'!$B$5))),1,0)</f>
        <v/>
      </c>
      <c r="E839" s="34">
        <f>IF(AND($A838&lt;&gt;"",'算罪台'!$B$6&lt;&gt;"",ISNUMBER(SEARCH($A838,'算罪台'!$B$6))),1,0)</f>
        <v/>
      </c>
    </row>
    <row r="840">
      <c r="A840" s="34" t="inlineStr">
        <is>
          <t>拒不配合抓捕</t>
        </is>
      </c>
      <c r="B840" s="34" t="inlineStr">
        <is>
          <t>拒捕罪</t>
        </is>
      </c>
      <c r="C840" s="34">
        <f>IF(AND($A839&lt;&gt;"",'算罪台'!$B$4&lt;&gt;"",ISNUMBER(SEARCH($A839,'算罪台'!$B$4))),1,0)</f>
        <v/>
      </c>
      <c r="D840" s="34">
        <f>IF(AND($A839&lt;&gt;"",'算罪台'!$B$5&lt;&gt;"",ISNUMBER(SEARCH($A839,'算罪台'!$B$5))),1,0)</f>
        <v/>
      </c>
      <c r="E840" s="34">
        <f>IF(AND($A839&lt;&gt;"",'算罪台'!$B$6&lt;&gt;"",ISNUMBER(SEARCH($A839,'算罪台'!$B$6))),1,0)</f>
        <v/>
      </c>
    </row>
    <row r="841">
      <c r="A841" s="34" t="inlineStr">
        <is>
          <t>反抗执法被抓</t>
        </is>
      </c>
      <c r="B841" s="34" t="inlineStr">
        <is>
          <t>拒捕罪</t>
        </is>
      </c>
      <c r="C841" s="34">
        <f>IF(AND($A840&lt;&gt;"",'算罪台'!$B$4&lt;&gt;"",ISNUMBER(SEARCH($A840,'算罪台'!$B$4))),1,0)</f>
        <v/>
      </c>
      <c r="D841" s="34">
        <f>IF(AND($A840&lt;&gt;"",'算罪台'!$B$5&lt;&gt;"",ISNUMBER(SEARCH($A840,'算罪台'!$B$5))),1,0)</f>
        <v/>
      </c>
      <c r="E841" s="34">
        <f>IF(AND($A840&lt;&gt;"",'算罪台'!$B$6&lt;&gt;"",ISNUMBER(SEARCH($A840,'算罪台'!$B$6))),1,0)</f>
        <v/>
      </c>
    </row>
    <row r="842">
      <c r="A842" s="34" t="inlineStr">
        <is>
          <t>武力拒捕</t>
        </is>
      </c>
      <c r="B842" s="34" t="inlineStr">
        <is>
          <t>拒捕罪</t>
        </is>
      </c>
      <c r="C842" s="34">
        <f>IF(AND($A841&lt;&gt;"",'算罪台'!$B$4&lt;&gt;"",ISNUMBER(SEARCH($A841,'算罪台'!$B$4))),1,0)</f>
        <v/>
      </c>
      <c r="D842" s="34">
        <f>IF(AND($A841&lt;&gt;"",'算罪台'!$B$5&lt;&gt;"",ISNUMBER(SEARCH($A841,'算罪台'!$B$5))),1,0)</f>
        <v/>
      </c>
      <c r="E842" s="34">
        <f>IF(AND($A841&lt;&gt;"",'算罪台'!$B$6&lt;&gt;"",ISNUMBER(SEARCH($A841,'算罪台'!$B$6))),1,0)</f>
        <v/>
      </c>
    </row>
    <row r="843">
      <c r="A843" s="34" t="inlineStr">
        <is>
          <t>暴力拒捕</t>
        </is>
      </c>
      <c r="B843" s="34" t="inlineStr">
        <is>
          <t>拒捕罪</t>
        </is>
      </c>
      <c r="C843" s="34">
        <f>IF(AND($A842&lt;&gt;"",'算罪台'!$B$4&lt;&gt;"",ISNUMBER(SEARCH($A842,'算罪台'!$B$4))),1,0)</f>
        <v/>
      </c>
      <c r="D843" s="34">
        <f>IF(AND($A842&lt;&gt;"",'算罪台'!$B$5&lt;&gt;"",ISNUMBER(SEARCH($A842,'算罪台'!$B$5))),1,0)</f>
        <v/>
      </c>
      <c r="E843" s="34">
        <f>IF(AND($A842&lt;&gt;"",'算罪台'!$B$6&lt;&gt;"",ISNUMBER(SEARCH($A842,'算罪台'!$B$6))),1,0)</f>
        <v/>
      </c>
    </row>
    <row r="844">
      <c r="A844" s="34" t="inlineStr">
        <is>
          <t>抗拒逮捕被抓</t>
        </is>
      </c>
      <c r="B844" s="34" t="inlineStr">
        <is>
          <t>拒捕罪</t>
        </is>
      </c>
      <c r="C844" s="34">
        <f>IF(AND($A843&lt;&gt;"",'算罪台'!$B$4&lt;&gt;"",ISNUMBER(SEARCH($A843,'算罪台'!$B$4))),1,0)</f>
        <v/>
      </c>
      <c r="D844" s="34">
        <f>IF(AND($A843&lt;&gt;"",'算罪台'!$B$5&lt;&gt;"",ISNUMBER(SEARCH($A843,'算罪台'!$B$5))),1,0)</f>
        <v/>
      </c>
      <c r="E844" s="34">
        <f>IF(AND($A843&lt;&gt;"",'算罪台'!$B$6&lt;&gt;"",ISNUMBER(SEARCH($A843,'算罪台'!$B$6))),1,0)</f>
        <v/>
      </c>
    </row>
    <row r="845">
      <c r="A845" s="34" t="inlineStr">
        <is>
          <t>逃避羁押</t>
        </is>
      </c>
      <c r="B845" s="34" t="inlineStr">
        <is>
          <t>逃避羁押罪</t>
        </is>
      </c>
      <c r="C845" s="34">
        <f>IF(AND($A844&lt;&gt;"",'算罪台'!$B$4&lt;&gt;"",ISNUMBER(SEARCH($A844,'算罪台'!$B$4))),1,0)</f>
        <v/>
      </c>
      <c r="D845" s="34">
        <f>IF(AND($A844&lt;&gt;"",'算罪台'!$B$5&lt;&gt;"",ISNUMBER(SEARCH($A844,'算罪台'!$B$5))),1,0)</f>
        <v/>
      </c>
      <c r="E845" s="34">
        <f>IF(AND($A844&lt;&gt;"",'算罪台'!$B$6&lt;&gt;"",ISNUMBER(SEARCH($A844,'算罪台'!$B$6))),1,0)</f>
        <v/>
      </c>
    </row>
    <row r="846">
      <c r="A846" s="34" t="inlineStr">
        <is>
          <t>越狱</t>
        </is>
      </c>
      <c r="B846" s="34" t="inlineStr">
        <is>
          <t>逃避羁押罪</t>
        </is>
      </c>
      <c r="C846" s="34">
        <f>IF(AND($A845&lt;&gt;"",'算罪台'!$B$4&lt;&gt;"",ISNUMBER(SEARCH($A845,'算罪台'!$B$4))),1,0)</f>
        <v/>
      </c>
      <c r="D846" s="34">
        <f>IF(AND($A845&lt;&gt;"",'算罪台'!$B$5&lt;&gt;"",ISNUMBER(SEARCH($A845,'算罪台'!$B$5))),1,0)</f>
        <v/>
      </c>
      <c r="E846" s="34">
        <f>IF(AND($A845&lt;&gt;"",'算罪台'!$B$6&lt;&gt;"",ISNUMBER(SEARCH($A845,'算罪台'!$B$6))),1,0)</f>
        <v/>
      </c>
    </row>
    <row r="847">
      <c r="A847" s="34" t="inlineStr">
        <is>
          <t>脱逃</t>
        </is>
      </c>
      <c r="B847" s="34" t="inlineStr">
        <is>
          <t>逃避羁押罪</t>
        </is>
      </c>
      <c r="C847" s="34">
        <f>IF(AND($A846&lt;&gt;"",'算罪台'!$B$4&lt;&gt;"",ISNUMBER(SEARCH($A846,'算罪台'!$B$4))),1,0)</f>
        <v/>
      </c>
      <c r="D847" s="34">
        <f>IF(AND($A846&lt;&gt;"",'算罪台'!$B$5&lt;&gt;"",ISNUMBER(SEARCH($A846,'算罪台'!$B$5))),1,0)</f>
        <v/>
      </c>
      <c r="E847" s="34">
        <f>IF(AND($A846&lt;&gt;"",'算罪台'!$B$6&lt;&gt;"",ISNUMBER(SEARCH($A846,'算罪台'!$B$6))),1,0)</f>
        <v/>
      </c>
    </row>
    <row r="848">
      <c r="A848" s="34" t="inlineStr">
        <is>
          <t>逃离监管</t>
        </is>
      </c>
      <c r="B848" s="34" t="inlineStr">
        <is>
          <t>逃避羁押罪</t>
        </is>
      </c>
      <c r="C848" s="34">
        <f>IF(AND($A847&lt;&gt;"",'算罪台'!$B$4&lt;&gt;"",ISNUMBER(SEARCH($A847,'算罪台'!$B$4))),1,0)</f>
        <v/>
      </c>
      <c r="D848" s="34">
        <f>IF(AND($A847&lt;&gt;"",'算罪台'!$B$5&lt;&gt;"",ISNUMBER(SEARCH($A847,'算罪台'!$B$5))),1,0)</f>
        <v/>
      </c>
      <c r="E848" s="34">
        <f>IF(AND($A847&lt;&gt;"",'算罪台'!$B$6&lt;&gt;"",ISNUMBER(SEARCH($A847,'算罪台'!$B$6))),1,0)</f>
        <v/>
      </c>
    </row>
    <row r="849">
      <c r="A849" s="34" t="inlineStr">
        <is>
          <t>逃脱羁押</t>
        </is>
      </c>
      <c r="B849" s="34" t="inlineStr">
        <is>
          <t>逃避羁押罪</t>
        </is>
      </c>
      <c r="C849" s="34">
        <f>IF(AND($A848&lt;&gt;"",'算罪台'!$B$4&lt;&gt;"",ISNUMBER(SEARCH($A848,'算罪台'!$B$4))),1,0)</f>
        <v/>
      </c>
      <c r="D849" s="34">
        <f>IF(AND($A848&lt;&gt;"",'算罪台'!$B$5&lt;&gt;"",ISNUMBER(SEARCH($A848,'算罪台'!$B$5))),1,0)</f>
        <v/>
      </c>
      <c r="E849" s="34">
        <f>IF(AND($A848&lt;&gt;"",'算罪台'!$B$6&lt;&gt;"",ISNUMBER(SEARCH($A848,'算罪台'!$B$6))),1,0)</f>
        <v/>
      </c>
    </row>
    <row r="850">
      <c r="A850" s="34" t="inlineStr">
        <is>
          <t>从拘留中逃</t>
        </is>
      </c>
      <c r="B850" s="34" t="inlineStr">
        <is>
          <t>逃避羁押罪</t>
        </is>
      </c>
      <c r="C850" s="34">
        <f>IF(AND($A849&lt;&gt;"",'算罪台'!$B$4&lt;&gt;"",ISNUMBER(SEARCH($A849,'算罪台'!$B$4))),1,0)</f>
        <v/>
      </c>
      <c r="D850" s="34">
        <f>IF(AND($A849&lt;&gt;"",'算罪台'!$B$5&lt;&gt;"",ISNUMBER(SEARCH($A849,'算罪台'!$B$5))),1,0)</f>
        <v/>
      </c>
      <c r="E850" s="34">
        <f>IF(AND($A849&lt;&gt;"",'算罪台'!$B$6&lt;&gt;"",ISNUMBER(SEARCH($A849,'算罪台'!$B$6))),1,0)</f>
        <v/>
      </c>
    </row>
    <row r="851">
      <c r="A851" s="34" t="inlineStr">
        <is>
          <t>从警车上逃</t>
        </is>
      </c>
      <c r="B851" s="34" t="inlineStr">
        <is>
          <t>逃避羁押罪</t>
        </is>
      </c>
      <c r="C851" s="34">
        <f>IF(AND($A850&lt;&gt;"",'算罪台'!$B$4&lt;&gt;"",ISNUMBER(SEARCH($A850,'算罪台'!$B$4))),1,0)</f>
        <v/>
      </c>
      <c r="D851" s="34">
        <f>IF(AND($A850&lt;&gt;"",'算罪台'!$B$5&lt;&gt;"",ISNUMBER(SEARCH($A850,'算罪台'!$B$5))),1,0)</f>
        <v/>
      </c>
      <c r="E851" s="34">
        <f>IF(AND($A850&lt;&gt;"",'算罪台'!$B$6&lt;&gt;"",ISNUMBER(SEARCH($A850,'算罪台'!$B$6))),1,0)</f>
        <v/>
      </c>
    </row>
    <row r="852">
      <c r="A852" s="34" t="inlineStr">
        <is>
          <t>逃出监管</t>
        </is>
      </c>
      <c r="B852" s="34" t="inlineStr">
        <is>
          <t>逃避羁押罪</t>
        </is>
      </c>
      <c r="C852" s="34">
        <f>IF(AND($A851&lt;&gt;"",'算罪台'!$B$4&lt;&gt;"",ISNUMBER(SEARCH($A851,'算罪台'!$B$4))),1,0)</f>
        <v/>
      </c>
      <c r="D852" s="34">
        <f>IF(AND($A851&lt;&gt;"",'算罪台'!$B$5&lt;&gt;"",ISNUMBER(SEARCH($A851,'算罪台'!$B$5))),1,0)</f>
        <v/>
      </c>
      <c r="E852" s="34">
        <f>IF(AND($A851&lt;&gt;"",'算罪台'!$B$6&lt;&gt;"",ISNUMBER(SEARCH($A851,'算罪台'!$B$6))),1,0)</f>
        <v/>
      </c>
    </row>
    <row r="853">
      <c r="A853" s="34" t="inlineStr">
        <is>
          <t>保释期间潜逃</t>
        </is>
      </c>
      <c r="B853" s="34" t="inlineStr">
        <is>
          <t>逃避羁押罪</t>
        </is>
      </c>
      <c r="C853" s="34">
        <f>IF(AND($A852&lt;&gt;"",'算罪台'!$B$4&lt;&gt;"",ISNUMBER(SEARCH($A852,'算罪台'!$B$4))),1,0)</f>
        <v/>
      </c>
      <c r="D853" s="34">
        <f>IF(AND($A852&lt;&gt;"",'算罪台'!$B$5&lt;&gt;"",ISNUMBER(SEARCH($A852,'算罪台'!$B$5))),1,0)</f>
        <v/>
      </c>
      <c r="E853" s="34">
        <f>IF(AND($A852&lt;&gt;"",'算罪台'!$B$6&lt;&gt;"",ISNUMBER(SEARCH($A852,'算罪台'!$B$6))),1,0)</f>
        <v/>
      </c>
    </row>
    <row r="854">
      <c r="A854" s="34" t="inlineStr">
        <is>
          <t>押解途中逃</t>
        </is>
      </c>
      <c r="B854" s="34" t="inlineStr">
        <is>
          <t>逃避羁押罪</t>
        </is>
      </c>
      <c r="C854" s="34">
        <f>IF(AND($A853&lt;&gt;"",'算罪台'!$B$4&lt;&gt;"",ISNUMBER(SEARCH($A853,'算罪台'!$B$4))),1,0)</f>
        <v/>
      </c>
      <c r="D854" s="34">
        <f>IF(AND($A853&lt;&gt;"",'算罪台'!$B$5&lt;&gt;"",ISNUMBER(SEARCH($A853,'算罪台'!$B$5))),1,0)</f>
        <v/>
      </c>
      <c r="E854" s="34">
        <f>IF(AND($A853&lt;&gt;"",'算罪台'!$B$6&lt;&gt;"",ISNUMBER(SEARCH($A853,'算罪台'!$B$6))),1,0)</f>
        <v/>
      </c>
    </row>
    <row r="855">
      <c r="A855" s="34" t="inlineStr">
        <is>
          <t>押送途中逃</t>
        </is>
      </c>
      <c r="B855" s="34" t="inlineStr">
        <is>
          <t>逃避羁押罪</t>
        </is>
      </c>
      <c r="C855" s="34">
        <f>IF(AND($A854&lt;&gt;"",'算罪台'!$B$4&lt;&gt;"",ISNUMBER(SEARCH($A854,'算罪台'!$B$4))),1,0)</f>
        <v/>
      </c>
      <c r="D855" s="34">
        <f>IF(AND($A854&lt;&gt;"",'算罪台'!$B$5&lt;&gt;"",ISNUMBER(SEARCH($A854,'算罪台'!$B$5))),1,0)</f>
        <v/>
      </c>
      <c r="E855" s="34">
        <f>IF(AND($A854&lt;&gt;"",'算罪台'!$B$6&lt;&gt;"",ISNUMBER(SEARCH($A854,'算罪台'!$B$6))),1,0)</f>
        <v/>
      </c>
    </row>
    <row r="856">
      <c r="A856" s="34" t="inlineStr">
        <is>
          <t>被捕后逃</t>
        </is>
      </c>
      <c r="B856" s="34" t="inlineStr">
        <is>
          <t>逃避羁押罪</t>
        </is>
      </c>
      <c r="C856" s="34">
        <f>IF(AND($A855&lt;&gt;"",'算罪台'!$B$4&lt;&gt;"",ISNUMBER(SEARCH($A855,'算罪台'!$B$4))),1,0)</f>
        <v/>
      </c>
      <c r="D856" s="34">
        <f>IF(AND($A855&lt;&gt;"",'算罪台'!$B$5&lt;&gt;"",ISNUMBER(SEARCH($A855,'算罪台'!$B$5))),1,0)</f>
        <v/>
      </c>
      <c r="E856" s="34">
        <f>IF(AND($A855&lt;&gt;"",'算罪台'!$B$6&lt;&gt;"",ISNUMBER(SEARCH($A855,'算罪台'!$B$6))),1,0)</f>
        <v/>
      </c>
    </row>
    <row r="857">
      <c r="A857" s="34" t="inlineStr">
        <is>
          <t>逮捕后逃</t>
        </is>
      </c>
      <c r="B857" s="34" t="inlineStr">
        <is>
          <t>逃避羁押罪</t>
        </is>
      </c>
      <c r="C857" s="34">
        <f>IF(AND($A856&lt;&gt;"",'算罪台'!$B$4&lt;&gt;"",ISNUMBER(SEARCH($A856,'算罪台'!$B$4))),1,0)</f>
        <v/>
      </c>
      <c r="D857" s="34">
        <f>IF(AND($A856&lt;&gt;"",'算罪台'!$B$5&lt;&gt;"",ISNUMBER(SEARCH($A856,'算罪台'!$B$5))),1,0)</f>
        <v/>
      </c>
      <c r="E857" s="34">
        <f>IF(AND($A856&lt;&gt;"",'算罪台'!$B$6&lt;&gt;"",ISNUMBER(SEARCH($A856,'算罪台'!$B$6))),1,0)</f>
        <v/>
      </c>
    </row>
    <row r="858">
      <c r="A858" s="34" t="inlineStr">
        <is>
          <t>被抓后逃</t>
        </is>
      </c>
      <c r="B858" s="34" t="inlineStr">
        <is>
          <t>逃避羁押罪</t>
        </is>
      </c>
      <c r="C858" s="34">
        <f>IF(AND($A857&lt;&gt;"",'算罪台'!$B$4&lt;&gt;"",ISNUMBER(SEARCH($A857,'算罪台'!$B$4))),1,0)</f>
        <v/>
      </c>
      <c r="D858" s="34">
        <f>IF(AND($A857&lt;&gt;"",'算罪台'!$B$5&lt;&gt;"",ISNUMBER(SEARCH($A857,'算罪台'!$B$5))),1,0)</f>
        <v/>
      </c>
      <c r="E858" s="34">
        <f>IF(AND($A857&lt;&gt;"",'算罪台'!$B$6&lt;&gt;"",ISNUMBER(SEARCH($A857,'算罪台'!$B$6))),1,0)</f>
        <v/>
      </c>
    </row>
    <row r="859">
      <c r="A859" s="34" t="inlineStr">
        <is>
          <t>抓住后逃</t>
        </is>
      </c>
      <c r="B859" s="34" t="inlineStr">
        <is>
          <t>逃避羁押罪</t>
        </is>
      </c>
      <c r="C859" s="34">
        <f>IF(AND($A858&lt;&gt;"",'算罪台'!$B$4&lt;&gt;"",ISNUMBER(SEARCH($A858,'算罪台'!$B$4))),1,0)</f>
        <v/>
      </c>
      <c r="D859" s="34">
        <f>IF(AND($A858&lt;&gt;"",'算罪台'!$B$5&lt;&gt;"",ISNUMBER(SEARCH($A858,'算罪台'!$B$5))),1,0)</f>
        <v/>
      </c>
      <c r="E859" s="34">
        <f>IF(AND($A858&lt;&gt;"",'算罪台'!$B$6&lt;&gt;"",ISNUMBER(SEARCH($A858,'算罪台'!$B$6))),1,0)</f>
        <v/>
      </c>
    </row>
    <row r="860">
      <c r="A860" s="34" t="inlineStr">
        <is>
          <t>抓获后逃</t>
        </is>
      </c>
      <c r="B860" s="34" t="inlineStr">
        <is>
          <t>逃避羁押罪</t>
        </is>
      </c>
      <c r="C860" s="34">
        <f>IF(AND($A859&lt;&gt;"",'算罪台'!$B$4&lt;&gt;"",ISNUMBER(SEARCH($A859,'算罪台'!$B$4))),1,0)</f>
        <v/>
      </c>
      <c r="D860" s="34">
        <f>IF(AND($A859&lt;&gt;"",'算罪台'!$B$5&lt;&gt;"",ISNUMBER(SEARCH($A859,'算罪台'!$B$5))),1,0)</f>
        <v/>
      </c>
      <c r="E860" s="34">
        <f>IF(AND($A859&lt;&gt;"",'算罪台'!$B$6&lt;&gt;"",ISNUMBER(SEARCH($A859,'算罪台'!$B$6))),1,0)</f>
        <v/>
      </c>
    </row>
    <row r="861">
      <c r="A861" s="34" t="inlineStr">
        <is>
          <t>铐上后逃</t>
        </is>
      </c>
      <c r="B861" s="34" t="inlineStr">
        <is>
          <t>逃避羁押罪</t>
        </is>
      </c>
      <c r="C861" s="34">
        <f>IF(AND($A860&lt;&gt;"",'算罪台'!$B$4&lt;&gt;"",ISNUMBER(SEARCH($A860,'算罪台'!$B$4))),1,0)</f>
        <v/>
      </c>
      <c r="D861" s="34">
        <f>IF(AND($A860&lt;&gt;"",'算罪台'!$B$5&lt;&gt;"",ISNUMBER(SEARCH($A860,'算罪台'!$B$5))),1,0)</f>
        <v/>
      </c>
      <c r="E861" s="34">
        <f>IF(AND($A860&lt;&gt;"",'算罪台'!$B$6&lt;&gt;"",ISNUMBER(SEARCH($A860,'算罪台'!$B$6))),1,0)</f>
        <v/>
      </c>
    </row>
    <row r="862">
      <c r="A862" s="34" t="inlineStr">
        <is>
          <t>铐住后逃</t>
        </is>
      </c>
      <c r="B862" s="34" t="inlineStr">
        <is>
          <t>逃避羁押罪</t>
        </is>
      </c>
      <c r="C862" s="34">
        <f>IF(AND($A861&lt;&gt;"",'算罪台'!$B$4&lt;&gt;"",ISNUMBER(SEARCH($A861,'算罪台'!$B$4))),1,0)</f>
        <v/>
      </c>
      <c r="D862" s="34">
        <f>IF(AND($A861&lt;&gt;"",'算罪台'!$B$5&lt;&gt;"",ISNUMBER(SEARCH($A861,'算罪台'!$B$5))),1,0)</f>
        <v/>
      </c>
      <c r="E862" s="34">
        <f>IF(AND($A861&lt;&gt;"",'算罪台'!$B$6&lt;&gt;"",ISNUMBER(SEARCH($A861,'算罪台'!$B$6))),1,0)</f>
        <v/>
      </c>
    </row>
    <row r="863">
      <c r="A863" s="34" t="inlineStr">
        <is>
          <t>收押后逃</t>
        </is>
      </c>
      <c r="B863" s="34" t="inlineStr">
        <is>
          <t>逃避羁押罪</t>
        </is>
      </c>
      <c r="C863" s="34">
        <f>IF(AND($A862&lt;&gt;"",'算罪台'!$B$4&lt;&gt;"",ISNUMBER(SEARCH($A862,'算罪台'!$B$4))),1,0)</f>
        <v/>
      </c>
      <c r="D863" s="34">
        <f>IF(AND($A862&lt;&gt;"",'算罪台'!$B$5&lt;&gt;"",ISNUMBER(SEARCH($A862,'算罪台'!$B$5))),1,0)</f>
        <v/>
      </c>
      <c r="E863" s="34">
        <f>IF(AND($A862&lt;&gt;"",'算罪台'!$B$6&lt;&gt;"",ISNUMBER(SEARCH($A862,'算罪台'!$B$6))),1,0)</f>
        <v/>
      </c>
    </row>
    <row r="864">
      <c r="A864" s="34" t="inlineStr">
        <is>
          <t>拘留后逃</t>
        </is>
      </c>
      <c r="B864" s="34" t="inlineStr">
        <is>
          <t>逃避羁押罪</t>
        </is>
      </c>
      <c r="C864" s="34">
        <f>IF(AND($A863&lt;&gt;"",'算罪台'!$B$4&lt;&gt;"",ISNUMBER(SEARCH($A863,'算罪台'!$B$4))),1,0)</f>
        <v/>
      </c>
      <c r="D864" s="34">
        <f>IF(AND($A863&lt;&gt;"",'算罪台'!$B$5&lt;&gt;"",ISNUMBER(SEARCH($A863,'算罪台'!$B$5))),1,0)</f>
        <v/>
      </c>
      <c r="E864" s="34">
        <f>IF(AND($A863&lt;&gt;"",'算罪台'!$B$6&lt;&gt;"",ISNUMBER(SEARCH($A863,'算罪台'!$B$6))),1,0)</f>
        <v/>
      </c>
    </row>
    <row r="865">
      <c r="A865" s="34" t="inlineStr">
        <is>
          <t>关进警局后逃</t>
        </is>
      </c>
      <c r="B865" s="34" t="inlineStr">
        <is>
          <t>逃避羁押罪</t>
        </is>
      </c>
      <c r="C865" s="34">
        <f>IF(AND($A864&lt;&gt;"",'算罪台'!$B$4&lt;&gt;"",ISNUMBER(SEARCH($A864,'算罪台'!$B$4))),1,0)</f>
        <v/>
      </c>
      <c r="D865" s="34">
        <f>IF(AND($A864&lt;&gt;"",'算罪台'!$B$5&lt;&gt;"",ISNUMBER(SEARCH($A864,'算罪台'!$B$5))),1,0)</f>
        <v/>
      </c>
      <c r="E865" s="34">
        <f>IF(AND($A864&lt;&gt;"",'算罪台'!$B$6&lt;&gt;"",ISNUMBER(SEARCH($A864,'算罪台'!$B$6))),1,0)</f>
        <v/>
      </c>
    </row>
    <row r="866">
      <c r="A866" s="34" t="inlineStr">
        <is>
          <t>进局子后逃</t>
        </is>
      </c>
      <c r="B866" s="34" t="inlineStr">
        <is>
          <t>逃避羁押罪</t>
        </is>
      </c>
      <c r="C866" s="34">
        <f>IF(AND($A865&lt;&gt;"",'算罪台'!$B$4&lt;&gt;"",ISNUMBER(SEARCH($A865,'算罪台'!$B$4))),1,0)</f>
        <v/>
      </c>
      <c r="D866" s="34">
        <f>IF(AND($A865&lt;&gt;"",'算罪台'!$B$5&lt;&gt;"",ISNUMBER(SEARCH($A865,'算罪台'!$B$5))),1,0)</f>
        <v/>
      </c>
      <c r="E866" s="34">
        <f>IF(AND($A865&lt;&gt;"",'算罪台'!$B$6&lt;&gt;"",ISNUMBER(SEARCH($A865,'算罪台'!$B$6))),1,0)</f>
        <v/>
      </c>
    </row>
    <row r="867">
      <c r="A867" s="34" t="inlineStr">
        <is>
          <t>戴上手铐后跑</t>
        </is>
      </c>
      <c r="B867" s="34" t="inlineStr">
        <is>
          <t>逃避羁押罪</t>
        </is>
      </c>
      <c r="C867" s="34">
        <f>IF(AND($A866&lt;&gt;"",'算罪台'!$B$4&lt;&gt;"",ISNUMBER(SEARCH($A866,'算罪台'!$B$4))),1,0)</f>
        <v/>
      </c>
      <c r="D867" s="34">
        <f>IF(AND($A866&lt;&gt;"",'算罪台'!$B$5&lt;&gt;"",ISNUMBER(SEARCH($A866,'算罪台'!$B$5))),1,0)</f>
        <v/>
      </c>
      <c r="E867" s="34">
        <f>IF(AND($A866&lt;&gt;"",'算罪台'!$B$6&lt;&gt;"",ISNUMBER(SEARCH($A866,'算罪台'!$B$6))),1,0)</f>
        <v/>
      </c>
    </row>
    <row r="868">
      <c r="A868" s="34" t="inlineStr">
        <is>
          <t>押上车后逃</t>
        </is>
      </c>
      <c r="B868" s="34" t="inlineStr">
        <is>
          <t>逃避羁押罪</t>
        </is>
      </c>
      <c r="C868" s="34">
        <f>IF(AND($A867&lt;&gt;"",'算罪台'!$B$4&lt;&gt;"",ISNUMBER(SEARCH($A867,'算罪台'!$B$4))),1,0)</f>
        <v/>
      </c>
      <c r="D868" s="34">
        <f>IF(AND($A867&lt;&gt;"",'算罪台'!$B$5&lt;&gt;"",ISNUMBER(SEARCH($A867,'算罪台'!$B$5))),1,0)</f>
        <v/>
      </c>
      <c r="E868" s="34">
        <f>IF(AND($A867&lt;&gt;"",'算罪台'!$B$6&lt;&gt;"",ISNUMBER(SEARCH($A867,'算罪台'!$B$6))),1,0)</f>
        <v/>
      </c>
    </row>
    <row r="869">
      <c r="A869" s="34" t="inlineStr">
        <is>
          <t>从拘留室跑</t>
        </is>
      </c>
      <c r="B869" s="34" t="inlineStr">
        <is>
          <t>逃避羁押罪</t>
        </is>
      </c>
      <c r="C869" s="34">
        <f>IF(AND($A868&lt;&gt;"",'算罪台'!$B$4&lt;&gt;"",ISNUMBER(SEARCH($A868,'算罪台'!$B$4))),1,0)</f>
        <v/>
      </c>
      <c r="D869" s="34">
        <f>IF(AND($A868&lt;&gt;"",'算罪台'!$B$5&lt;&gt;"",ISNUMBER(SEARCH($A868,'算罪台'!$B$5))),1,0)</f>
        <v/>
      </c>
      <c r="E869" s="34">
        <f>IF(AND($A868&lt;&gt;"",'算罪台'!$B$6&lt;&gt;"",ISNUMBER(SEARCH($A868,'算罪台'!$B$6))),1,0)</f>
        <v/>
      </c>
    </row>
    <row r="870">
      <c r="A870" s="34" t="inlineStr">
        <is>
          <t>拘押后逃</t>
        </is>
      </c>
      <c r="B870" s="34" t="inlineStr">
        <is>
          <t>逃避羁押罪</t>
        </is>
      </c>
      <c r="C870" s="34">
        <f>IF(AND($A869&lt;&gt;"",'算罪台'!$B$4&lt;&gt;"",ISNUMBER(SEARCH($A869,'算罪台'!$B$4))),1,0)</f>
        <v/>
      </c>
      <c r="D870" s="34">
        <f>IF(AND($A869&lt;&gt;"",'算罪台'!$B$5&lt;&gt;"",ISNUMBER(SEARCH($A869,'算罪台'!$B$5))),1,0)</f>
        <v/>
      </c>
      <c r="E870" s="34">
        <f>IF(AND($A869&lt;&gt;"",'算罪台'!$B$6&lt;&gt;"",ISNUMBER(SEARCH($A869,'算罪台'!$B$6))),1,0)</f>
        <v/>
      </c>
    </row>
    <row r="871">
      <c r="A871" s="34" t="inlineStr">
        <is>
          <t>在押逃脱</t>
        </is>
      </c>
      <c r="B871" s="34" t="inlineStr">
        <is>
          <t>逃避羁押罪</t>
        </is>
      </c>
      <c r="C871" s="34">
        <f>IF(AND($A870&lt;&gt;"",'算罪台'!$B$4&lt;&gt;"",ISNUMBER(SEARCH($A870,'算罪台'!$B$4))),1,0)</f>
        <v/>
      </c>
      <c r="D871" s="34">
        <f>IF(AND($A870&lt;&gt;"",'算罪台'!$B$5&lt;&gt;"",ISNUMBER(SEARCH($A870,'算罪台'!$B$5))),1,0)</f>
        <v/>
      </c>
      <c r="E871" s="34">
        <f>IF(AND($A870&lt;&gt;"",'算罪台'!$B$6&lt;&gt;"",ISNUMBER(SEARCH($A870,'算罪台'!$B$6))),1,0)</f>
        <v/>
      </c>
    </row>
    <row r="872">
      <c r="A872" s="34" t="inlineStr">
        <is>
          <t>被押后逃</t>
        </is>
      </c>
      <c r="B872" s="34" t="inlineStr">
        <is>
          <t>逃避羁押罪</t>
        </is>
      </c>
      <c r="C872" s="34">
        <f>IF(AND($A871&lt;&gt;"",'算罪台'!$B$4&lt;&gt;"",ISNUMBER(SEARCH($A871,'算罪台'!$B$4))),1,0)</f>
        <v/>
      </c>
      <c r="D872" s="34">
        <f>IF(AND($A871&lt;&gt;"",'算罪台'!$B$5&lt;&gt;"",ISNUMBER(SEARCH($A871,'算罪台'!$B$5))),1,0)</f>
        <v/>
      </c>
      <c r="E872" s="34">
        <f>IF(AND($A871&lt;&gt;"",'算罪台'!$B$6&lt;&gt;"",ISNUMBER(SEARCH($A871,'算罪台'!$B$6))),1,0)</f>
        <v/>
      </c>
    </row>
    <row r="873">
      <c r="A873" s="34" t="inlineStr">
        <is>
          <t>逮捕后脱逃</t>
        </is>
      </c>
      <c r="B873" s="34" t="inlineStr">
        <is>
          <t>逃避羁押罪</t>
        </is>
      </c>
      <c r="C873" s="34">
        <f>IF(AND($A872&lt;&gt;"",'算罪台'!$B$4&lt;&gt;"",ISNUMBER(SEARCH($A872,'算罪台'!$B$4))),1,0)</f>
        <v/>
      </c>
      <c r="D873" s="34">
        <f>IF(AND($A872&lt;&gt;"",'算罪台'!$B$5&lt;&gt;"",ISNUMBER(SEARCH($A872,'算罪台'!$B$5))),1,0)</f>
        <v/>
      </c>
      <c r="E873" s="34">
        <f>IF(AND($A872&lt;&gt;"",'算罪台'!$B$6&lt;&gt;"",ISNUMBER(SEARCH($A872,'算罪台'!$B$6))),1,0)</f>
        <v/>
      </c>
    </row>
    <row r="874">
      <c r="A874" s="34" t="inlineStr">
        <is>
          <t>羁押期间逃</t>
        </is>
      </c>
      <c r="B874" s="34" t="inlineStr">
        <is>
          <t>逃避羁押罪</t>
        </is>
      </c>
      <c r="C874" s="34">
        <f>IF(AND($A873&lt;&gt;"",'算罪台'!$B$4&lt;&gt;"",ISNUMBER(SEARCH($A873,'算罪台'!$B$4))),1,0)</f>
        <v/>
      </c>
      <c r="D874" s="34">
        <f>IF(AND($A873&lt;&gt;"",'算罪台'!$B$5&lt;&gt;"",ISNUMBER(SEARCH($A873,'算罪台'!$B$5))),1,0)</f>
        <v/>
      </c>
      <c r="E874" s="34">
        <f>IF(AND($A873&lt;&gt;"",'算罪台'!$B$6&lt;&gt;"",ISNUMBER(SEARCH($A873,'算罪台'!$B$6))),1,0)</f>
        <v/>
      </c>
    </row>
    <row r="875">
      <c r="A875" s="34" t="inlineStr">
        <is>
          <t>收监后逃</t>
        </is>
      </c>
      <c r="B875" s="34" t="inlineStr">
        <is>
          <t>逃避羁押罪</t>
        </is>
      </c>
      <c r="C875" s="34">
        <f>IF(AND($A874&lt;&gt;"",'算罪台'!$B$4&lt;&gt;"",ISNUMBER(SEARCH($A874,'算罪台'!$B$4))),1,0)</f>
        <v/>
      </c>
      <c r="D875" s="34">
        <f>IF(AND($A874&lt;&gt;"",'算罪台'!$B$5&lt;&gt;"",ISNUMBER(SEARCH($A874,'算罪台'!$B$5))),1,0)</f>
        <v/>
      </c>
      <c r="E875" s="34">
        <f>IF(AND($A874&lt;&gt;"",'算罪台'!$B$6&lt;&gt;"",ISNUMBER(SEARCH($A874,'算罪台'!$B$6))),1,0)</f>
        <v/>
      </c>
    </row>
    <row r="876">
      <c r="A876" s="34" t="inlineStr">
        <is>
          <t>藐视法庭</t>
        </is>
      </c>
      <c r="B876" s="34" t="inlineStr">
        <is>
          <t>藐视法庭罪</t>
        </is>
      </c>
      <c r="C876" s="34">
        <f>IF(AND($A875&lt;&gt;"",'算罪台'!$B$4&lt;&gt;"",ISNUMBER(SEARCH($A875,'算罪台'!$B$4))),1,0)</f>
        <v/>
      </c>
      <c r="D876" s="34">
        <f>IF(AND($A875&lt;&gt;"",'算罪台'!$B$5&lt;&gt;"",ISNUMBER(SEARCH($A875,'算罪台'!$B$5))),1,0)</f>
        <v/>
      </c>
      <c r="E876" s="34">
        <f>IF(AND($A875&lt;&gt;"",'算罪台'!$B$6&lt;&gt;"",ISNUMBER(SEARCH($A875,'算罪台'!$B$6))),1,0)</f>
        <v/>
      </c>
    </row>
    <row r="877">
      <c r="A877" s="34" t="inlineStr">
        <is>
          <t>扰乱法庭</t>
        </is>
      </c>
      <c r="B877" s="34" t="inlineStr">
        <is>
          <t>藐视法庭罪</t>
        </is>
      </c>
      <c r="C877" s="34">
        <f>IF(AND($A876&lt;&gt;"",'算罪台'!$B$4&lt;&gt;"",ISNUMBER(SEARCH($A876,'算罪台'!$B$4))),1,0)</f>
        <v/>
      </c>
      <c r="D877" s="34">
        <f>IF(AND($A876&lt;&gt;"",'算罪台'!$B$5&lt;&gt;"",ISNUMBER(SEARCH($A876,'算罪台'!$B$5))),1,0)</f>
        <v/>
      </c>
      <c r="E877" s="34">
        <f>IF(AND($A876&lt;&gt;"",'算罪台'!$B$6&lt;&gt;"",ISNUMBER(SEARCH($A876,'算罪台'!$B$6))),1,0)</f>
        <v/>
      </c>
    </row>
    <row r="878">
      <c r="A878" s="34" t="inlineStr">
        <is>
          <t>无视法庭命令</t>
        </is>
      </c>
      <c r="B878" s="34" t="inlineStr">
        <is>
          <t>藐视法庭罪</t>
        </is>
      </c>
      <c r="C878" s="34">
        <f>IF(AND($A877&lt;&gt;"",'算罪台'!$B$4&lt;&gt;"",ISNUMBER(SEARCH($A877,'算罪台'!$B$4))),1,0)</f>
        <v/>
      </c>
      <c r="D878" s="34">
        <f>IF(AND($A877&lt;&gt;"",'算罪台'!$B$5&lt;&gt;"",ISNUMBER(SEARCH($A877,'算罪台'!$B$5))),1,0)</f>
        <v/>
      </c>
      <c r="E878" s="34">
        <f>IF(AND($A877&lt;&gt;"",'算罪台'!$B$6&lt;&gt;"",ISNUMBER(SEARCH($A877,'算罪台'!$B$6))),1,0)</f>
        <v/>
      </c>
    </row>
    <row r="879">
      <c r="A879" s="34" t="inlineStr">
        <is>
          <t>不尊重法庭</t>
        </is>
      </c>
      <c r="B879" s="34" t="inlineStr">
        <is>
          <t>藐视法庭罪</t>
        </is>
      </c>
      <c r="C879" s="34">
        <f>IF(AND($A878&lt;&gt;"",'算罪台'!$B$4&lt;&gt;"",ISNUMBER(SEARCH($A878,'算罪台'!$B$4))),1,0)</f>
        <v/>
      </c>
      <c r="D879" s="34">
        <f>IF(AND($A878&lt;&gt;"",'算罪台'!$B$5&lt;&gt;"",ISNUMBER(SEARCH($A878,'算罪台'!$B$5))),1,0)</f>
        <v/>
      </c>
      <c r="E879" s="34">
        <f>IF(AND($A878&lt;&gt;"",'算罪台'!$B$6&lt;&gt;"",ISNUMBER(SEARCH($A878,'算罪台'!$B$6))),1,0)</f>
        <v/>
      </c>
    </row>
    <row r="880">
      <c r="A880" s="34" t="inlineStr">
        <is>
          <t>在法庭上闹</t>
        </is>
      </c>
      <c r="B880" s="34" t="inlineStr">
        <is>
          <t>藐视法庭罪</t>
        </is>
      </c>
      <c r="C880" s="34">
        <f>IF(AND($A879&lt;&gt;"",'算罪台'!$B$4&lt;&gt;"",ISNUMBER(SEARCH($A879,'算罪台'!$B$4))),1,0)</f>
        <v/>
      </c>
      <c r="D880" s="34">
        <f>IF(AND($A879&lt;&gt;"",'算罪台'!$B$5&lt;&gt;"",ISNUMBER(SEARCH($A879,'算罪台'!$B$5))),1,0)</f>
        <v/>
      </c>
      <c r="E880" s="34">
        <f>IF(AND($A879&lt;&gt;"",'算罪台'!$B$6&lt;&gt;"",ISNUMBER(SEARCH($A879,'算罪台'!$B$6))),1,0)</f>
        <v/>
      </c>
    </row>
    <row r="881">
      <c r="A881" s="34" t="inlineStr">
        <is>
          <t>法庭上撒泼</t>
        </is>
      </c>
      <c r="B881" s="34" t="inlineStr">
        <is>
          <t>藐视法庭罪</t>
        </is>
      </c>
      <c r="C881" s="34">
        <f>IF(AND($A880&lt;&gt;"",'算罪台'!$B$4&lt;&gt;"",ISNUMBER(SEARCH($A880,'算罪台'!$B$4))),1,0)</f>
        <v/>
      </c>
      <c r="D881" s="34">
        <f>IF(AND($A880&lt;&gt;"",'算罪台'!$B$5&lt;&gt;"",ISNUMBER(SEARCH($A880,'算罪台'!$B$5))),1,0)</f>
        <v/>
      </c>
      <c r="E881" s="34">
        <f>IF(AND($A880&lt;&gt;"",'算罪台'!$B$6&lt;&gt;"",ISNUMBER(SEARCH($A880,'算罪台'!$B$6))),1,0)</f>
        <v/>
      </c>
    </row>
    <row r="882">
      <c r="A882" s="34" t="inlineStr">
        <is>
          <t>不听法官</t>
        </is>
      </c>
      <c r="B882" s="34" t="inlineStr">
        <is>
          <t>藐视法庭罪</t>
        </is>
      </c>
      <c r="C882" s="34">
        <f>IF(AND($A881&lt;&gt;"",'算罪台'!$B$4&lt;&gt;"",ISNUMBER(SEARCH($A881,'算罪台'!$B$4))),1,0)</f>
        <v/>
      </c>
      <c r="D882" s="34">
        <f>IF(AND($A881&lt;&gt;"",'算罪台'!$B$5&lt;&gt;"",ISNUMBER(SEARCH($A881,'算罪台'!$B$5))),1,0)</f>
        <v/>
      </c>
      <c r="E882" s="34">
        <f>IF(AND($A881&lt;&gt;"",'算罪台'!$B$6&lt;&gt;"",ISNUMBER(SEARCH($A881,'算罪台'!$B$6))),1,0)</f>
        <v/>
      </c>
    </row>
    <row r="883">
      <c r="A883" s="34" t="inlineStr">
        <is>
          <t>顶撞法官</t>
        </is>
      </c>
      <c r="B883" s="34" t="inlineStr">
        <is>
          <t>藐视法庭罪</t>
        </is>
      </c>
      <c r="C883" s="34">
        <f>IF(AND($A882&lt;&gt;"",'算罪台'!$B$4&lt;&gt;"",ISNUMBER(SEARCH($A882,'算罪台'!$B$4))),1,0)</f>
        <v/>
      </c>
      <c r="D883" s="34">
        <f>IF(AND($A882&lt;&gt;"",'算罪台'!$B$5&lt;&gt;"",ISNUMBER(SEARCH($A882,'算罪台'!$B$5))),1,0)</f>
        <v/>
      </c>
      <c r="E883" s="34">
        <f>IF(AND($A882&lt;&gt;"",'算罪台'!$B$6&lt;&gt;"",ISNUMBER(SEARCH($A882,'算罪台'!$B$6))),1,0)</f>
        <v/>
      </c>
    </row>
    <row r="884">
      <c r="A884" s="34" t="inlineStr">
        <is>
          <t>扰乱庭审</t>
        </is>
      </c>
      <c r="B884" s="34" t="inlineStr">
        <is>
          <t>藐视法庭罪</t>
        </is>
      </c>
      <c r="C884" s="34">
        <f>IF(AND($A883&lt;&gt;"",'算罪台'!$B$4&lt;&gt;"",ISNUMBER(SEARCH($A883,'算罪台'!$B$4))),1,0)</f>
        <v/>
      </c>
      <c r="D884" s="34">
        <f>IF(AND($A883&lt;&gt;"",'算罪台'!$B$5&lt;&gt;"",ISNUMBER(SEARCH($A883,'算罪台'!$B$5))),1,0)</f>
        <v/>
      </c>
      <c r="E884" s="34">
        <f>IF(AND($A883&lt;&gt;"",'算罪台'!$B$6&lt;&gt;"",ISNUMBER(SEARCH($A883,'算罪台'!$B$6))),1,0)</f>
        <v/>
      </c>
    </row>
    <row r="885">
      <c r="A885" s="34" t="inlineStr">
        <is>
          <t>无视法官命令</t>
        </is>
      </c>
      <c r="B885" s="34" t="inlineStr">
        <is>
          <t>藐视法庭罪</t>
        </is>
      </c>
      <c r="C885" s="34">
        <f>IF(AND($A884&lt;&gt;"",'算罪台'!$B$4&lt;&gt;"",ISNUMBER(SEARCH($A884,'算罪台'!$B$4))),1,0)</f>
        <v/>
      </c>
      <c r="D885" s="34">
        <f>IF(AND($A884&lt;&gt;"",'算罪台'!$B$5&lt;&gt;"",ISNUMBER(SEARCH($A884,'算罪台'!$B$5))),1,0)</f>
        <v/>
      </c>
      <c r="E885" s="34">
        <f>IF(AND($A884&lt;&gt;"",'算罪台'!$B$6&lt;&gt;"",ISNUMBER(SEARCH($A884,'算罪台'!$B$6))),1,0)</f>
        <v/>
      </c>
    </row>
    <row r="886">
      <c r="A886" s="34" t="inlineStr">
        <is>
          <t>蔑视法庭</t>
        </is>
      </c>
      <c r="B886" s="34" t="inlineStr">
        <is>
          <t>藐视法庭罪</t>
        </is>
      </c>
      <c r="C886" s="34">
        <f>IF(AND($A885&lt;&gt;"",'算罪台'!$B$4&lt;&gt;"",ISNUMBER(SEARCH($A885,'算罪台'!$B$4))),1,0)</f>
        <v/>
      </c>
      <c r="D886" s="34">
        <f>IF(AND($A885&lt;&gt;"",'算罪台'!$B$5&lt;&gt;"",ISNUMBER(SEARCH($A885,'算罪台'!$B$5))),1,0)</f>
        <v/>
      </c>
      <c r="E886" s="34">
        <f>IF(AND($A885&lt;&gt;"",'算罪台'!$B$6&lt;&gt;"",ISNUMBER(SEARCH($A885,'算罪台'!$B$6))),1,0)</f>
        <v/>
      </c>
    </row>
    <row r="887">
      <c r="A887" s="34" t="inlineStr">
        <is>
          <t>扰乱法庭秩序</t>
        </is>
      </c>
      <c r="B887" s="34" t="inlineStr">
        <is>
          <t>藐视法庭罪</t>
        </is>
      </c>
      <c r="C887" s="34">
        <f>IF(AND($A886&lt;&gt;"",'算罪台'!$B$4&lt;&gt;"",ISNUMBER(SEARCH($A886,'算罪台'!$B$4))),1,0)</f>
        <v/>
      </c>
      <c r="D887" s="34">
        <f>IF(AND($A886&lt;&gt;"",'算罪台'!$B$5&lt;&gt;"",ISNUMBER(SEARCH($A886,'算罪台'!$B$5))),1,0)</f>
        <v/>
      </c>
      <c r="E887" s="34">
        <f>IF(AND($A886&lt;&gt;"",'算罪台'!$B$6&lt;&gt;"",ISNUMBER(SEARCH($A886,'算罪台'!$B$6))),1,0)</f>
        <v/>
      </c>
    </row>
    <row r="888">
      <c r="A888" s="34" t="inlineStr">
        <is>
          <t>无视法庭</t>
        </is>
      </c>
      <c r="B888" s="34" t="inlineStr">
        <is>
          <t>藐视法庭罪</t>
        </is>
      </c>
      <c r="C888" s="34">
        <f>IF(AND($A887&lt;&gt;"",'算罪台'!$B$4&lt;&gt;"",ISNUMBER(SEARCH($A887,'算罪台'!$B$4))),1,0)</f>
        <v/>
      </c>
      <c r="D888" s="34">
        <f>IF(AND($A887&lt;&gt;"",'算罪台'!$B$5&lt;&gt;"",ISNUMBER(SEARCH($A887,'算罪台'!$B$5))),1,0)</f>
        <v/>
      </c>
      <c r="E888" s="34">
        <f>IF(AND($A887&lt;&gt;"",'算罪台'!$B$6&lt;&gt;"",ISNUMBER(SEARCH($A887,'算罪台'!$B$6))),1,0)</f>
        <v/>
      </c>
    </row>
    <row r="889">
      <c r="A889" s="34" t="inlineStr">
        <is>
          <t>在庭上闹事</t>
        </is>
      </c>
      <c r="B889" s="34" t="inlineStr">
        <is>
          <t>藐视法庭罪</t>
        </is>
      </c>
      <c r="C889" s="34">
        <f>IF(AND($A888&lt;&gt;"",'算罪台'!$B$4&lt;&gt;"",ISNUMBER(SEARCH($A888,'算罪台'!$B$4))),1,0)</f>
        <v/>
      </c>
      <c r="D889" s="34">
        <f>IF(AND($A888&lt;&gt;"",'算罪台'!$B$5&lt;&gt;"",ISNUMBER(SEARCH($A888,'算罪台'!$B$5))),1,0)</f>
        <v/>
      </c>
      <c r="E889" s="34">
        <f>IF(AND($A888&lt;&gt;"",'算罪台'!$B$6&lt;&gt;"",ISNUMBER(SEARCH($A888,'算罪台'!$B$6))),1,0)</f>
        <v/>
      </c>
    </row>
    <row r="890">
      <c r="A890" s="34" t="inlineStr">
        <is>
          <t>扰乱审判</t>
        </is>
      </c>
      <c r="B890" s="34" t="inlineStr">
        <is>
          <t>藐视法庭罪</t>
        </is>
      </c>
      <c r="C890" s="34">
        <f>IF(AND($A889&lt;&gt;"",'算罪台'!$B$4&lt;&gt;"",ISNUMBER(SEARCH($A889,'算罪台'!$B$4))),1,0)</f>
        <v/>
      </c>
      <c r="D890" s="34">
        <f>IF(AND($A889&lt;&gt;"",'算罪台'!$B$5&lt;&gt;"",ISNUMBER(SEARCH($A889,'算罪台'!$B$5))),1,0)</f>
        <v/>
      </c>
      <c r="E890" s="34">
        <f>IF(AND($A889&lt;&gt;"",'算罪台'!$B$6&lt;&gt;"",ISNUMBER(SEARCH($A889,'算罪台'!$B$6))),1,0)</f>
        <v/>
      </c>
    </row>
    <row r="891">
      <c r="A891" s="34" t="inlineStr">
        <is>
          <t>恶意占用公共资源</t>
        </is>
      </c>
      <c r="B891" s="34" t="inlineStr">
        <is>
          <t>恶意占用公共资源罪</t>
        </is>
      </c>
      <c r="C891" s="34">
        <f>IF(AND($A890&lt;&gt;"",'算罪台'!$B$4&lt;&gt;"",ISNUMBER(SEARCH($A890,'算罪台'!$B$4))),1,0)</f>
        <v/>
      </c>
      <c r="D891" s="34">
        <f>IF(AND($A890&lt;&gt;"",'算罪台'!$B$5&lt;&gt;"",ISNUMBER(SEARCH($A890,'算罪台'!$B$5))),1,0)</f>
        <v/>
      </c>
      <c r="E891" s="34">
        <f>IF(AND($A890&lt;&gt;"",'算罪台'!$B$6&lt;&gt;"",ISNUMBER(SEARCH($A890,'算罪台'!$B$6))),1,0)</f>
        <v/>
      </c>
    </row>
    <row r="892">
      <c r="A892" s="34" t="inlineStr">
        <is>
          <t>骚扰报警电话</t>
        </is>
      </c>
      <c r="B892" s="34" t="inlineStr">
        <is>
          <t>恶意占用公共资源罪</t>
        </is>
      </c>
      <c r="C892" s="34">
        <f>IF(AND($A891&lt;&gt;"",'算罪台'!$B$4&lt;&gt;"",ISNUMBER(SEARCH($A891,'算罪台'!$B$4))),1,0)</f>
        <v/>
      </c>
      <c r="D892" s="34">
        <f>IF(AND($A891&lt;&gt;"",'算罪台'!$B$5&lt;&gt;"",ISNUMBER(SEARCH($A891,'算罪台'!$B$5))),1,0)</f>
        <v/>
      </c>
      <c r="E892" s="34">
        <f>IF(AND($A891&lt;&gt;"",'算罪台'!$B$6&lt;&gt;"",ISNUMBER(SEARCH($A891,'算罪台'!$B$6))),1,0)</f>
        <v/>
      </c>
    </row>
    <row r="893">
      <c r="A893" s="34" t="inlineStr">
        <is>
          <t>恶意报警</t>
        </is>
      </c>
      <c r="B893" s="34" t="inlineStr">
        <is>
          <t>恶意占用公共资源罪</t>
        </is>
      </c>
      <c r="C893" s="34">
        <f>IF(AND($A892&lt;&gt;"",'算罪台'!$B$4&lt;&gt;"",ISNUMBER(SEARCH($A892,'算罪台'!$B$4))),1,0)</f>
        <v/>
      </c>
      <c r="D893" s="34">
        <f>IF(AND($A892&lt;&gt;"",'算罪台'!$B$5&lt;&gt;"",ISNUMBER(SEARCH($A892,'算罪台'!$B$5))),1,0)</f>
        <v/>
      </c>
      <c r="E893" s="34">
        <f>IF(AND($A892&lt;&gt;"",'算罪台'!$B$6&lt;&gt;"",ISNUMBER(SEARCH($A892,'算罪台'!$B$6))),1,0)</f>
        <v/>
      </c>
    </row>
    <row r="894">
      <c r="A894" s="34" t="inlineStr">
        <is>
          <t>虚假报警</t>
        </is>
      </c>
      <c r="B894" s="34" t="inlineStr">
        <is>
          <t>恶意占用公共资源罪</t>
        </is>
      </c>
      <c r="C894" s="34">
        <f>IF(AND($A893&lt;&gt;"",'算罪台'!$B$4&lt;&gt;"",ISNUMBER(SEARCH($A893,'算罪台'!$B$4))),1,0)</f>
        <v/>
      </c>
      <c r="D894" s="34">
        <f>IF(AND($A893&lt;&gt;"",'算罪台'!$B$5&lt;&gt;"",ISNUMBER(SEARCH($A893,'算罪台'!$B$5))),1,0)</f>
        <v/>
      </c>
      <c r="E894" s="34">
        <f>IF(AND($A893&lt;&gt;"",'算罪台'!$B$6&lt;&gt;"",ISNUMBER(SEARCH($A893,'算罪台'!$B$6))),1,0)</f>
        <v/>
      </c>
    </row>
    <row r="895">
      <c r="A895" s="34" t="inlineStr">
        <is>
          <t>乱打报警</t>
        </is>
      </c>
      <c r="B895" s="34" t="inlineStr">
        <is>
          <t>恶意占用公共资源罪</t>
        </is>
      </c>
      <c r="C895" s="34">
        <f>IF(AND($A894&lt;&gt;"",'算罪台'!$B$4&lt;&gt;"",ISNUMBER(SEARCH($A894,'算罪台'!$B$4))),1,0)</f>
        <v/>
      </c>
      <c r="D895" s="34">
        <f>IF(AND($A894&lt;&gt;"",'算罪台'!$B$5&lt;&gt;"",ISNUMBER(SEARCH($A894,'算罪台'!$B$5))),1,0)</f>
        <v/>
      </c>
      <c r="E895" s="34">
        <f>IF(AND($A894&lt;&gt;"",'算罪台'!$B$6&lt;&gt;"",ISNUMBER(SEARCH($A894,'算罪台'!$B$6))),1,0)</f>
        <v/>
      </c>
    </row>
    <row r="896">
      <c r="A896" s="34" t="inlineStr">
        <is>
          <t>谎报警情</t>
        </is>
      </c>
      <c r="B896" s="34" t="inlineStr">
        <is>
          <t>恶意占用公共资源罪</t>
        </is>
      </c>
      <c r="C896" s="34">
        <f>IF(AND($A895&lt;&gt;"",'算罪台'!$B$4&lt;&gt;"",ISNUMBER(SEARCH($A895,'算罪台'!$B$4))),1,0)</f>
        <v/>
      </c>
      <c r="D896" s="34">
        <f>IF(AND($A895&lt;&gt;"",'算罪台'!$B$5&lt;&gt;"",ISNUMBER(SEARCH($A895,'算罪台'!$B$5))),1,0)</f>
        <v/>
      </c>
      <c r="E896" s="34">
        <f>IF(AND($A895&lt;&gt;"",'算罪台'!$B$6&lt;&gt;"",ISNUMBER(SEARCH($A895,'算罪台'!$B$6))),1,0)</f>
        <v/>
      </c>
    </row>
    <row r="897">
      <c r="A897" s="34" t="inlineStr">
        <is>
          <t>谎报</t>
        </is>
      </c>
      <c r="B897" s="34" t="inlineStr">
        <is>
          <t>恶意占用公共资源罪</t>
        </is>
      </c>
      <c r="C897" s="34">
        <f>IF(AND($A896&lt;&gt;"",'算罪台'!$B$4&lt;&gt;"",ISNUMBER(SEARCH($A896,'算罪台'!$B$4))),1,0)</f>
        <v/>
      </c>
      <c r="D897" s="34">
        <f>IF(AND($A896&lt;&gt;"",'算罪台'!$B$5&lt;&gt;"",ISNUMBER(SEARCH($A896,'算罪台'!$B$5))),1,0)</f>
        <v/>
      </c>
      <c r="E897" s="34">
        <f>IF(AND($A896&lt;&gt;"",'算罪台'!$B$6&lt;&gt;"",ISNUMBER(SEARCH($A896,'算罪台'!$B$6))),1,0)</f>
        <v/>
      </c>
    </row>
    <row r="898">
      <c r="A898" s="34" t="inlineStr">
        <is>
          <t>乱拨报警</t>
        </is>
      </c>
      <c r="B898" s="34" t="inlineStr">
        <is>
          <t>恶意占用公共资源罪</t>
        </is>
      </c>
      <c r="C898" s="34">
        <f>IF(AND($A897&lt;&gt;"",'算罪台'!$B$4&lt;&gt;"",ISNUMBER(SEARCH($A897,'算罪台'!$B$4))),1,0)</f>
        <v/>
      </c>
      <c r="D898" s="34">
        <f>IF(AND($A897&lt;&gt;"",'算罪台'!$B$5&lt;&gt;"",ISNUMBER(SEARCH($A897,'算罪台'!$B$5))),1,0)</f>
        <v/>
      </c>
      <c r="E898" s="34">
        <f>IF(AND($A897&lt;&gt;"",'算罪台'!$B$6&lt;&gt;"",ISNUMBER(SEARCH($A897,'算罪台'!$B$6))),1,0)</f>
        <v/>
      </c>
    </row>
    <row r="899">
      <c r="A899" s="34" t="inlineStr">
        <is>
          <t>瞎打报警</t>
        </is>
      </c>
      <c r="B899" s="34" t="inlineStr">
        <is>
          <t>恶意占用公共资源罪</t>
        </is>
      </c>
      <c r="C899" s="34">
        <f>IF(AND($A898&lt;&gt;"",'算罪台'!$B$4&lt;&gt;"",ISNUMBER(SEARCH($A898,'算罪台'!$B$4))),1,0)</f>
        <v/>
      </c>
      <c r="D899" s="34">
        <f>IF(AND($A898&lt;&gt;"",'算罪台'!$B$5&lt;&gt;"",ISNUMBER(SEARCH($A898,'算罪台'!$B$5))),1,0)</f>
        <v/>
      </c>
      <c r="E899" s="34">
        <f>IF(AND($A898&lt;&gt;"",'算罪台'!$B$6&lt;&gt;"",ISNUMBER(SEARCH($A898,'算罪台'!$B$6))),1,0)</f>
        <v/>
      </c>
    </row>
    <row r="900">
      <c r="A900" s="34" t="inlineStr">
        <is>
          <t>恶意报假警</t>
        </is>
      </c>
      <c r="B900" s="34" t="inlineStr">
        <is>
          <t>恶意占用公共资源罪</t>
        </is>
      </c>
      <c r="C900" s="34">
        <f>IF(AND($A899&lt;&gt;"",'算罪台'!$B$4&lt;&gt;"",ISNUMBER(SEARCH($A899,'算罪台'!$B$4))),1,0)</f>
        <v/>
      </c>
      <c r="D900" s="34">
        <f>IF(AND($A899&lt;&gt;"",'算罪台'!$B$5&lt;&gt;"",ISNUMBER(SEARCH($A899,'算罪台'!$B$5))),1,0)</f>
        <v/>
      </c>
      <c r="E900" s="34">
        <f>IF(AND($A899&lt;&gt;"",'算罪台'!$B$6&lt;&gt;"",ISNUMBER(SEARCH($A899,'算罪台'!$B$6))),1,0)</f>
        <v/>
      </c>
    </row>
    <row r="901">
      <c r="A901" s="34" t="inlineStr">
        <is>
          <t>骚扰报警热线</t>
        </is>
      </c>
      <c r="B901" s="34" t="inlineStr">
        <is>
          <t>恶意占用公共资源罪</t>
        </is>
      </c>
      <c r="C901" s="34">
        <f>IF(AND($A900&lt;&gt;"",'算罪台'!$B$4&lt;&gt;"",ISNUMBER(SEARCH($A900,'算罪台'!$B$4))),1,0)</f>
        <v/>
      </c>
      <c r="D901" s="34">
        <f>IF(AND($A900&lt;&gt;"",'算罪台'!$B$5&lt;&gt;"",ISNUMBER(SEARCH($A900,'算罪台'!$B$5))),1,0)</f>
        <v/>
      </c>
      <c r="E901" s="34">
        <f>IF(AND($A900&lt;&gt;"",'算罪台'!$B$6&lt;&gt;"",ISNUMBER(SEARCH($A900,'算罪台'!$B$6))),1,0)</f>
        <v/>
      </c>
    </row>
    <row r="902">
      <c r="A902" s="34" t="inlineStr">
        <is>
          <t>乱打急救</t>
        </is>
      </c>
      <c r="B902" s="34" t="inlineStr">
        <is>
          <t>恶意占用公共资源罪</t>
        </is>
      </c>
      <c r="C902" s="34">
        <f>IF(AND($A901&lt;&gt;"",'算罪台'!$B$4&lt;&gt;"",ISNUMBER(SEARCH($A901,'算罪台'!$B$4))),1,0)</f>
        <v/>
      </c>
      <c r="D902" s="34">
        <f>IF(AND($A901&lt;&gt;"",'算罪台'!$B$5&lt;&gt;"",ISNUMBER(SEARCH($A901,'算罪台'!$B$5))),1,0)</f>
        <v/>
      </c>
      <c r="E902" s="34">
        <f>IF(AND($A901&lt;&gt;"",'算罪台'!$B$6&lt;&gt;"",ISNUMBER(SEARCH($A901,'算罪台'!$B$6))),1,0)</f>
        <v/>
      </c>
    </row>
    <row r="903">
      <c r="A903" s="34" t="inlineStr">
        <is>
          <t>恶意拨打报警</t>
        </is>
      </c>
      <c r="B903" s="34" t="inlineStr">
        <is>
          <t>恶意占用公共资源罪</t>
        </is>
      </c>
      <c r="C903" s="34">
        <f>IF(AND($A902&lt;&gt;"",'算罪台'!$B$4&lt;&gt;"",ISNUMBER(SEARCH($A902,'算罪台'!$B$4))),1,0)</f>
        <v/>
      </c>
      <c r="D903" s="34">
        <f>IF(AND($A902&lt;&gt;"",'算罪台'!$B$5&lt;&gt;"",ISNUMBER(SEARCH($A902,'算罪台'!$B$5))),1,0)</f>
        <v/>
      </c>
      <c r="E903" s="34">
        <f>IF(AND($A902&lt;&gt;"",'算罪台'!$B$6&lt;&gt;"",ISNUMBER(SEARCH($A902,'算罪台'!$B$6))),1,0)</f>
        <v/>
      </c>
    </row>
    <row r="904">
      <c r="A904" s="34" t="inlineStr">
        <is>
          <t>虚假报案</t>
        </is>
      </c>
      <c r="B904" s="34" t="inlineStr">
        <is>
          <t>恶意占用公共资源罪</t>
        </is>
      </c>
      <c r="C904" s="34">
        <f>IF(AND($A903&lt;&gt;"",'算罪台'!$B$4&lt;&gt;"",ISNUMBER(SEARCH($A903,'算罪台'!$B$4))),1,0)</f>
        <v/>
      </c>
      <c r="D904" s="34">
        <f>IF(AND($A903&lt;&gt;"",'算罪台'!$B$5&lt;&gt;"",ISNUMBER(SEARCH($A903,'算罪台'!$B$5))),1,0)</f>
        <v/>
      </c>
      <c r="E904" s="34">
        <f>IF(AND($A903&lt;&gt;"",'算罪台'!$B$6&lt;&gt;"",ISNUMBER(SEARCH($A903,'算罪台'!$B$6))),1,0)</f>
        <v/>
      </c>
    </row>
    <row r="905">
      <c r="A905" s="34" t="inlineStr">
        <is>
          <t>滥用报警</t>
        </is>
      </c>
      <c r="B905" s="34" t="inlineStr">
        <is>
          <t>恶意占用公共资源罪</t>
        </is>
      </c>
      <c r="C905" s="34">
        <f>IF(AND($A904&lt;&gt;"",'算罪台'!$B$4&lt;&gt;"",ISNUMBER(SEARCH($A904,'算罪台'!$B$4))),1,0)</f>
        <v/>
      </c>
      <c r="D905" s="34">
        <f>IF(AND($A904&lt;&gt;"",'算罪台'!$B$5&lt;&gt;"",ISNUMBER(SEARCH($A904,'算罪台'!$B$5))),1,0)</f>
        <v/>
      </c>
      <c r="E905" s="34">
        <f>IF(AND($A904&lt;&gt;"",'算罪台'!$B$6&lt;&gt;"",ISNUMBER(SEARCH($A904,'算罪台'!$B$6))),1,0)</f>
        <v/>
      </c>
    </row>
    <row r="906">
      <c r="A906" s="34" t="inlineStr">
        <is>
          <t>假报警</t>
        </is>
      </c>
      <c r="B906" s="34" t="inlineStr">
        <is>
          <t>恶意占用公共资源罪</t>
        </is>
      </c>
      <c r="C906" s="34">
        <f>IF(AND($A905&lt;&gt;"",'算罪台'!$B$4&lt;&gt;"",ISNUMBER(SEARCH($A905,'算罪台'!$B$4))),1,0)</f>
        <v/>
      </c>
      <c r="D906" s="34">
        <f>IF(AND($A905&lt;&gt;"",'算罪台'!$B$5&lt;&gt;"",ISNUMBER(SEARCH($A905,'算罪台'!$B$5))),1,0)</f>
        <v/>
      </c>
      <c r="E906" s="34">
        <f>IF(AND($A905&lt;&gt;"",'算罪台'!$B$6&lt;&gt;"",ISNUMBER(SEARCH($A905,'算罪台'!$B$6))),1,0)</f>
        <v/>
      </c>
    </row>
    <row r="907">
      <c r="A907" s="34" t="inlineStr">
        <is>
          <t>进入封闭区域</t>
        </is>
      </c>
      <c r="B907" s="34" t="inlineStr">
        <is>
          <t>未经许可进入封闭紧急区域罪</t>
        </is>
      </c>
      <c r="C907" s="34">
        <f>IF(AND($A906&lt;&gt;"",'算罪台'!$B$4&lt;&gt;"",ISNUMBER(SEARCH($A906,'算罪台'!$B$4))),1,0)</f>
        <v/>
      </c>
      <c r="D907" s="34">
        <f>IF(AND($A906&lt;&gt;"",'算罪台'!$B$5&lt;&gt;"",ISNUMBER(SEARCH($A906,'算罪台'!$B$5))),1,0)</f>
        <v/>
      </c>
      <c r="E907" s="34">
        <f>IF(AND($A906&lt;&gt;"",'算罪台'!$B$6&lt;&gt;"",ISNUMBER(SEARCH($A906,'算罪台'!$B$6))),1,0)</f>
        <v/>
      </c>
    </row>
    <row r="908">
      <c r="A908" s="34" t="inlineStr">
        <is>
          <t>闯入警戒线</t>
        </is>
      </c>
      <c r="B908" s="34" t="inlineStr">
        <is>
          <t>未经许可进入封闭紧急区域罪</t>
        </is>
      </c>
      <c r="C908" s="34">
        <f>IF(AND($A907&lt;&gt;"",'算罪台'!$B$4&lt;&gt;"",ISNUMBER(SEARCH($A907,'算罪台'!$B$4))),1,0)</f>
        <v/>
      </c>
      <c r="D908" s="34">
        <f>IF(AND($A907&lt;&gt;"",'算罪台'!$B$5&lt;&gt;"",ISNUMBER(SEARCH($A907,'算罪台'!$B$5))),1,0)</f>
        <v/>
      </c>
      <c r="E908" s="34">
        <f>IF(AND($A907&lt;&gt;"",'算罪台'!$B$6&lt;&gt;"",ISNUMBER(SEARCH($A907,'算罪台'!$B$6))),1,0)</f>
        <v/>
      </c>
    </row>
    <row r="909">
      <c r="A909" s="34" t="inlineStr">
        <is>
          <t>擅闯封锁区</t>
        </is>
      </c>
      <c r="B909" s="34" t="inlineStr">
        <is>
          <t>未经许可进入封闭紧急区域罪</t>
        </is>
      </c>
      <c r="C909" s="34">
        <f>IF(AND($A908&lt;&gt;"",'算罪台'!$B$4&lt;&gt;"",ISNUMBER(SEARCH($A908,'算罪台'!$B$4))),1,0)</f>
        <v/>
      </c>
      <c r="D909" s="34">
        <f>IF(AND($A908&lt;&gt;"",'算罪台'!$B$5&lt;&gt;"",ISNUMBER(SEARCH($A908,'算罪台'!$B$5))),1,0)</f>
        <v/>
      </c>
      <c r="E909" s="34">
        <f>IF(AND($A908&lt;&gt;"",'算罪台'!$B$6&lt;&gt;"",ISNUMBER(SEARCH($A908,'算罪台'!$B$6))),1,0)</f>
        <v/>
      </c>
    </row>
    <row r="910">
      <c r="A910" s="34" t="inlineStr">
        <is>
          <t>越过警戒线</t>
        </is>
      </c>
      <c r="B910" s="34" t="inlineStr">
        <is>
          <t>未经许可进入封闭紧急区域罪</t>
        </is>
      </c>
      <c r="C910" s="34">
        <f>IF(AND($A909&lt;&gt;"",'算罪台'!$B$4&lt;&gt;"",ISNUMBER(SEARCH($A909,'算罪台'!$B$4))),1,0)</f>
        <v/>
      </c>
      <c r="D910" s="34">
        <f>IF(AND($A909&lt;&gt;"",'算罪台'!$B$5&lt;&gt;"",ISNUMBER(SEARCH($A909,'算罪台'!$B$5))),1,0)</f>
        <v/>
      </c>
      <c r="E910" s="34">
        <f>IF(AND($A909&lt;&gt;"",'算罪台'!$B$6&lt;&gt;"",ISNUMBER(SEARCH($A909,'算罪台'!$B$6))),1,0)</f>
        <v/>
      </c>
    </row>
    <row r="911">
      <c r="A911" s="34" t="inlineStr">
        <is>
          <t>闯入事故现场</t>
        </is>
      </c>
      <c r="B911" s="34" t="inlineStr">
        <is>
          <t>未经许可进入封闭紧急区域罪</t>
        </is>
      </c>
      <c r="C911" s="34">
        <f>IF(AND($A910&lt;&gt;"",'算罪台'!$B$4&lt;&gt;"",ISNUMBER(SEARCH($A910,'算罪台'!$B$4))),1,0)</f>
        <v/>
      </c>
      <c r="D911" s="34">
        <f>IF(AND($A910&lt;&gt;"",'算罪台'!$B$5&lt;&gt;"",ISNUMBER(SEARCH($A910,'算罪台'!$B$5))),1,0)</f>
        <v/>
      </c>
      <c r="E911" s="34">
        <f>IF(AND($A910&lt;&gt;"",'算罪台'!$B$6&lt;&gt;"",ISNUMBER(SEARCH($A910,'算罪台'!$B$6))),1,0)</f>
        <v/>
      </c>
    </row>
    <row r="912">
      <c r="A912" s="34" t="inlineStr">
        <is>
          <t>跨过警戒带</t>
        </is>
      </c>
      <c r="B912" s="34" t="inlineStr">
        <is>
          <t>未经许可进入封闭紧急区域罪</t>
        </is>
      </c>
      <c r="C912" s="34">
        <f>IF(AND($A911&lt;&gt;"",'算罪台'!$B$4&lt;&gt;"",ISNUMBER(SEARCH($A911,'算罪台'!$B$4))),1,0)</f>
        <v/>
      </c>
      <c r="D912" s="34">
        <f>IF(AND($A911&lt;&gt;"",'算罪台'!$B$5&lt;&gt;"",ISNUMBER(SEARCH($A911,'算罪台'!$B$5))),1,0)</f>
        <v/>
      </c>
      <c r="E912" s="34">
        <f>IF(AND($A911&lt;&gt;"",'算罪台'!$B$6&lt;&gt;"",ISNUMBER(SEARCH($A911,'算罪台'!$B$6))),1,0)</f>
        <v/>
      </c>
    </row>
    <row r="913">
      <c r="A913" s="34" t="inlineStr">
        <is>
          <t>闯进封锁线</t>
        </is>
      </c>
      <c r="B913" s="34" t="inlineStr">
        <is>
          <t>未经许可进入封闭紧急区域罪</t>
        </is>
      </c>
      <c r="C913" s="34">
        <f>IF(AND($A912&lt;&gt;"",'算罪台'!$B$4&lt;&gt;"",ISNUMBER(SEARCH($A912,'算罪台'!$B$4))),1,0)</f>
        <v/>
      </c>
      <c r="D913" s="34">
        <f>IF(AND($A912&lt;&gt;"",'算罪台'!$B$5&lt;&gt;"",ISNUMBER(SEARCH($A912,'算罪台'!$B$5))),1,0)</f>
        <v/>
      </c>
      <c r="E913" s="34">
        <f>IF(AND($A912&lt;&gt;"",'算罪台'!$B$6&lt;&gt;"",ISNUMBER(SEARCH($A912,'算罪台'!$B$6))),1,0)</f>
        <v/>
      </c>
    </row>
    <row r="914">
      <c r="A914" s="34" t="inlineStr">
        <is>
          <t>越过黄线</t>
        </is>
      </c>
      <c r="B914" s="34" t="inlineStr">
        <is>
          <t>未经许可进入封闭紧急区域罪</t>
        </is>
      </c>
      <c r="C914" s="34">
        <f>IF(AND($A913&lt;&gt;"",'算罪台'!$B$4&lt;&gt;"",ISNUMBER(SEARCH($A913,'算罪台'!$B$4))),1,0)</f>
        <v/>
      </c>
      <c r="D914" s="34">
        <f>IF(AND($A913&lt;&gt;"",'算罪台'!$B$5&lt;&gt;"",ISNUMBER(SEARCH($A913,'算罪台'!$B$5))),1,0)</f>
        <v/>
      </c>
      <c r="E914" s="34">
        <f>IF(AND($A913&lt;&gt;"",'算罪台'!$B$6&lt;&gt;"",ISNUMBER(SEARCH($A913,'算罪台'!$B$6))),1,0)</f>
        <v/>
      </c>
    </row>
    <row r="915">
      <c r="A915" s="34" t="inlineStr">
        <is>
          <t>闯事故现场</t>
        </is>
      </c>
      <c r="B915" s="34" t="inlineStr">
        <is>
          <t>未经许可进入封闭紧急区域罪</t>
        </is>
      </c>
      <c r="C915" s="34">
        <f>IF(AND($A914&lt;&gt;"",'算罪台'!$B$4&lt;&gt;"",ISNUMBER(SEARCH($A914,'算罪台'!$B$4))),1,0)</f>
        <v/>
      </c>
      <c r="D915" s="34">
        <f>IF(AND($A914&lt;&gt;"",'算罪台'!$B$5&lt;&gt;"",ISNUMBER(SEARCH($A914,'算罪台'!$B$5))),1,0)</f>
        <v/>
      </c>
      <c r="E915" s="34">
        <f>IF(AND($A914&lt;&gt;"",'算罪台'!$B$6&lt;&gt;"",ISNUMBER(SEARCH($A914,'算罪台'!$B$6))),1,0)</f>
        <v/>
      </c>
    </row>
    <row r="916">
      <c r="A916" s="34" t="inlineStr">
        <is>
          <t>跨过警戒</t>
        </is>
      </c>
      <c r="B916" s="34" t="inlineStr">
        <is>
          <t>未经许可进入封闭紧急区域罪</t>
        </is>
      </c>
      <c r="C916" s="34">
        <f>IF(AND($A915&lt;&gt;"",'算罪台'!$B$4&lt;&gt;"",ISNUMBER(SEARCH($A915,'算罪台'!$B$4))),1,0)</f>
        <v/>
      </c>
      <c r="D916" s="34">
        <f>IF(AND($A915&lt;&gt;"",'算罪台'!$B$5&lt;&gt;"",ISNUMBER(SEARCH($A915,'算罪台'!$B$5))),1,0)</f>
        <v/>
      </c>
      <c r="E916" s="34">
        <f>IF(AND($A915&lt;&gt;"",'算罪台'!$B$6&lt;&gt;"",ISNUMBER(SEARCH($A915,'算罪台'!$B$6))),1,0)</f>
        <v/>
      </c>
    </row>
    <row r="917">
      <c r="A917" s="34" t="inlineStr">
        <is>
          <t>穿越封锁线</t>
        </is>
      </c>
      <c r="B917" s="34" t="inlineStr">
        <is>
          <t>未经许可进入封闭紧急区域罪</t>
        </is>
      </c>
      <c r="C917" s="34">
        <f>IF(AND($A916&lt;&gt;"",'算罪台'!$B$4&lt;&gt;"",ISNUMBER(SEARCH($A916,'算罪台'!$B$4))),1,0)</f>
        <v/>
      </c>
      <c r="D917" s="34">
        <f>IF(AND($A916&lt;&gt;"",'算罪台'!$B$5&lt;&gt;"",ISNUMBER(SEARCH($A916,'算罪台'!$B$5))),1,0)</f>
        <v/>
      </c>
      <c r="E917" s="34">
        <f>IF(AND($A916&lt;&gt;"",'算罪台'!$B$6&lt;&gt;"",ISNUMBER(SEARCH($A916,'算罪台'!$B$6))),1,0)</f>
        <v/>
      </c>
    </row>
    <row r="918">
      <c r="A918" s="34" t="inlineStr">
        <is>
          <t>擅入封锁区</t>
        </is>
      </c>
      <c r="B918" s="34" t="inlineStr">
        <is>
          <t>未经许可进入封闭紧急区域罪</t>
        </is>
      </c>
      <c r="C918" s="34">
        <f>IF(AND($A917&lt;&gt;"",'算罪台'!$B$4&lt;&gt;"",ISNUMBER(SEARCH($A917,'算罪台'!$B$4))),1,0)</f>
        <v/>
      </c>
      <c r="D918" s="34">
        <f>IF(AND($A917&lt;&gt;"",'算罪台'!$B$5&lt;&gt;"",ISNUMBER(SEARCH($A917,'算罪台'!$B$5))),1,0)</f>
        <v/>
      </c>
      <c r="E918" s="34">
        <f>IF(AND($A917&lt;&gt;"",'算罪台'!$B$6&lt;&gt;"",ISNUMBER(SEARCH($A917,'算罪台'!$B$6))),1,0)</f>
        <v/>
      </c>
    </row>
    <row r="919">
      <c r="A919" s="34" t="inlineStr">
        <is>
          <t>闯入封锁现场</t>
        </is>
      </c>
      <c r="B919" s="34" t="inlineStr">
        <is>
          <t>未经许可进入封闭紧急区域罪</t>
        </is>
      </c>
      <c r="C919" s="34">
        <f>IF(AND($A918&lt;&gt;"",'算罪台'!$B$4&lt;&gt;"",ISNUMBER(SEARCH($A918,'算罪台'!$B$4))),1,0)</f>
        <v/>
      </c>
      <c r="D919" s="34">
        <f>IF(AND($A918&lt;&gt;"",'算罪台'!$B$5&lt;&gt;"",ISNUMBER(SEARCH($A918,'算罪台'!$B$5))),1,0)</f>
        <v/>
      </c>
      <c r="E919" s="34">
        <f>IF(AND($A918&lt;&gt;"",'算罪台'!$B$6&lt;&gt;"",ISNUMBER(SEARCH($A918,'算罪台'!$B$6))),1,0)</f>
        <v/>
      </c>
    </row>
    <row r="920">
      <c r="A920" s="34" t="inlineStr">
        <is>
          <t>越过警戒线进入</t>
        </is>
      </c>
      <c r="B920" s="34" t="inlineStr">
        <is>
          <t>未经许可进入封闭紧急区域罪</t>
        </is>
      </c>
      <c r="C920" s="34">
        <f>IF(AND($A919&lt;&gt;"",'算罪台'!$B$4&lt;&gt;"",ISNUMBER(SEARCH($A919,'算罪台'!$B$4))),1,0)</f>
        <v/>
      </c>
      <c r="D920" s="34">
        <f>IF(AND($A919&lt;&gt;"",'算罪台'!$B$5&lt;&gt;"",ISNUMBER(SEARCH($A919,'算罪台'!$B$5))),1,0)</f>
        <v/>
      </c>
      <c r="E920" s="34">
        <f>IF(AND($A919&lt;&gt;"",'算罪台'!$B$6&lt;&gt;"",ISNUMBER(SEARCH($A919,'算罪台'!$B$6))),1,0)</f>
        <v/>
      </c>
    </row>
    <row r="921">
      <c r="A921" s="34" t="inlineStr">
        <is>
          <t>强行进入封锁区</t>
        </is>
      </c>
      <c r="B921" s="34" t="inlineStr">
        <is>
          <t>未经许可进入封闭紧急区域罪</t>
        </is>
      </c>
      <c r="C921" s="34">
        <f>IF(AND($A920&lt;&gt;"",'算罪台'!$B$4&lt;&gt;"",ISNUMBER(SEARCH($A920,'算罪台'!$B$4))),1,0)</f>
        <v/>
      </c>
      <c r="D921" s="34">
        <f>IF(AND($A920&lt;&gt;"",'算罪台'!$B$5&lt;&gt;"",ISNUMBER(SEARCH($A920,'算罪台'!$B$5))),1,0)</f>
        <v/>
      </c>
      <c r="E921" s="34">
        <f>IF(AND($A920&lt;&gt;"",'算罪台'!$B$6&lt;&gt;"",ISNUMBER(SEARCH($A920,'算罪台'!$B$6))),1,0)</f>
        <v/>
      </c>
    </row>
    <row r="922">
      <c r="A922" s="34" t="inlineStr">
        <is>
          <t>袭警</t>
        </is>
      </c>
      <c r="B922" s="34" t="inlineStr">
        <is>
          <t>袭警罪</t>
        </is>
      </c>
      <c r="C922" s="34">
        <f>IF(AND($A921&lt;&gt;"",'算罪台'!$B$4&lt;&gt;"",ISNUMBER(SEARCH($A921,'算罪台'!$B$4))),1,0)</f>
        <v/>
      </c>
      <c r="D922" s="34">
        <f>IF(AND($A921&lt;&gt;"",'算罪台'!$B$5&lt;&gt;"",ISNUMBER(SEARCH($A921,'算罪台'!$B$5))),1,0)</f>
        <v/>
      </c>
      <c r="E922" s="34">
        <f>IF(AND($A921&lt;&gt;"",'算罪台'!$B$6&lt;&gt;"",ISNUMBER(SEARCH($A921,'算罪台'!$B$6))),1,0)</f>
        <v/>
      </c>
    </row>
    <row r="923">
      <c r="A923" s="34" t="inlineStr">
        <is>
          <t>袭击警察</t>
        </is>
      </c>
      <c r="B923" s="34" t="inlineStr">
        <is>
          <t>袭警罪</t>
        </is>
      </c>
      <c r="C923" s="34">
        <f>IF(AND($A922&lt;&gt;"",'算罪台'!$B$4&lt;&gt;"",ISNUMBER(SEARCH($A922,'算罪台'!$B$4))),1,0)</f>
        <v/>
      </c>
      <c r="D923" s="34">
        <f>IF(AND($A922&lt;&gt;"",'算罪台'!$B$5&lt;&gt;"",ISNUMBER(SEARCH($A922,'算罪台'!$B$5))),1,0)</f>
        <v/>
      </c>
      <c r="E923" s="34">
        <f>IF(AND($A922&lt;&gt;"",'算罪台'!$B$6&lt;&gt;"",ISNUMBER(SEARCH($A922,'算罪台'!$B$6))),1,0)</f>
        <v/>
      </c>
    </row>
    <row r="924">
      <c r="A924" s="34" t="inlineStr">
        <is>
          <t>打警察</t>
        </is>
      </c>
      <c r="B924" s="34" t="inlineStr">
        <is>
          <t>袭警罪</t>
        </is>
      </c>
      <c r="C924" s="34">
        <f>IF(AND($A923&lt;&gt;"",'算罪台'!$B$4&lt;&gt;"",ISNUMBER(SEARCH($A923,'算罪台'!$B$4))),1,0)</f>
        <v/>
      </c>
      <c r="D924" s="34">
        <f>IF(AND($A923&lt;&gt;"",'算罪台'!$B$5&lt;&gt;"",ISNUMBER(SEARCH($A923,'算罪台'!$B$5))),1,0)</f>
        <v/>
      </c>
      <c r="E924" s="34">
        <f>IF(AND($A923&lt;&gt;"",'算罪台'!$B$6&lt;&gt;"",ISNUMBER(SEARCH($A923,'算罪台'!$B$6))),1,0)</f>
        <v/>
      </c>
    </row>
    <row r="925">
      <c r="A925" s="34" t="inlineStr">
        <is>
          <t>攻击警察</t>
        </is>
      </c>
      <c r="B925" s="34" t="inlineStr">
        <is>
          <t>袭警罪</t>
        </is>
      </c>
      <c r="C925" s="34">
        <f>IF(AND($A924&lt;&gt;"",'算罪台'!$B$4&lt;&gt;"",ISNUMBER(SEARCH($A924,'算罪台'!$B$4))),1,0)</f>
        <v/>
      </c>
      <c r="D925" s="34">
        <f>IF(AND($A924&lt;&gt;"",'算罪台'!$B$5&lt;&gt;"",ISNUMBER(SEARCH($A924,'算罪台'!$B$5))),1,0)</f>
        <v/>
      </c>
      <c r="E925" s="34">
        <f>IF(AND($A924&lt;&gt;"",'算罪台'!$B$6&lt;&gt;"",ISNUMBER(SEARCH($A924,'算罪台'!$B$6))),1,0)</f>
        <v/>
      </c>
    </row>
    <row r="926">
      <c r="A926" s="34" t="inlineStr">
        <is>
          <t>伤害警察</t>
        </is>
      </c>
      <c r="B926" s="34" t="inlineStr">
        <is>
          <t>袭警罪</t>
        </is>
      </c>
      <c r="C926" s="34">
        <f>IF(AND($A925&lt;&gt;"",'算罪台'!$B$4&lt;&gt;"",ISNUMBER(SEARCH($A925,'算罪台'!$B$4))),1,0)</f>
        <v/>
      </c>
      <c r="D926" s="34">
        <f>IF(AND($A925&lt;&gt;"",'算罪台'!$B$5&lt;&gt;"",ISNUMBER(SEARCH($A925,'算罪台'!$B$5))),1,0)</f>
        <v/>
      </c>
      <c r="E926" s="34">
        <f>IF(AND($A925&lt;&gt;"",'算罪台'!$B$6&lt;&gt;"",ISNUMBER(SEARCH($A925,'算罪台'!$B$6))),1,0)</f>
        <v/>
      </c>
    </row>
    <row r="927">
      <c r="A927" s="34" t="inlineStr">
        <is>
          <t>攻击警车</t>
        </is>
      </c>
      <c r="B927" s="34" t="inlineStr">
        <is>
          <t>袭警罪</t>
        </is>
      </c>
      <c r="C927" s="34">
        <f>IF(AND($A926&lt;&gt;"",'算罪台'!$B$4&lt;&gt;"",ISNUMBER(SEARCH($A926,'算罪台'!$B$4))),1,0)</f>
        <v/>
      </c>
      <c r="D927" s="34">
        <f>IF(AND($A926&lt;&gt;"",'算罪台'!$B$5&lt;&gt;"",ISNUMBER(SEARCH($A926,'算罪台'!$B$5))),1,0)</f>
        <v/>
      </c>
      <c r="E927" s="34">
        <f>IF(AND($A926&lt;&gt;"",'算罪台'!$B$6&lt;&gt;"",ISNUMBER(SEARCH($A926,'算罪台'!$B$6))),1,0)</f>
        <v/>
      </c>
    </row>
    <row r="928">
      <c r="A928" s="34" t="inlineStr">
        <is>
          <t>攻击警犬</t>
        </is>
      </c>
      <c r="B928" s="34" t="inlineStr">
        <is>
          <t>袭警罪</t>
        </is>
      </c>
      <c r="C928" s="34">
        <f>IF(AND($A927&lt;&gt;"",'算罪台'!$B$4&lt;&gt;"",ISNUMBER(SEARCH($A927,'算罪台'!$B$4))),1,0)</f>
        <v/>
      </c>
      <c r="D928" s="34">
        <f>IF(AND($A927&lt;&gt;"",'算罪台'!$B$5&lt;&gt;"",ISNUMBER(SEARCH($A927,'算罪台'!$B$5))),1,0)</f>
        <v/>
      </c>
      <c r="E928" s="34">
        <f>IF(AND($A927&lt;&gt;"",'算罪台'!$B$6&lt;&gt;"",ISNUMBER(SEARCH($A927,'算罪台'!$B$6))),1,0)</f>
        <v/>
      </c>
    </row>
    <row r="929">
      <c r="A929" s="34" t="inlineStr">
        <is>
          <t>殴打警察</t>
        </is>
      </c>
      <c r="B929" s="34" t="inlineStr">
        <is>
          <t>袭警罪</t>
        </is>
      </c>
      <c r="C929" s="34">
        <f>IF(AND($A928&lt;&gt;"",'算罪台'!$B$4&lt;&gt;"",ISNUMBER(SEARCH($A928,'算罪台'!$B$4))),1,0)</f>
        <v/>
      </c>
      <c r="D929" s="34">
        <f>IF(AND($A928&lt;&gt;"",'算罪台'!$B$5&lt;&gt;"",ISNUMBER(SEARCH($A928,'算罪台'!$B$5))),1,0)</f>
        <v/>
      </c>
      <c r="E929" s="34">
        <f>IF(AND($A928&lt;&gt;"",'算罪台'!$B$6&lt;&gt;"",ISNUMBER(SEARCH($A928,'算罪台'!$B$6))),1,0)</f>
        <v/>
      </c>
    </row>
    <row r="930">
      <c r="A930" s="34" t="inlineStr">
        <is>
          <t>动手打警察</t>
        </is>
      </c>
      <c r="B930" s="34" t="inlineStr">
        <is>
          <t>袭警罪</t>
        </is>
      </c>
      <c r="C930" s="34">
        <f>IF(AND($A929&lt;&gt;"",'算罪台'!$B$4&lt;&gt;"",ISNUMBER(SEARCH($A929,'算罪台'!$B$4))),1,0)</f>
        <v/>
      </c>
      <c r="D930" s="34">
        <f>IF(AND($A929&lt;&gt;"",'算罪台'!$B$5&lt;&gt;"",ISNUMBER(SEARCH($A929,'算罪台'!$B$5))),1,0)</f>
        <v/>
      </c>
      <c r="E930" s="34">
        <f>IF(AND($A929&lt;&gt;"",'算罪台'!$B$6&lt;&gt;"",ISNUMBER(SEARCH($A929,'算罪台'!$B$6))),1,0)</f>
        <v/>
      </c>
    </row>
    <row r="931">
      <c r="A931" s="34" t="inlineStr">
        <is>
          <t>撞警车</t>
        </is>
      </c>
      <c r="B931" s="34" t="inlineStr">
        <is>
          <t>袭警罪</t>
        </is>
      </c>
      <c r="C931" s="34">
        <f>IF(AND($A930&lt;&gt;"",'算罪台'!$B$4&lt;&gt;"",ISNUMBER(SEARCH($A930,'算罪台'!$B$4))),1,0)</f>
        <v/>
      </c>
      <c r="D931" s="34">
        <f>IF(AND($A930&lt;&gt;"",'算罪台'!$B$5&lt;&gt;"",ISNUMBER(SEARCH($A930,'算罪台'!$B$5))),1,0)</f>
        <v/>
      </c>
      <c r="E931" s="34">
        <f>IF(AND($A930&lt;&gt;"",'算罪台'!$B$6&lt;&gt;"",ISNUMBER(SEARCH($A930,'算罪台'!$B$6))),1,0)</f>
        <v/>
      </c>
    </row>
    <row r="932">
      <c r="A932" s="34" t="inlineStr">
        <is>
          <t>枪击警察</t>
        </is>
      </c>
      <c r="B932" s="34" t="inlineStr">
        <is>
          <t>袭警罪</t>
        </is>
      </c>
      <c r="C932" s="34">
        <f>IF(AND($A931&lt;&gt;"",'算罪台'!$B$4&lt;&gt;"",ISNUMBER(SEARCH($A931,'算罪台'!$B$4))),1,0)</f>
        <v/>
      </c>
      <c r="D932" s="34">
        <f>IF(AND($A931&lt;&gt;"",'算罪台'!$B$5&lt;&gt;"",ISNUMBER(SEARCH($A931,'算罪台'!$B$5))),1,0)</f>
        <v/>
      </c>
      <c r="E932" s="34">
        <f>IF(AND($A931&lt;&gt;"",'算罪台'!$B$6&lt;&gt;"",ISNUMBER(SEARCH($A931,'算罪台'!$B$6))),1,0)</f>
        <v/>
      </c>
    </row>
    <row r="933">
      <c r="A933" s="34" t="inlineStr">
        <is>
          <t>打了警察</t>
        </is>
      </c>
      <c r="B933" s="34" t="inlineStr">
        <is>
          <t>袭警罪</t>
        </is>
      </c>
      <c r="C933" s="34">
        <f>IF(AND($A932&lt;&gt;"",'算罪台'!$B$4&lt;&gt;"",ISNUMBER(SEARCH($A932,'算罪台'!$B$4))),1,0)</f>
        <v/>
      </c>
      <c r="D933" s="34">
        <f>IF(AND($A932&lt;&gt;"",'算罪台'!$B$5&lt;&gt;"",ISNUMBER(SEARCH($A932,'算罪台'!$B$5))),1,0)</f>
        <v/>
      </c>
      <c r="E933" s="34">
        <f>IF(AND($A932&lt;&gt;"",'算罪台'!$B$6&lt;&gt;"",ISNUMBER(SEARCH($A932,'算罪台'!$B$6))),1,0)</f>
        <v/>
      </c>
    </row>
    <row r="934">
      <c r="A934" s="34" t="inlineStr">
        <is>
          <t>朝警察开枪</t>
        </is>
      </c>
      <c r="B934" s="34" t="inlineStr">
        <is>
          <t>袭警罪</t>
        </is>
      </c>
      <c r="C934" s="34">
        <f>IF(AND($A933&lt;&gt;"",'算罪台'!$B$4&lt;&gt;"",ISNUMBER(SEARCH($A933,'算罪台'!$B$4))),1,0)</f>
        <v/>
      </c>
      <c r="D934" s="34">
        <f>IF(AND($A933&lt;&gt;"",'算罪台'!$B$5&lt;&gt;"",ISNUMBER(SEARCH($A933,'算罪台'!$B$5))),1,0)</f>
        <v/>
      </c>
      <c r="E934" s="34">
        <f>IF(AND($A933&lt;&gt;"",'算罪台'!$B$6&lt;&gt;"",ISNUMBER(SEARCH($A933,'算罪台'!$B$6))),1,0)</f>
        <v/>
      </c>
    </row>
    <row r="935">
      <c r="A935" s="34" t="inlineStr">
        <is>
          <t>朝警察射击</t>
        </is>
      </c>
      <c r="B935" s="34" t="inlineStr">
        <is>
          <t>袭警罪</t>
        </is>
      </c>
      <c r="C935" s="34">
        <f>IF(AND($A934&lt;&gt;"",'算罪台'!$B$4&lt;&gt;"",ISNUMBER(SEARCH($A934,'算罪台'!$B$4))),1,0)</f>
        <v/>
      </c>
      <c r="D935" s="34">
        <f>IF(AND($A934&lt;&gt;"",'算罪台'!$B$5&lt;&gt;"",ISNUMBER(SEARCH($A934,'算罪台'!$B$5))),1,0)</f>
        <v/>
      </c>
      <c r="E935" s="34">
        <f>IF(AND($A934&lt;&gt;"",'算罪台'!$B$6&lt;&gt;"",ISNUMBER(SEARCH($A934,'算罪台'!$B$6))),1,0)</f>
        <v/>
      </c>
    </row>
    <row r="936">
      <c r="A936" s="34" t="inlineStr">
        <is>
          <t>向警察开枪</t>
        </is>
      </c>
      <c r="B936" s="34" t="inlineStr">
        <is>
          <t>袭警罪</t>
        </is>
      </c>
      <c r="C936" s="34">
        <f>IF(AND($A935&lt;&gt;"",'算罪台'!$B$4&lt;&gt;"",ISNUMBER(SEARCH($A935,'算罪台'!$B$4))),1,0)</f>
        <v/>
      </c>
      <c r="D936" s="34">
        <f>IF(AND($A935&lt;&gt;"",'算罪台'!$B$5&lt;&gt;"",ISNUMBER(SEARCH($A935,'算罪台'!$B$5))),1,0)</f>
        <v/>
      </c>
      <c r="E936" s="34">
        <f>IF(AND($A935&lt;&gt;"",'算罪台'!$B$6&lt;&gt;"",ISNUMBER(SEARCH($A935,'算罪台'!$B$6))),1,0)</f>
        <v/>
      </c>
    </row>
    <row r="937">
      <c r="A937" s="34" t="inlineStr">
        <is>
          <t>向警察射击</t>
        </is>
      </c>
      <c r="B937" s="34" t="inlineStr">
        <is>
          <t>袭警罪</t>
        </is>
      </c>
      <c r="C937" s="34">
        <f>IF(AND($A936&lt;&gt;"",'算罪台'!$B$4&lt;&gt;"",ISNUMBER(SEARCH($A936,'算罪台'!$B$4))),1,0)</f>
        <v/>
      </c>
      <c r="D937" s="34">
        <f>IF(AND($A936&lt;&gt;"",'算罪台'!$B$5&lt;&gt;"",ISNUMBER(SEARCH($A936,'算罪台'!$B$5))),1,0)</f>
        <v/>
      </c>
      <c r="E937" s="34">
        <f>IF(AND($A936&lt;&gt;"",'算罪台'!$B$6&lt;&gt;"",ISNUMBER(SEARCH($A936,'算罪台'!$B$6))),1,0)</f>
        <v/>
      </c>
    </row>
    <row r="938">
      <c r="A938" s="34" t="inlineStr">
        <is>
          <t>射击警察</t>
        </is>
      </c>
      <c r="B938" s="34" t="inlineStr">
        <is>
          <t>袭警罪</t>
        </is>
      </c>
      <c r="C938" s="34">
        <f>IF(AND($A937&lt;&gt;"",'算罪台'!$B$4&lt;&gt;"",ISNUMBER(SEARCH($A937,'算罪台'!$B$4))),1,0)</f>
        <v/>
      </c>
      <c r="D938" s="34">
        <f>IF(AND($A937&lt;&gt;"",'算罪台'!$B$5&lt;&gt;"",ISNUMBER(SEARCH($A937,'算罪台'!$B$5))),1,0)</f>
        <v/>
      </c>
      <c r="E938" s="34">
        <f>IF(AND($A937&lt;&gt;"",'算罪台'!$B$6&lt;&gt;"",ISNUMBER(SEARCH($A937,'算罪台'!$B$6))),1,0)</f>
        <v/>
      </c>
    </row>
    <row r="939">
      <c r="A939" s="34" t="inlineStr">
        <is>
          <t>打伤警察</t>
        </is>
      </c>
      <c r="B939" s="34" t="inlineStr">
        <is>
          <t>袭警罪</t>
        </is>
      </c>
      <c r="C939" s="34">
        <f>IF(AND($A938&lt;&gt;"",'算罪台'!$B$4&lt;&gt;"",ISNUMBER(SEARCH($A938,'算罪台'!$B$4))),1,0)</f>
        <v/>
      </c>
      <c r="D939" s="34">
        <f>IF(AND($A938&lt;&gt;"",'算罪台'!$B$5&lt;&gt;"",ISNUMBER(SEARCH($A938,'算罪台'!$B$5))),1,0)</f>
        <v/>
      </c>
      <c r="E939" s="34">
        <f>IF(AND($A938&lt;&gt;"",'算罪台'!$B$6&lt;&gt;"",ISNUMBER(SEARCH($A938,'算罪台'!$B$6))),1,0)</f>
        <v/>
      </c>
    </row>
    <row r="940">
      <c r="A940" s="34" t="inlineStr">
        <is>
          <t>击伤警察</t>
        </is>
      </c>
      <c r="B940" s="34" t="inlineStr">
        <is>
          <t>袭警罪</t>
        </is>
      </c>
      <c r="C940" s="34">
        <f>IF(AND($A939&lt;&gt;"",'算罪台'!$B$4&lt;&gt;"",ISNUMBER(SEARCH($A939,'算罪台'!$B$4))),1,0)</f>
        <v/>
      </c>
      <c r="D940" s="34">
        <f>IF(AND($A939&lt;&gt;"",'算罪台'!$B$5&lt;&gt;"",ISNUMBER(SEARCH($A939,'算罪台'!$B$5))),1,0)</f>
        <v/>
      </c>
      <c r="E940" s="34">
        <f>IF(AND($A939&lt;&gt;"",'算罪台'!$B$6&lt;&gt;"",ISNUMBER(SEARCH($A939,'算罪台'!$B$6))),1,0)</f>
        <v/>
      </c>
    </row>
    <row r="941">
      <c r="A941" s="34" t="inlineStr">
        <is>
          <t>警察重伤</t>
        </is>
      </c>
      <c r="B941" s="34" t="inlineStr">
        <is>
          <t>袭警罪</t>
        </is>
      </c>
      <c r="C941" s="34">
        <f>IF(AND($A940&lt;&gt;"",'算罪台'!$B$4&lt;&gt;"",ISNUMBER(SEARCH($A940,'算罪台'!$B$4))),1,0)</f>
        <v/>
      </c>
      <c r="D941" s="34">
        <f>IF(AND($A940&lt;&gt;"",'算罪台'!$B$5&lt;&gt;"",ISNUMBER(SEARCH($A940,'算罪台'!$B$5))),1,0)</f>
        <v/>
      </c>
      <c r="E941" s="34">
        <f>IF(AND($A940&lt;&gt;"",'算罪台'!$B$6&lt;&gt;"",ISNUMBER(SEARCH($A940,'算罪台'!$B$6))),1,0)</f>
        <v/>
      </c>
    </row>
    <row r="942">
      <c r="A942" s="34" t="inlineStr">
        <is>
          <t>警察受伤</t>
        </is>
      </c>
      <c r="B942" s="34" t="inlineStr">
        <is>
          <t>袭警罪</t>
        </is>
      </c>
      <c r="C942" s="34">
        <f>IF(AND($A941&lt;&gt;"",'算罪台'!$B$4&lt;&gt;"",ISNUMBER(SEARCH($A941,'算罪台'!$B$4))),1,0)</f>
        <v/>
      </c>
      <c r="D942" s="34">
        <f>IF(AND($A941&lt;&gt;"",'算罪台'!$B$5&lt;&gt;"",ISNUMBER(SEARCH($A941,'算罪台'!$B$5))),1,0)</f>
        <v/>
      </c>
      <c r="E942" s="34">
        <f>IF(AND($A941&lt;&gt;"",'算罪台'!$B$6&lt;&gt;"",ISNUMBER(SEARCH($A941,'算罪台'!$B$6))),1,0)</f>
        <v/>
      </c>
    </row>
    <row r="943">
      <c r="A943" s="34" t="inlineStr">
        <is>
          <t>枪伤警察</t>
        </is>
      </c>
      <c r="B943" s="34" t="inlineStr">
        <is>
          <t>袭警罪</t>
        </is>
      </c>
      <c r="C943" s="34">
        <f>IF(AND($A942&lt;&gt;"",'算罪台'!$B$4&lt;&gt;"",ISNUMBER(SEARCH($A942,'算罪台'!$B$4))),1,0)</f>
        <v/>
      </c>
      <c r="D943" s="34">
        <f>IF(AND($A942&lt;&gt;"",'算罪台'!$B$5&lt;&gt;"",ISNUMBER(SEARCH($A942,'算罪台'!$B$5))),1,0)</f>
        <v/>
      </c>
      <c r="E943" s="34">
        <f>IF(AND($A942&lt;&gt;"",'算罪台'!$B$6&lt;&gt;"",ISNUMBER(SEARCH($A942,'算罪台'!$B$6))),1,0)</f>
        <v/>
      </c>
    </row>
    <row r="944">
      <c r="A944" s="34" t="inlineStr">
        <is>
          <t>打警员</t>
        </is>
      </c>
      <c r="B944" s="34" t="inlineStr">
        <is>
          <t>袭警罪</t>
        </is>
      </c>
      <c r="C944" s="34">
        <f>IF(AND($A943&lt;&gt;"",'算罪台'!$B$4&lt;&gt;"",ISNUMBER(SEARCH($A943,'算罪台'!$B$4))),1,0)</f>
        <v/>
      </c>
      <c r="D944" s="34">
        <f>IF(AND($A943&lt;&gt;"",'算罪台'!$B$5&lt;&gt;"",ISNUMBER(SEARCH($A943,'算罪台'!$B$5))),1,0)</f>
        <v/>
      </c>
      <c r="E944" s="34">
        <f>IF(AND($A943&lt;&gt;"",'算罪台'!$B$6&lt;&gt;"",ISNUMBER(SEARCH($A943,'算罪台'!$B$6))),1,0)</f>
        <v/>
      </c>
    </row>
    <row r="945">
      <c r="A945" s="34" t="inlineStr">
        <is>
          <t>殴打警员</t>
        </is>
      </c>
      <c r="B945" s="34" t="inlineStr">
        <is>
          <t>袭警罪</t>
        </is>
      </c>
      <c r="C945" s="34">
        <f>IF(AND($A944&lt;&gt;"",'算罪台'!$B$4&lt;&gt;"",ISNUMBER(SEARCH($A944,'算罪台'!$B$4))),1,0)</f>
        <v/>
      </c>
      <c r="D945" s="34">
        <f>IF(AND($A944&lt;&gt;"",'算罪台'!$B$5&lt;&gt;"",ISNUMBER(SEARCH($A944,'算罪台'!$B$5))),1,0)</f>
        <v/>
      </c>
      <c r="E945" s="34">
        <f>IF(AND($A944&lt;&gt;"",'算罪台'!$B$6&lt;&gt;"",ISNUMBER(SEARCH($A944,'算罪台'!$B$6))),1,0)</f>
        <v/>
      </c>
    </row>
    <row r="946">
      <c r="A946" s="34" t="inlineStr">
        <is>
          <t>撞警察</t>
        </is>
      </c>
      <c r="B946" s="34" t="inlineStr">
        <is>
          <t>袭警罪</t>
        </is>
      </c>
      <c r="C946" s="34">
        <f>IF(AND($A945&lt;&gt;"",'算罪台'!$B$4&lt;&gt;"",ISNUMBER(SEARCH($A945,'算罪台'!$B$4))),1,0)</f>
        <v/>
      </c>
      <c r="D946" s="34">
        <f>IF(AND($A945&lt;&gt;"",'算罪台'!$B$5&lt;&gt;"",ISNUMBER(SEARCH($A945,'算罪台'!$B$5))),1,0)</f>
        <v/>
      </c>
      <c r="E946" s="34">
        <f>IF(AND($A945&lt;&gt;"",'算罪台'!$B$6&lt;&gt;"",ISNUMBER(SEARCH($A945,'算罪台'!$B$6))),1,0)</f>
        <v/>
      </c>
    </row>
    <row r="947">
      <c r="A947" s="34" t="inlineStr">
        <is>
          <t>开车撞警</t>
        </is>
      </c>
      <c r="B947" s="34" t="inlineStr">
        <is>
          <t>袭警罪</t>
        </is>
      </c>
      <c r="C947" s="34">
        <f>IF(AND($A946&lt;&gt;"",'算罪台'!$B$4&lt;&gt;"",ISNUMBER(SEARCH($A946,'算罪台'!$B$4))),1,0)</f>
        <v/>
      </c>
      <c r="D947" s="34">
        <f>IF(AND($A946&lt;&gt;"",'算罪台'!$B$5&lt;&gt;"",ISNUMBER(SEARCH($A946,'算罪台'!$B$5))),1,0)</f>
        <v/>
      </c>
      <c r="E947" s="34">
        <f>IF(AND($A946&lt;&gt;"",'算罪台'!$B$6&lt;&gt;"",ISNUMBER(SEARCH($A946,'算罪台'!$B$6))),1,0)</f>
        <v/>
      </c>
    </row>
    <row r="948">
      <c r="A948" s="34" t="inlineStr">
        <is>
          <t>枪打警察</t>
        </is>
      </c>
      <c r="B948" s="34" t="inlineStr">
        <is>
          <t>袭警罪</t>
        </is>
      </c>
      <c r="C948" s="34">
        <f>IF(AND($A947&lt;&gt;"",'算罪台'!$B$4&lt;&gt;"",ISNUMBER(SEARCH($A947,'算罪台'!$B$4))),1,0)</f>
        <v/>
      </c>
      <c r="D948" s="34">
        <f>IF(AND($A947&lt;&gt;"",'算罪台'!$B$5&lt;&gt;"",ISNUMBER(SEARCH($A947,'算罪台'!$B$5))),1,0)</f>
        <v/>
      </c>
      <c r="E948" s="34">
        <f>IF(AND($A947&lt;&gt;"",'算罪台'!$B$6&lt;&gt;"",ISNUMBER(SEARCH($A947,'算罪台'!$B$6))),1,0)</f>
        <v/>
      </c>
    </row>
    <row r="949">
      <c r="A949" s="34" t="inlineStr">
        <is>
          <t>捅警察</t>
        </is>
      </c>
      <c r="B949" s="34" t="inlineStr">
        <is>
          <t>袭警罪</t>
        </is>
      </c>
      <c r="C949" s="34">
        <f>IF(AND($A948&lt;&gt;"",'算罪台'!$B$4&lt;&gt;"",ISNUMBER(SEARCH($A948,'算罪台'!$B$4))),1,0)</f>
        <v/>
      </c>
      <c r="D949" s="34">
        <f>IF(AND($A948&lt;&gt;"",'算罪台'!$B$5&lt;&gt;"",ISNUMBER(SEARCH($A948,'算罪台'!$B$5))),1,0)</f>
        <v/>
      </c>
      <c r="E949" s="34">
        <f>IF(AND($A948&lt;&gt;"",'算罪台'!$B$6&lt;&gt;"",ISNUMBER(SEARCH($A948,'算罪台'!$B$6))),1,0)</f>
        <v/>
      </c>
    </row>
    <row r="950">
      <c r="A950" s="34" t="inlineStr">
        <is>
          <t>警员受伤</t>
        </is>
      </c>
      <c r="B950" s="34" t="inlineStr">
        <is>
          <t>袭警罪</t>
        </is>
      </c>
      <c r="C950" s="34">
        <f>IF(AND($A949&lt;&gt;"",'算罪台'!$B$4&lt;&gt;"",ISNUMBER(SEARCH($A949,'算罪台'!$B$4))),1,0)</f>
        <v/>
      </c>
      <c r="D950" s="34">
        <f>IF(AND($A949&lt;&gt;"",'算罪台'!$B$5&lt;&gt;"",ISNUMBER(SEARCH($A949,'算罪台'!$B$5))),1,0)</f>
        <v/>
      </c>
      <c r="E950" s="34">
        <f>IF(AND($A949&lt;&gt;"",'算罪台'!$B$6&lt;&gt;"",ISNUMBER(SEARCH($A949,'算罪台'!$B$6))),1,0)</f>
        <v/>
      </c>
    </row>
    <row r="951">
      <c r="A951" s="34" t="inlineStr">
        <is>
          <t>警员重伤</t>
        </is>
      </c>
      <c r="B951" s="34" t="inlineStr">
        <is>
          <t>袭警罪</t>
        </is>
      </c>
      <c r="C951" s="34">
        <f>IF(AND($A950&lt;&gt;"",'算罪台'!$B$4&lt;&gt;"",ISNUMBER(SEARCH($A950,'算罪台'!$B$4))),1,0)</f>
        <v/>
      </c>
      <c r="D951" s="34">
        <f>IF(AND($A950&lt;&gt;"",'算罪台'!$B$5&lt;&gt;"",ISNUMBER(SEARCH($A950,'算罪台'!$B$5))),1,0)</f>
        <v/>
      </c>
      <c r="E951" s="34">
        <f>IF(AND($A950&lt;&gt;"",'算罪台'!$B$6&lt;&gt;"",ISNUMBER(SEARCH($A950,'算罪台'!$B$6))),1,0)</f>
        <v/>
      </c>
    </row>
    <row r="952">
      <c r="A952" s="34" t="inlineStr">
        <is>
          <t>袭击警员</t>
        </is>
      </c>
      <c r="B952" s="34" t="inlineStr">
        <is>
          <t>袭警罪</t>
        </is>
      </c>
      <c r="C952" s="34">
        <f>IF(AND($A951&lt;&gt;"",'算罪台'!$B$4&lt;&gt;"",ISNUMBER(SEARCH($A951,'算罪台'!$B$4))),1,0)</f>
        <v/>
      </c>
      <c r="D952" s="34">
        <f>IF(AND($A951&lt;&gt;"",'算罪台'!$B$5&lt;&gt;"",ISNUMBER(SEARCH($A951,'算罪台'!$B$5))),1,0)</f>
        <v/>
      </c>
      <c r="E952" s="34">
        <f>IF(AND($A951&lt;&gt;"",'算罪台'!$B$6&lt;&gt;"",ISNUMBER(SEARCH($A951,'算罪台'!$B$6))),1,0)</f>
        <v/>
      </c>
    </row>
    <row r="953">
      <c r="A953" s="34" t="inlineStr">
        <is>
          <t>打伤警员</t>
        </is>
      </c>
      <c r="B953" s="34" t="inlineStr">
        <is>
          <t>袭警罪</t>
        </is>
      </c>
      <c r="C953" s="34">
        <f>IF(AND($A952&lt;&gt;"",'算罪台'!$B$4&lt;&gt;"",ISNUMBER(SEARCH($A952,'算罪台'!$B$4))),1,0)</f>
        <v/>
      </c>
      <c r="D953" s="34">
        <f>IF(AND($A952&lt;&gt;"",'算罪台'!$B$5&lt;&gt;"",ISNUMBER(SEARCH($A952,'算罪台'!$B$5))),1,0)</f>
        <v/>
      </c>
      <c r="E953" s="34">
        <f>IF(AND($A952&lt;&gt;"",'算罪台'!$B$6&lt;&gt;"",ISNUMBER(SEARCH($A952,'算罪台'!$B$6))),1,0)</f>
        <v/>
      </c>
    </row>
    <row r="954">
      <c r="A954" s="34" t="inlineStr">
        <is>
          <t>对警察动手</t>
        </is>
      </c>
      <c r="B954" s="34" t="inlineStr">
        <is>
          <t>袭警罪</t>
        </is>
      </c>
      <c r="C954" s="34">
        <f>IF(AND($A953&lt;&gt;"",'算罪台'!$B$4&lt;&gt;"",ISNUMBER(SEARCH($A953,'算罪台'!$B$4))),1,0)</f>
        <v/>
      </c>
      <c r="D954" s="34">
        <f>IF(AND($A953&lt;&gt;"",'算罪台'!$B$5&lt;&gt;"",ISNUMBER(SEARCH($A953,'算罪台'!$B$5))),1,0)</f>
        <v/>
      </c>
      <c r="E954" s="34">
        <f>IF(AND($A953&lt;&gt;"",'算罪台'!$B$6&lt;&gt;"",ISNUMBER(SEARCH($A953,'算罪台'!$B$6))),1,0)</f>
        <v/>
      </c>
    </row>
    <row r="955">
      <c r="A955" s="34" t="inlineStr">
        <is>
          <t>袭击警务人员</t>
        </is>
      </c>
      <c r="B955" s="34" t="inlineStr">
        <is>
          <t>袭警罪</t>
        </is>
      </c>
      <c r="C955" s="34">
        <f>IF(AND($A954&lt;&gt;"",'算罪台'!$B$4&lt;&gt;"",ISNUMBER(SEARCH($A954,'算罪台'!$B$4))),1,0)</f>
        <v/>
      </c>
      <c r="D955" s="34">
        <f>IF(AND($A954&lt;&gt;"",'算罪台'!$B$5&lt;&gt;"",ISNUMBER(SEARCH($A954,'算罪台'!$B$5))),1,0)</f>
        <v/>
      </c>
      <c r="E955" s="34">
        <f>IF(AND($A954&lt;&gt;"",'算罪台'!$B$6&lt;&gt;"",ISNUMBER(SEARCH($A954,'算罪台'!$B$6))),1,0)</f>
        <v/>
      </c>
    </row>
    <row r="956">
      <c r="A956" s="34" t="inlineStr">
        <is>
          <t>伤害警员</t>
        </is>
      </c>
      <c r="B956" s="34" t="inlineStr">
        <is>
          <t>袭警罪</t>
        </is>
      </c>
      <c r="C956" s="34">
        <f>IF(AND($A955&lt;&gt;"",'算罪台'!$B$4&lt;&gt;"",ISNUMBER(SEARCH($A955,'算罪台'!$B$4))),1,0)</f>
        <v/>
      </c>
      <c r="D956" s="34">
        <f>IF(AND($A955&lt;&gt;"",'算罪台'!$B$5&lt;&gt;"",ISNUMBER(SEARCH($A955,'算罪台'!$B$5))),1,0)</f>
        <v/>
      </c>
      <c r="E956" s="34">
        <f>IF(AND($A955&lt;&gt;"",'算罪台'!$B$6&lt;&gt;"",ISNUMBER(SEARCH($A955,'算罪台'!$B$6))),1,0)</f>
        <v/>
      </c>
    </row>
    <row r="957">
      <c r="A957" s="34" t="inlineStr">
        <is>
          <t>暴力袭警</t>
        </is>
      </c>
      <c r="B957" s="34" t="inlineStr">
        <is>
          <t>袭警罪</t>
        </is>
      </c>
      <c r="C957" s="34">
        <f>IF(AND($A956&lt;&gt;"",'算罪台'!$B$4&lt;&gt;"",ISNUMBER(SEARCH($A956,'算罪台'!$B$4))),1,0)</f>
        <v/>
      </c>
      <c r="D957" s="34">
        <f>IF(AND($A956&lt;&gt;"",'算罪台'!$B$5&lt;&gt;"",ISNUMBER(SEARCH($A956,'算罪台'!$B$5))),1,0)</f>
        <v/>
      </c>
      <c r="E957" s="34">
        <f>IF(AND($A956&lt;&gt;"",'算罪台'!$B$6&lt;&gt;"",ISNUMBER(SEARCH($A956,'算罪台'!$B$6))),1,0)</f>
        <v/>
      </c>
    </row>
    <row r="958">
      <c r="A958" s="34" t="inlineStr">
        <is>
          <t>攻击警务</t>
        </is>
      </c>
      <c r="B958" s="34" t="inlineStr">
        <is>
          <t>袭警罪</t>
        </is>
      </c>
      <c r="C958" s="34">
        <f>IF(AND($A957&lt;&gt;"",'算罪台'!$B$4&lt;&gt;"",ISNUMBER(SEARCH($A957,'算罪台'!$B$4))),1,0)</f>
        <v/>
      </c>
      <c r="D958" s="34">
        <f>IF(AND($A957&lt;&gt;"",'算罪台'!$B$5&lt;&gt;"",ISNUMBER(SEARCH($A957,'算罪台'!$B$5))),1,0)</f>
        <v/>
      </c>
      <c r="E958" s="34">
        <f>IF(AND($A957&lt;&gt;"",'算罪台'!$B$6&lt;&gt;"",ISNUMBER(SEARCH($A957,'算罪台'!$B$6))),1,0)</f>
        <v/>
      </c>
    </row>
    <row r="959">
      <c r="A959" s="34" t="inlineStr">
        <is>
          <t>持械袭警</t>
        </is>
      </c>
      <c r="B959" s="34" t="inlineStr">
        <is>
          <t>袭警罪</t>
        </is>
      </c>
      <c r="C959" s="34">
        <f>IF(AND($A958&lt;&gt;"",'算罪台'!$B$4&lt;&gt;"",ISNUMBER(SEARCH($A958,'算罪台'!$B$4))),1,0)</f>
        <v/>
      </c>
      <c r="D959" s="34">
        <f>IF(AND($A958&lt;&gt;"",'算罪台'!$B$5&lt;&gt;"",ISNUMBER(SEARCH($A958,'算罪台'!$B$5))),1,0)</f>
        <v/>
      </c>
      <c r="E959" s="34">
        <f>IF(AND($A958&lt;&gt;"",'算罪台'!$B$6&lt;&gt;"",ISNUMBER(SEARCH($A958,'算罪台'!$B$6))),1,0)</f>
        <v/>
      </c>
    </row>
    <row r="960">
      <c r="A960" s="34" t="inlineStr">
        <is>
          <t>开枪打警</t>
        </is>
      </c>
      <c r="B960" s="34" t="inlineStr">
        <is>
          <t>袭警罪</t>
        </is>
      </c>
      <c r="C960" s="34">
        <f>IF(AND($A959&lt;&gt;"",'算罪台'!$B$4&lt;&gt;"",ISNUMBER(SEARCH($A959,'算罪台'!$B$4))),1,0)</f>
        <v/>
      </c>
      <c r="D960" s="34">
        <f>IF(AND($A959&lt;&gt;"",'算罪台'!$B$5&lt;&gt;"",ISNUMBER(SEARCH($A959,'算罪台'!$B$5))),1,0)</f>
        <v/>
      </c>
      <c r="E960" s="34">
        <f>IF(AND($A959&lt;&gt;"",'算罪台'!$B$6&lt;&gt;"",ISNUMBER(SEARCH($A959,'算罪台'!$B$6))),1,0)</f>
        <v/>
      </c>
    </row>
    <row r="961">
      <c r="A961" s="34" t="inlineStr">
        <is>
          <t>撞向警察</t>
        </is>
      </c>
      <c r="B961" s="34" t="inlineStr">
        <is>
          <t>袭警罪</t>
        </is>
      </c>
      <c r="C961" s="34">
        <f>IF(AND($A960&lt;&gt;"",'算罪台'!$B$4&lt;&gt;"",ISNUMBER(SEARCH($A960,'算罪台'!$B$4))),1,0)</f>
        <v/>
      </c>
      <c r="D961" s="34">
        <f>IF(AND($A960&lt;&gt;"",'算罪台'!$B$5&lt;&gt;"",ISNUMBER(SEARCH($A960,'算罪台'!$B$5))),1,0)</f>
        <v/>
      </c>
      <c r="E961" s="34">
        <f>IF(AND($A960&lt;&gt;"",'算罪台'!$B$6&lt;&gt;"",ISNUMBER(SEARCH($A960,'算罪台'!$B$6))),1,0)</f>
        <v/>
      </c>
    </row>
    <row r="962">
      <c r="A962" s="34" t="inlineStr">
        <is>
          <t>打伤警察重伤</t>
        </is>
      </c>
      <c r="B962" s="34" t="inlineStr">
        <is>
          <t>袭警罪</t>
        </is>
      </c>
      <c r="C962" s="34">
        <f>IF(AND($A961&lt;&gt;"",'算罪台'!$B$4&lt;&gt;"",ISNUMBER(SEARCH($A961,'算罪台'!$B$4))),1,0)</f>
        <v/>
      </c>
      <c r="D962" s="34">
        <f>IF(AND($A961&lt;&gt;"",'算罪台'!$B$5&lt;&gt;"",ISNUMBER(SEARCH($A961,'算罪台'!$B$5))),1,0)</f>
        <v/>
      </c>
      <c r="E962" s="34">
        <f>IF(AND($A961&lt;&gt;"",'算罪台'!$B$6&lt;&gt;"",ISNUMBER(SEARCH($A961,'算罪台'!$B$6))),1,0)</f>
        <v/>
      </c>
    </row>
    <row r="963">
      <c r="A963" s="34" t="inlineStr">
        <is>
          <t>扰乱治安</t>
        </is>
      </c>
      <c r="B963" s="34" t="inlineStr">
        <is>
          <t>扰乱治安罪</t>
        </is>
      </c>
      <c r="C963" s="34">
        <f>IF(AND($A962&lt;&gt;"",'算罪台'!$B$4&lt;&gt;"",ISNUMBER(SEARCH($A962,'算罪台'!$B$4))),1,0)</f>
        <v/>
      </c>
      <c r="D963" s="34">
        <f>IF(AND($A962&lt;&gt;"",'算罪台'!$B$5&lt;&gt;"",ISNUMBER(SEARCH($A962,'算罪台'!$B$5))),1,0)</f>
        <v/>
      </c>
      <c r="E963" s="34">
        <f>IF(AND($A962&lt;&gt;"",'算罪台'!$B$6&lt;&gt;"",ISNUMBER(SEARCH($A962,'算罪台'!$B$6))),1,0)</f>
        <v/>
      </c>
    </row>
    <row r="964">
      <c r="A964" s="34" t="inlineStr">
        <is>
          <t>挑衅</t>
        </is>
      </c>
      <c r="B964" s="34" t="inlineStr">
        <is>
          <t>扰乱治安罪</t>
        </is>
      </c>
      <c r="C964" s="34">
        <f>IF(AND($A963&lt;&gt;"",'算罪台'!$B$4&lt;&gt;"",ISNUMBER(SEARCH($A963,'算罪台'!$B$4))),1,0)</f>
        <v/>
      </c>
      <c r="D964" s="34">
        <f>IF(AND($A963&lt;&gt;"",'算罪台'!$B$5&lt;&gt;"",ISNUMBER(SEARCH($A963,'算罪台'!$B$5))),1,0)</f>
        <v/>
      </c>
      <c r="E964" s="34">
        <f>IF(AND($A963&lt;&gt;"",'算罪台'!$B$6&lt;&gt;"",ISNUMBER(SEARCH($A963,'算罪台'!$B$6))),1,0)</f>
        <v/>
      </c>
    </row>
    <row r="965">
      <c r="A965" s="34" t="inlineStr">
        <is>
          <t>寻衅</t>
        </is>
      </c>
      <c r="B965" s="34" t="inlineStr">
        <is>
          <t>扰乱治安罪</t>
        </is>
      </c>
      <c r="C965" s="34">
        <f>IF(AND($A964&lt;&gt;"",'算罪台'!$B$4&lt;&gt;"",ISNUMBER(SEARCH($A964,'算罪台'!$B$4))),1,0)</f>
        <v/>
      </c>
      <c r="D965" s="34">
        <f>IF(AND($A964&lt;&gt;"",'算罪台'!$B$5&lt;&gt;"",ISNUMBER(SEARCH($A964,'算罪台'!$B$5))),1,0)</f>
        <v/>
      </c>
      <c r="E965" s="34">
        <f>IF(AND($A964&lt;&gt;"",'算罪台'!$B$6&lt;&gt;"",ISNUMBER(SEARCH($A964,'算罪台'!$B$6))),1,0)</f>
        <v/>
      </c>
    </row>
    <row r="966">
      <c r="A966" s="34" t="inlineStr">
        <is>
          <t>扰民</t>
        </is>
      </c>
      <c r="B966" s="34" t="inlineStr">
        <is>
          <t>扰乱治安罪</t>
        </is>
      </c>
      <c r="C966" s="34">
        <f>IF(AND($A965&lt;&gt;"",'算罪台'!$B$4&lt;&gt;"",ISNUMBER(SEARCH($A965,'算罪台'!$B$4))),1,0)</f>
        <v/>
      </c>
      <c r="D966" s="34">
        <f>IF(AND($A965&lt;&gt;"",'算罪台'!$B$5&lt;&gt;"",ISNUMBER(SEARCH($A965,'算罪台'!$B$5))),1,0)</f>
        <v/>
      </c>
      <c r="E966" s="34">
        <f>IF(AND($A965&lt;&gt;"",'算罪台'!$B$6&lt;&gt;"",ISNUMBER(SEARCH($A965,'算罪台'!$B$6))),1,0)</f>
        <v/>
      </c>
    </row>
    <row r="967">
      <c r="A967" s="34" t="inlineStr">
        <is>
          <t>冒犯性语言</t>
        </is>
      </c>
      <c r="B967" s="34" t="inlineStr">
        <is>
          <t>扰乱治安罪</t>
        </is>
      </c>
      <c r="C967" s="34">
        <f>IF(AND($A966&lt;&gt;"",'算罪台'!$B$4&lt;&gt;"",ISNUMBER(SEARCH($A966,'算罪台'!$B$4))),1,0)</f>
        <v/>
      </c>
      <c r="D967" s="34">
        <f>IF(AND($A966&lt;&gt;"",'算罪台'!$B$5&lt;&gt;"",ISNUMBER(SEARCH($A966,'算罪台'!$B$5))),1,0)</f>
        <v/>
      </c>
      <c r="E967" s="34">
        <f>IF(AND($A966&lt;&gt;"",'算罪台'!$B$6&lt;&gt;"",ISNUMBER(SEARCH($A966,'算罪台'!$B$6))),1,0)</f>
        <v/>
      </c>
    </row>
    <row r="968">
      <c r="A968" s="34" t="inlineStr">
        <is>
          <t>引起恐慌</t>
        </is>
      </c>
      <c r="B968" s="34" t="inlineStr">
        <is>
          <t>扰乱治安罪</t>
        </is>
      </c>
      <c r="C968" s="34">
        <f>IF(AND($A967&lt;&gt;"",'算罪台'!$B$4&lt;&gt;"",ISNUMBER(SEARCH($A967,'算罪台'!$B$4))),1,0)</f>
        <v/>
      </c>
      <c r="D968" s="34">
        <f>IF(AND($A967&lt;&gt;"",'算罪台'!$B$5&lt;&gt;"",ISNUMBER(SEARCH($A967,'算罪台'!$B$5))),1,0)</f>
        <v/>
      </c>
      <c r="E968" s="34">
        <f>IF(AND($A967&lt;&gt;"",'算罪台'!$B$6&lt;&gt;"",ISNUMBER(SEARCH($A967,'算罪台'!$B$6))),1,0)</f>
        <v/>
      </c>
    </row>
    <row r="969">
      <c r="A969" s="34" t="inlineStr">
        <is>
          <t>公共场所吵闹</t>
        </is>
      </c>
      <c r="B969" s="34" t="inlineStr">
        <is>
          <t>扰乱治安罪</t>
        </is>
      </c>
      <c r="C969" s="34">
        <f>IF(AND($A968&lt;&gt;"",'算罪台'!$B$4&lt;&gt;"",ISNUMBER(SEARCH($A968,'算罪台'!$B$4))),1,0)</f>
        <v/>
      </c>
      <c r="D969" s="34">
        <f>IF(AND($A968&lt;&gt;"",'算罪台'!$B$5&lt;&gt;"",ISNUMBER(SEARCH($A968,'算罪台'!$B$5))),1,0)</f>
        <v/>
      </c>
      <c r="E969" s="34">
        <f>IF(AND($A968&lt;&gt;"",'算罪台'!$B$6&lt;&gt;"",ISNUMBER(SEARCH($A968,'算罪台'!$B$6))),1,0)</f>
        <v/>
      </c>
    </row>
    <row r="970">
      <c r="A970" s="34" t="inlineStr">
        <is>
          <t>闹事</t>
        </is>
      </c>
      <c r="B970" s="34" t="inlineStr">
        <is>
          <t>扰乱治安罪</t>
        </is>
      </c>
      <c r="C970" s="34">
        <f>IF(AND($A969&lt;&gt;"",'算罪台'!$B$4&lt;&gt;"",ISNUMBER(SEARCH($A969,'算罪台'!$B$4))),1,0)</f>
        <v/>
      </c>
      <c r="D970" s="34">
        <f>IF(AND($A969&lt;&gt;"",'算罪台'!$B$5&lt;&gt;"",ISNUMBER(SEARCH($A969,'算罪台'!$B$5))),1,0)</f>
        <v/>
      </c>
      <c r="E970" s="34">
        <f>IF(AND($A969&lt;&gt;"",'算罪台'!$B$6&lt;&gt;"",ISNUMBER(SEARCH($A969,'算罪台'!$B$6))),1,0)</f>
        <v/>
      </c>
    </row>
    <row r="971">
      <c r="A971" s="34" t="inlineStr">
        <is>
          <t>大吵大闹</t>
        </is>
      </c>
      <c r="B971" s="34" t="inlineStr">
        <is>
          <t>扰乱治安罪</t>
        </is>
      </c>
      <c r="C971" s="34">
        <f>IF(AND($A970&lt;&gt;"",'算罪台'!$B$4&lt;&gt;"",ISNUMBER(SEARCH($A970,'算罪台'!$B$4))),1,0)</f>
        <v/>
      </c>
      <c r="D971" s="34">
        <f>IF(AND($A970&lt;&gt;"",'算罪台'!$B$5&lt;&gt;"",ISNUMBER(SEARCH($A970,'算罪台'!$B$5))),1,0)</f>
        <v/>
      </c>
      <c r="E971" s="34">
        <f>IF(AND($A970&lt;&gt;"",'算罪台'!$B$6&lt;&gt;"",ISNUMBER(SEARCH($A970,'算罪台'!$B$6))),1,0)</f>
        <v/>
      </c>
    </row>
    <row r="972">
      <c r="A972" s="34" t="inlineStr">
        <is>
          <t>挑事</t>
        </is>
      </c>
      <c r="B972" s="34" t="inlineStr">
        <is>
          <t>扰乱治安罪</t>
        </is>
      </c>
      <c r="C972" s="34">
        <f>IF(AND($A971&lt;&gt;"",'算罪台'!$B$4&lt;&gt;"",ISNUMBER(SEARCH($A971,'算罪台'!$B$4))),1,0)</f>
        <v/>
      </c>
      <c r="D972" s="34">
        <f>IF(AND($A971&lt;&gt;"",'算罪台'!$B$5&lt;&gt;"",ISNUMBER(SEARCH($A971,'算罪台'!$B$5))),1,0)</f>
        <v/>
      </c>
      <c r="E972" s="34">
        <f>IF(AND($A971&lt;&gt;"",'算罪台'!$B$6&lt;&gt;"",ISNUMBER(SEARCH($A971,'算罪台'!$B$6))),1,0)</f>
        <v/>
      </c>
    </row>
    <row r="973">
      <c r="A973" s="34" t="inlineStr">
        <is>
          <t>起哄</t>
        </is>
      </c>
      <c r="B973" s="34" t="inlineStr">
        <is>
          <t>扰乱治安罪</t>
        </is>
      </c>
      <c r="C973" s="34">
        <f>IF(AND($A972&lt;&gt;"",'算罪台'!$B$4&lt;&gt;"",ISNUMBER(SEARCH($A972,'算罪台'!$B$4))),1,0)</f>
        <v/>
      </c>
      <c r="D973" s="34">
        <f>IF(AND($A972&lt;&gt;"",'算罪台'!$B$5&lt;&gt;"",ISNUMBER(SEARCH($A972,'算罪台'!$B$5))),1,0)</f>
        <v/>
      </c>
      <c r="E973" s="34">
        <f>IF(AND($A972&lt;&gt;"",'算罪台'!$B$6&lt;&gt;"",ISNUMBER(SEARCH($A972,'算罪台'!$B$6))),1,0)</f>
        <v/>
      </c>
    </row>
    <row r="974">
      <c r="A974" s="34" t="inlineStr">
        <is>
          <t>撒泼</t>
        </is>
      </c>
      <c r="B974" s="34" t="inlineStr">
        <is>
          <t>扰乱治安罪</t>
        </is>
      </c>
      <c r="C974" s="34">
        <f>IF(AND($A973&lt;&gt;"",'算罪台'!$B$4&lt;&gt;"",ISNUMBER(SEARCH($A973,'算罪台'!$B$4))),1,0)</f>
        <v/>
      </c>
      <c r="D974" s="34">
        <f>IF(AND($A973&lt;&gt;"",'算罪台'!$B$5&lt;&gt;"",ISNUMBER(SEARCH($A973,'算罪台'!$B$5))),1,0)</f>
        <v/>
      </c>
      <c r="E974" s="34">
        <f>IF(AND($A973&lt;&gt;"",'算罪台'!$B$6&lt;&gt;"",ISNUMBER(SEARCH($A973,'算罪台'!$B$6))),1,0)</f>
        <v/>
      </c>
    </row>
    <row r="975">
      <c r="A975" s="34" t="inlineStr">
        <is>
          <t>公共场所撒野</t>
        </is>
      </c>
      <c r="B975" s="34" t="inlineStr">
        <is>
          <t>扰乱治安罪</t>
        </is>
      </c>
      <c r="C975" s="34">
        <f>IF(AND($A974&lt;&gt;"",'算罪台'!$B$4&lt;&gt;"",ISNUMBER(SEARCH($A974,'算罪台'!$B$4))),1,0)</f>
        <v/>
      </c>
      <c r="D975" s="34">
        <f>IF(AND($A974&lt;&gt;"",'算罪台'!$B$5&lt;&gt;"",ISNUMBER(SEARCH($A974,'算罪台'!$B$5))),1,0)</f>
        <v/>
      </c>
      <c r="E975" s="34">
        <f>IF(AND($A974&lt;&gt;"",'算罪台'!$B$6&lt;&gt;"",ISNUMBER(SEARCH($A974,'算罪台'!$B$6))),1,0)</f>
        <v/>
      </c>
    </row>
    <row r="976">
      <c r="A976" s="34" t="inlineStr">
        <is>
          <t>挑事打架</t>
        </is>
      </c>
      <c r="B976" s="34" t="inlineStr">
        <is>
          <t>扰乱治安罪</t>
        </is>
      </c>
      <c r="C976" s="34">
        <f>IF(AND($A975&lt;&gt;"",'算罪台'!$B$4&lt;&gt;"",ISNUMBER(SEARCH($A975,'算罪台'!$B$4))),1,0)</f>
        <v/>
      </c>
      <c r="D976" s="34">
        <f>IF(AND($A975&lt;&gt;"",'算罪台'!$B$5&lt;&gt;"",ISNUMBER(SEARCH($A975,'算罪台'!$B$5))),1,0)</f>
        <v/>
      </c>
      <c r="E976" s="34">
        <f>IF(AND($A975&lt;&gt;"",'算罪台'!$B$6&lt;&gt;"",ISNUMBER(SEARCH($A975,'算罪台'!$B$6))),1,0)</f>
        <v/>
      </c>
    </row>
    <row r="977">
      <c r="A977" s="34" t="inlineStr">
        <is>
          <t>起哄滋事</t>
        </is>
      </c>
      <c r="B977" s="34" t="inlineStr">
        <is>
          <t>扰乱治安罪</t>
        </is>
      </c>
      <c r="C977" s="34">
        <f>IF(AND($A976&lt;&gt;"",'算罪台'!$B$4&lt;&gt;"",ISNUMBER(SEARCH($A976,'算罪台'!$B$4))),1,0)</f>
        <v/>
      </c>
      <c r="D977" s="34">
        <f>IF(AND($A976&lt;&gt;"",'算罪台'!$B$5&lt;&gt;"",ISNUMBER(SEARCH($A976,'算罪台'!$B$5))),1,0)</f>
        <v/>
      </c>
      <c r="E977" s="34">
        <f>IF(AND($A976&lt;&gt;"",'算罪台'!$B$6&lt;&gt;"",ISNUMBER(SEARCH($A976,'算罪台'!$B$6))),1,0)</f>
        <v/>
      </c>
    </row>
    <row r="978">
      <c r="A978" s="34" t="inlineStr">
        <is>
          <t>街上闹</t>
        </is>
      </c>
      <c r="B978" s="34" t="inlineStr">
        <is>
          <t>扰乱治安罪</t>
        </is>
      </c>
      <c r="C978" s="34">
        <f>IF(AND($A977&lt;&gt;"",'算罪台'!$B$4&lt;&gt;"",ISNUMBER(SEARCH($A977,'算罪台'!$B$4))),1,0)</f>
        <v/>
      </c>
      <c r="D978" s="34">
        <f>IF(AND($A977&lt;&gt;"",'算罪台'!$B$5&lt;&gt;"",ISNUMBER(SEARCH($A977,'算罪台'!$B$5))),1,0)</f>
        <v/>
      </c>
      <c r="E978" s="34">
        <f>IF(AND($A977&lt;&gt;"",'算罪台'!$B$6&lt;&gt;"",ISNUMBER(SEARCH($A977,'算罪台'!$B$6))),1,0)</f>
        <v/>
      </c>
    </row>
    <row r="979">
      <c r="A979" s="34" t="inlineStr">
        <is>
          <t>寻衅滋事</t>
        </is>
      </c>
      <c r="B979" s="34" t="inlineStr">
        <is>
          <t>扰乱治安罪</t>
        </is>
      </c>
      <c r="C979" s="34">
        <f>IF(AND($A978&lt;&gt;"",'算罪台'!$B$4&lt;&gt;"",ISNUMBER(SEARCH($A978,'算罪台'!$B$4))),1,0)</f>
        <v/>
      </c>
      <c r="D979" s="34">
        <f>IF(AND($A978&lt;&gt;"",'算罪台'!$B$5&lt;&gt;"",ISNUMBER(SEARCH($A978,'算罪台'!$B$5))),1,0)</f>
        <v/>
      </c>
      <c r="E979" s="34">
        <f>IF(AND($A978&lt;&gt;"",'算罪台'!$B$6&lt;&gt;"",ISNUMBER(SEARCH($A978,'算罪台'!$B$6))),1,0)</f>
        <v/>
      </c>
    </row>
    <row r="980">
      <c r="A980" s="34" t="inlineStr">
        <is>
          <t>无理取闹</t>
        </is>
      </c>
      <c r="B980" s="34" t="inlineStr">
        <is>
          <t>扰乱治安罪</t>
        </is>
      </c>
      <c r="C980" s="34">
        <f>IF(AND($A979&lt;&gt;"",'算罪台'!$B$4&lt;&gt;"",ISNUMBER(SEARCH($A979,'算罪台'!$B$4))),1,0)</f>
        <v/>
      </c>
      <c r="D980" s="34">
        <f>IF(AND($A979&lt;&gt;"",'算罪台'!$B$5&lt;&gt;"",ISNUMBER(SEARCH($A979,'算罪台'!$B$5))),1,0)</f>
        <v/>
      </c>
      <c r="E980" s="34">
        <f>IF(AND($A979&lt;&gt;"",'算罪台'!$B$6&lt;&gt;"",ISNUMBER(SEARCH($A979,'算罪台'!$B$6))),1,0)</f>
        <v/>
      </c>
    </row>
    <row r="981">
      <c r="A981" s="34" t="inlineStr">
        <is>
          <t>扰乱公共秩序</t>
        </is>
      </c>
      <c r="B981" s="34" t="inlineStr">
        <is>
          <t>扰乱治安罪</t>
        </is>
      </c>
      <c r="C981" s="34">
        <f>IF(AND($A980&lt;&gt;"",'算罪台'!$B$4&lt;&gt;"",ISNUMBER(SEARCH($A980,'算罪台'!$B$4))),1,0)</f>
        <v/>
      </c>
      <c r="D981" s="34">
        <f>IF(AND($A980&lt;&gt;"",'算罪台'!$B$5&lt;&gt;"",ISNUMBER(SEARCH($A980,'算罪台'!$B$5))),1,0)</f>
        <v/>
      </c>
      <c r="E981" s="34">
        <f>IF(AND($A980&lt;&gt;"",'算罪台'!$B$6&lt;&gt;"",ISNUMBER(SEARCH($A980,'算罪台'!$B$6))),1,0)</f>
        <v/>
      </c>
    </row>
    <row r="982">
      <c r="A982" s="34" t="inlineStr">
        <is>
          <t>聚众滋事</t>
        </is>
      </c>
      <c r="B982" s="34" t="inlineStr">
        <is>
          <t>扰乱治安罪</t>
        </is>
      </c>
      <c r="C982" s="34">
        <f>IF(AND($A981&lt;&gt;"",'算罪台'!$B$4&lt;&gt;"",ISNUMBER(SEARCH($A981,'算罪台'!$B$4))),1,0)</f>
        <v/>
      </c>
      <c r="D982" s="34">
        <f>IF(AND($A981&lt;&gt;"",'算罪台'!$B$5&lt;&gt;"",ISNUMBER(SEARCH($A981,'算罪台'!$B$5))),1,0)</f>
        <v/>
      </c>
      <c r="E982" s="34">
        <f>IF(AND($A981&lt;&gt;"",'算罪台'!$B$6&lt;&gt;"",ISNUMBER(SEARCH($A981,'算罪台'!$B$6))),1,0)</f>
        <v/>
      </c>
    </row>
    <row r="983">
      <c r="A983" s="34" t="inlineStr">
        <is>
          <t>公共场所闹事</t>
        </is>
      </c>
      <c r="B983" s="34" t="inlineStr">
        <is>
          <t>扰乱治安罪</t>
        </is>
      </c>
      <c r="C983" s="34">
        <f>IF(AND($A982&lt;&gt;"",'算罪台'!$B$4&lt;&gt;"",ISNUMBER(SEARCH($A982,'算罪台'!$B$4))),1,0)</f>
        <v/>
      </c>
      <c r="D983" s="34">
        <f>IF(AND($A982&lt;&gt;"",'算罪台'!$B$5&lt;&gt;"",ISNUMBER(SEARCH($A982,'算罪台'!$B$5))),1,0)</f>
        <v/>
      </c>
      <c r="E983" s="34">
        <f>IF(AND($A982&lt;&gt;"",'算罪台'!$B$6&lt;&gt;"",ISNUMBER(SEARCH($A982,'算罪台'!$B$6))),1,0)</f>
        <v/>
      </c>
    </row>
    <row r="984">
      <c r="A984" s="34" t="inlineStr">
        <is>
          <t>扰乱秩序</t>
        </is>
      </c>
      <c r="B984" s="34" t="inlineStr">
        <is>
          <t>扰乱治安罪</t>
        </is>
      </c>
      <c r="C984" s="34">
        <f>IF(AND($A983&lt;&gt;"",'算罪台'!$B$4&lt;&gt;"",ISNUMBER(SEARCH($A983,'算罪台'!$B$4))),1,0)</f>
        <v/>
      </c>
      <c r="D984" s="34">
        <f>IF(AND($A983&lt;&gt;"",'算罪台'!$B$5&lt;&gt;"",ISNUMBER(SEARCH($A983,'算罪台'!$B$5))),1,0)</f>
        <v/>
      </c>
      <c r="E984" s="34">
        <f>IF(AND($A983&lt;&gt;"",'算罪台'!$B$6&lt;&gt;"",ISNUMBER(SEARCH($A983,'算罪台'!$B$6))),1,0)</f>
        <v/>
      </c>
    </row>
    <row r="985">
      <c r="A985" s="34" t="inlineStr">
        <is>
          <t>街头滋事</t>
        </is>
      </c>
      <c r="B985" s="34" t="inlineStr">
        <is>
          <t>扰乱治安罪</t>
        </is>
      </c>
      <c r="C985" s="34">
        <f>IF(AND($A984&lt;&gt;"",'算罪台'!$B$4&lt;&gt;"",ISNUMBER(SEARCH($A984,'算罪台'!$B$4))),1,0)</f>
        <v/>
      </c>
      <c r="D985" s="34">
        <f>IF(AND($A984&lt;&gt;"",'算罪台'!$B$5&lt;&gt;"",ISNUMBER(SEARCH($A984,'算罪台'!$B$5))),1,0)</f>
        <v/>
      </c>
      <c r="E985" s="34">
        <f>IF(AND($A984&lt;&gt;"",'算罪台'!$B$6&lt;&gt;"",ISNUMBER(SEARCH($A984,'算罪台'!$B$6))),1,0)</f>
        <v/>
      </c>
    </row>
    <row r="986">
      <c r="A986" s="34" t="inlineStr">
        <is>
          <t>滋事扰民</t>
        </is>
      </c>
      <c r="B986" s="34" t="inlineStr">
        <is>
          <t>扰乱治安罪</t>
        </is>
      </c>
      <c r="C986" s="34">
        <f>IF(AND($A985&lt;&gt;"",'算罪台'!$B$4&lt;&gt;"",ISNUMBER(SEARCH($A985,'算罪台'!$B$4))),1,0)</f>
        <v/>
      </c>
      <c r="D986" s="34">
        <f>IF(AND($A985&lt;&gt;"",'算罪台'!$B$5&lt;&gt;"",ISNUMBER(SEARCH($A985,'算罪台'!$B$5))),1,0)</f>
        <v/>
      </c>
      <c r="E986" s="34">
        <f>IF(AND($A985&lt;&gt;"",'算罪台'!$B$6&lt;&gt;"",ISNUMBER(SEARCH($A985,'算罪台'!$B$6))),1,0)</f>
        <v/>
      </c>
    </row>
    <row r="987">
      <c r="A987" s="34" t="inlineStr">
        <is>
          <t>非法集会</t>
        </is>
      </c>
      <c r="B987" s="34" t="inlineStr">
        <is>
          <t>非法集会罪</t>
        </is>
      </c>
      <c r="C987" s="34">
        <f>IF(AND($A986&lt;&gt;"",'算罪台'!$B$4&lt;&gt;"",ISNUMBER(SEARCH($A986,'算罪台'!$B$4))),1,0)</f>
        <v/>
      </c>
      <c r="D987" s="34">
        <f>IF(AND($A986&lt;&gt;"",'算罪台'!$B$5&lt;&gt;"",ISNUMBER(SEARCH($A986,'算罪台'!$B$5))),1,0)</f>
        <v/>
      </c>
      <c r="E987" s="34">
        <f>IF(AND($A986&lt;&gt;"",'算罪台'!$B$6&lt;&gt;"",ISNUMBER(SEARCH($A986,'算罪台'!$B$6))),1,0)</f>
        <v/>
      </c>
    </row>
    <row r="988">
      <c r="A988" s="34" t="inlineStr">
        <is>
          <t>聚众</t>
        </is>
      </c>
      <c r="B988" s="34" t="inlineStr">
        <is>
          <t>非法集会罪</t>
        </is>
      </c>
      <c r="C988" s="34">
        <f>IF(AND($A987&lt;&gt;"",'算罪台'!$B$4&lt;&gt;"",ISNUMBER(SEARCH($A987,'算罪台'!$B$4))),1,0)</f>
        <v/>
      </c>
      <c r="D988" s="34">
        <f>IF(AND($A987&lt;&gt;"",'算罪台'!$B$5&lt;&gt;"",ISNUMBER(SEARCH($A987,'算罪台'!$B$5))),1,0)</f>
        <v/>
      </c>
      <c r="E988" s="34">
        <f>IF(AND($A987&lt;&gt;"",'算罪台'!$B$6&lt;&gt;"",ISNUMBER(SEARCH($A987,'算罪台'!$B$6))),1,0)</f>
        <v/>
      </c>
    </row>
    <row r="989">
      <c r="A989" s="34" t="inlineStr">
        <is>
          <t>聚集骚乱</t>
        </is>
      </c>
      <c r="B989" s="34" t="inlineStr">
        <is>
          <t>非法集会罪</t>
        </is>
      </c>
      <c r="C989" s="34">
        <f>IF(AND($A988&lt;&gt;"",'算罪台'!$B$4&lt;&gt;"",ISNUMBER(SEARCH($A988,'算罪台'!$B$4))),1,0)</f>
        <v/>
      </c>
      <c r="D989" s="34">
        <f>IF(AND($A988&lt;&gt;"",'算罪台'!$B$5&lt;&gt;"",ISNUMBER(SEARCH($A988,'算罪台'!$B$5))),1,0)</f>
        <v/>
      </c>
      <c r="E989" s="34">
        <f>IF(AND($A988&lt;&gt;"",'算罪台'!$B$6&lt;&gt;"",ISNUMBER(SEARCH($A988,'算罪台'!$B$6))),1,0)</f>
        <v/>
      </c>
    </row>
    <row r="990">
      <c r="A990" s="34" t="inlineStr">
        <is>
          <t>非法聚集</t>
        </is>
      </c>
      <c r="B990" s="34" t="inlineStr">
        <is>
          <t>非法集会罪</t>
        </is>
      </c>
      <c r="C990" s="34">
        <f>IF(AND($A989&lt;&gt;"",'算罪台'!$B$4&lt;&gt;"",ISNUMBER(SEARCH($A989,'算罪台'!$B$4))),1,0)</f>
        <v/>
      </c>
      <c r="D990" s="34">
        <f>IF(AND($A989&lt;&gt;"",'算罪台'!$B$5&lt;&gt;"",ISNUMBER(SEARCH($A989,'算罪台'!$B$5))),1,0)</f>
        <v/>
      </c>
      <c r="E990" s="34">
        <f>IF(AND($A989&lt;&gt;"",'算罪台'!$B$6&lt;&gt;"",ISNUMBER(SEARCH($A989,'算罪台'!$B$6))),1,0)</f>
        <v/>
      </c>
    </row>
    <row r="991">
      <c r="A991" s="34" t="inlineStr">
        <is>
          <t>聚众闹事</t>
        </is>
      </c>
      <c r="B991" s="34" t="inlineStr">
        <is>
          <t>非法集会罪</t>
        </is>
      </c>
      <c r="C991" s="34">
        <f>IF(AND($A990&lt;&gt;"",'算罪台'!$B$4&lt;&gt;"",ISNUMBER(SEARCH($A990,'算罪台'!$B$4))),1,0)</f>
        <v/>
      </c>
      <c r="D991" s="34">
        <f>IF(AND($A990&lt;&gt;"",'算罪台'!$B$5&lt;&gt;"",ISNUMBER(SEARCH($A990,'算罪台'!$B$5))),1,0)</f>
        <v/>
      </c>
      <c r="E991" s="34">
        <f>IF(AND($A990&lt;&gt;"",'算罪台'!$B$6&lt;&gt;"",ISNUMBER(SEARCH($A990,'算罪台'!$B$6))),1,0)</f>
        <v/>
      </c>
    </row>
    <row r="992">
      <c r="A992" s="34" t="inlineStr">
        <is>
          <t>聚集斗殴</t>
        </is>
      </c>
      <c r="B992" s="34" t="inlineStr">
        <is>
          <t>非法集会罪</t>
        </is>
      </c>
      <c r="C992" s="34">
        <f>IF(AND($A991&lt;&gt;"",'算罪台'!$B$4&lt;&gt;"",ISNUMBER(SEARCH($A991,'算罪台'!$B$4))),1,0)</f>
        <v/>
      </c>
      <c r="D992" s="34">
        <f>IF(AND($A991&lt;&gt;"",'算罪台'!$B$5&lt;&gt;"",ISNUMBER(SEARCH($A991,'算罪台'!$B$5))),1,0)</f>
        <v/>
      </c>
      <c r="E992" s="34">
        <f>IF(AND($A991&lt;&gt;"",'算罪台'!$B$6&lt;&gt;"",ISNUMBER(SEARCH($A991,'算罪台'!$B$6))),1,0)</f>
        <v/>
      </c>
    </row>
    <row r="993">
      <c r="A993" s="34" t="inlineStr">
        <is>
          <t>聚众斗殴</t>
        </is>
      </c>
      <c r="B993" s="34" t="inlineStr">
        <is>
          <t>非法集会罪</t>
        </is>
      </c>
      <c r="C993" s="34">
        <f>IF(AND($A992&lt;&gt;"",'算罪台'!$B$4&lt;&gt;"",ISNUMBER(SEARCH($A992,'算罪台'!$B$4))),1,0)</f>
        <v/>
      </c>
      <c r="D993" s="34">
        <f>IF(AND($A992&lt;&gt;"",'算罪台'!$B$5&lt;&gt;"",ISNUMBER(SEARCH($A992,'算罪台'!$B$5))),1,0)</f>
        <v/>
      </c>
      <c r="E993" s="34">
        <f>IF(AND($A992&lt;&gt;"",'算罪台'!$B$6&lt;&gt;"",ISNUMBER(SEARCH($A992,'算罪台'!$B$6))),1,0)</f>
        <v/>
      </c>
    </row>
    <row r="994">
      <c r="A994" s="34" t="inlineStr">
        <is>
          <t>纠集多人</t>
        </is>
      </c>
      <c r="B994" s="34" t="inlineStr">
        <is>
          <t>非法集会罪</t>
        </is>
      </c>
      <c r="C994" s="34">
        <f>IF(AND($A993&lt;&gt;"",'算罪台'!$B$4&lt;&gt;"",ISNUMBER(SEARCH($A993,'算罪台'!$B$4))),1,0)</f>
        <v/>
      </c>
      <c r="D994" s="34">
        <f>IF(AND($A993&lt;&gt;"",'算罪台'!$B$5&lt;&gt;"",ISNUMBER(SEARCH($A993,'算罪台'!$B$5))),1,0)</f>
        <v/>
      </c>
      <c r="E994" s="34">
        <f>IF(AND($A993&lt;&gt;"",'算罪台'!$B$6&lt;&gt;"",ISNUMBER(SEARCH($A993,'算罪台'!$B$6))),1,0)</f>
        <v/>
      </c>
    </row>
    <row r="995">
      <c r="A995" s="34" t="inlineStr">
        <is>
          <t>拉帮聚众</t>
        </is>
      </c>
      <c r="B995" s="34" t="inlineStr">
        <is>
          <t>非法集会罪</t>
        </is>
      </c>
      <c r="C995" s="34">
        <f>IF(AND($A994&lt;&gt;"",'算罪台'!$B$4&lt;&gt;"",ISNUMBER(SEARCH($A994,'算罪台'!$B$4))),1,0)</f>
        <v/>
      </c>
      <c r="D995" s="34">
        <f>IF(AND($A994&lt;&gt;"",'算罪台'!$B$5&lt;&gt;"",ISNUMBER(SEARCH($A994,'算罪台'!$B$5))),1,0)</f>
        <v/>
      </c>
      <c r="E995" s="34">
        <f>IF(AND($A994&lt;&gt;"",'算罪台'!$B$6&lt;&gt;"",ISNUMBER(SEARCH($A994,'算罪台'!$B$6))),1,0)</f>
        <v/>
      </c>
    </row>
    <row r="996">
      <c r="A996" s="34" t="inlineStr">
        <is>
          <t>聚集滋事</t>
        </is>
      </c>
      <c r="B996" s="34" t="inlineStr">
        <is>
          <t>非法集会罪</t>
        </is>
      </c>
      <c r="C996" s="34">
        <f>IF(AND($A995&lt;&gt;"",'算罪台'!$B$4&lt;&gt;"",ISNUMBER(SEARCH($A995,'算罪台'!$B$4))),1,0)</f>
        <v/>
      </c>
      <c r="D996" s="34">
        <f>IF(AND($A995&lt;&gt;"",'算罪台'!$B$5&lt;&gt;"",ISNUMBER(SEARCH($A995,'算罪台'!$B$5))),1,0)</f>
        <v/>
      </c>
      <c r="E996" s="34">
        <f>IF(AND($A995&lt;&gt;"",'算罪台'!$B$6&lt;&gt;"",ISNUMBER(SEARCH($A995,'算罪台'!$B$6))),1,0)</f>
        <v/>
      </c>
    </row>
    <row r="997">
      <c r="A997" s="34" t="inlineStr">
        <is>
          <t>成群闹事</t>
        </is>
      </c>
      <c r="B997" s="34" t="inlineStr">
        <is>
          <t>非法集会罪</t>
        </is>
      </c>
      <c r="C997" s="34">
        <f>IF(AND($A996&lt;&gt;"",'算罪台'!$B$4&lt;&gt;"",ISNUMBER(SEARCH($A996,'算罪台'!$B$4))),1,0)</f>
        <v/>
      </c>
      <c r="D997" s="34">
        <f>IF(AND($A996&lt;&gt;"",'算罪台'!$B$5&lt;&gt;"",ISNUMBER(SEARCH($A996,'算罪台'!$B$5))),1,0)</f>
        <v/>
      </c>
      <c r="E997" s="34">
        <f>IF(AND($A996&lt;&gt;"",'算罪台'!$B$6&lt;&gt;"",ISNUMBER(SEARCH($A996,'算罪台'!$B$6))),1,0)</f>
        <v/>
      </c>
    </row>
    <row r="998">
      <c r="A998" s="34" t="inlineStr">
        <is>
          <t>聚众扰乱</t>
        </is>
      </c>
      <c r="B998" s="34" t="inlineStr">
        <is>
          <t>非法集会罪</t>
        </is>
      </c>
      <c r="C998" s="34">
        <f>IF(AND($A997&lt;&gt;"",'算罪台'!$B$4&lt;&gt;"",ISNUMBER(SEARCH($A997,'算罪台'!$B$4))),1,0)</f>
        <v/>
      </c>
      <c r="D998" s="34">
        <f>IF(AND($A997&lt;&gt;"",'算罪台'!$B$5&lt;&gt;"",ISNUMBER(SEARCH($A997,'算罪台'!$B$5))),1,0)</f>
        <v/>
      </c>
      <c r="E998" s="34">
        <f>IF(AND($A997&lt;&gt;"",'算罪台'!$B$6&lt;&gt;"",ISNUMBER(SEARCH($A997,'算罪台'!$B$6))),1,0)</f>
        <v/>
      </c>
    </row>
    <row r="999">
      <c r="A999" s="34" t="inlineStr">
        <is>
          <t>组织非法集会</t>
        </is>
      </c>
      <c r="B999" s="34" t="inlineStr">
        <is>
          <t>非法集会罪</t>
        </is>
      </c>
      <c r="C999" s="34">
        <f>IF(AND($A998&lt;&gt;"",'算罪台'!$B$4&lt;&gt;"",ISNUMBER(SEARCH($A998,'算罪台'!$B$4))),1,0)</f>
        <v/>
      </c>
      <c r="D999" s="34">
        <f>IF(AND($A998&lt;&gt;"",'算罪台'!$B$5&lt;&gt;"",ISNUMBER(SEARCH($A998,'算罪台'!$B$5))),1,0)</f>
        <v/>
      </c>
      <c r="E999" s="34">
        <f>IF(AND($A998&lt;&gt;"",'算罪台'!$B$6&lt;&gt;"",ISNUMBER(SEARCH($A998,'算罪台'!$B$6))),1,0)</f>
        <v/>
      </c>
    </row>
    <row r="1000">
      <c r="A1000" s="34" t="inlineStr">
        <is>
          <t>聚众围堵</t>
        </is>
      </c>
      <c r="B1000" s="34" t="inlineStr">
        <is>
          <t>非法集会罪</t>
        </is>
      </c>
      <c r="C1000" s="34">
        <f>IF(AND($A999&lt;&gt;"",'算罪台'!$B$4&lt;&gt;"",ISNUMBER(SEARCH($A999,'算罪台'!$B$4))),1,0)</f>
        <v/>
      </c>
      <c r="D1000" s="34">
        <f>IF(AND($A999&lt;&gt;"",'算罪台'!$B$5&lt;&gt;"",ISNUMBER(SEARCH($A999,'算罪台'!$B$5))),1,0)</f>
        <v/>
      </c>
      <c r="E1000" s="34">
        <f>IF(AND($A999&lt;&gt;"",'算罪台'!$B$6&lt;&gt;"",ISNUMBER(SEARCH($A999,'算罪台'!$B$6))),1,0)</f>
        <v/>
      </c>
    </row>
    <row r="1001">
      <c r="A1001" s="34" t="inlineStr">
        <is>
          <t>非法集结</t>
        </is>
      </c>
      <c r="B1001" s="34" t="inlineStr">
        <is>
          <t>非法集会罪</t>
        </is>
      </c>
      <c r="C1001" s="34">
        <f>IF(AND($A1000&lt;&gt;"",'算罪台'!$B$4&lt;&gt;"",ISNUMBER(SEARCH($A1000,'算罪台'!$B$4))),1,0)</f>
        <v/>
      </c>
      <c r="D1001" s="34">
        <f>IF(AND($A1000&lt;&gt;"",'算罪台'!$B$5&lt;&gt;"",ISNUMBER(SEARCH($A1000,'算罪台'!$B$5))),1,0)</f>
        <v/>
      </c>
      <c r="E1001" s="34">
        <f>IF(AND($A1000&lt;&gt;"",'算罪台'!$B$6&lt;&gt;"",ISNUMBER(SEARCH($A1000,'算罪台'!$B$6))),1,0)</f>
        <v/>
      </c>
    </row>
    <row r="1002">
      <c r="A1002" s="34" t="inlineStr">
        <is>
          <t>煽动暴乱</t>
        </is>
      </c>
      <c r="B1002" s="34" t="inlineStr">
        <is>
          <t>煽动暴乱罪</t>
        </is>
      </c>
      <c r="C1002" s="34">
        <f>IF(AND($A1001&lt;&gt;"",'算罪台'!$B$4&lt;&gt;"",ISNUMBER(SEARCH($A1001,'算罪台'!$B$4))),1,0)</f>
        <v/>
      </c>
      <c r="D1002" s="34">
        <f>IF(AND($A1001&lt;&gt;"",'算罪台'!$B$5&lt;&gt;"",ISNUMBER(SEARCH($A1001,'算罪台'!$B$5))),1,0)</f>
        <v/>
      </c>
      <c r="E1002" s="34">
        <f>IF(AND($A1001&lt;&gt;"",'算罪台'!$B$6&lt;&gt;"",ISNUMBER(SEARCH($A1001,'算罪台'!$B$6))),1,0)</f>
        <v/>
      </c>
    </row>
    <row r="1003">
      <c r="A1003" s="34" t="inlineStr">
        <is>
          <t>煽动暴力</t>
        </is>
      </c>
      <c r="B1003" s="34" t="inlineStr">
        <is>
          <t>煽动暴乱罪</t>
        </is>
      </c>
      <c r="C1003" s="34">
        <f>IF(AND($A1002&lt;&gt;"",'算罪台'!$B$4&lt;&gt;"",ISNUMBER(SEARCH($A1002,'算罪台'!$B$4))),1,0)</f>
        <v/>
      </c>
      <c r="D1003" s="34">
        <f>IF(AND($A1002&lt;&gt;"",'算罪台'!$B$5&lt;&gt;"",ISNUMBER(SEARCH($A1002,'算罪台'!$B$5))),1,0)</f>
        <v/>
      </c>
      <c r="E1003" s="34">
        <f>IF(AND($A1002&lt;&gt;"",'算罪台'!$B$6&lt;&gt;"",ISNUMBER(SEARCH($A1002,'算罪台'!$B$6))),1,0)</f>
        <v/>
      </c>
    </row>
    <row r="1004">
      <c r="A1004" s="34" t="inlineStr">
        <is>
          <t>鼓动暴乱</t>
        </is>
      </c>
      <c r="B1004" s="34" t="inlineStr">
        <is>
          <t>煽动暴乱罪</t>
        </is>
      </c>
      <c r="C1004" s="34">
        <f>IF(AND($A1003&lt;&gt;"",'算罪台'!$B$4&lt;&gt;"",ISNUMBER(SEARCH($A1003,'算罪台'!$B$4))),1,0)</f>
        <v/>
      </c>
      <c r="D1004" s="34">
        <f>IF(AND($A1003&lt;&gt;"",'算罪台'!$B$5&lt;&gt;"",ISNUMBER(SEARCH($A1003,'算罪台'!$B$5))),1,0)</f>
        <v/>
      </c>
      <c r="E1004" s="34">
        <f>IF(AND($A1003&lt;&gt;"",'算罪台'!$B$6&lt;&gt;"",ISNUMBER(SEARCH($A1003,'算罪台'!$B$6))),1,0)</f>
        <v/>
      </c>
    </row>
    <row r="1005">
      <c r="A1005" s="34" t="inlineStr">
        <is>
          <t>鼓动暴力</t>
        </is>
      </c>
      <c r="B1005" s="34" t="inlineStr">
        <is>
          <t>煽动暴乱罪</t>
        </is>
      </c>
      <c r="C1005" s="34">
        <f>IF(AND($A1004&lt;&gt;"",'算罪台'!$B$4&lt;&gt;"",ISNUMBER(SEARCH($A1004,'算罪台'!$B$4))),1,0)</f>
        <v/>
      </c>
      <c r="D1005" s="34">
        <f>IF(AND($A1004&lt;&gt;"",'算罪台'!$B$5&lt;&gt;"",ISNUMBER(SEARCH($A1004,'算罪台'!$B$5))),1,0)</f>
        <v/>
      </c>
      <c r="E1005" s="34">
        <f>IF(AND($A1004&lt;&gt;"",'算罪台'!$B$6&lt;&gt;"",ISNUMBER(SEARCH($A1004,'算罪台'!$B$6))),1,0)</f>
        <v/>
      </c>
    </row>
    <row r="1006">
      <c r="A1006" s="34" t="inlineStr">
        <is>
          <t>带头闹事</t>
        </is>
      </c>
      <c r="B1006" s="34" t="inlineStr">
        <is>
          <t>煽动暴乱罪</t>
        </is>
      </c>
      <c r="C1006" s="34">
        <f>IF(AND($A1005&lt;&gt;"",'算罪台'!$B$4&lt;&gt;"",ISNUMBER(SEARCH($A1005,'算罪台'!$B$4))),1,0)</f>
        <v/>
      </c>
      <c r="D1006" s="34">
        <f>IF(AND($A1005&lt;&gt;"",'算罪台'!$B$5&lt;&gt;"",ISNUMBER(SEARCH($A1005,'算罪台'!$B$5))),1,0)</f>
        <v/>
      </c>
      <c r="E1006" s="34">
        <f>IF(AND($A1005&lt;&gt;"",'算罪台'!$B$6&lt;&gt;"",ISNUMBER(SEARCH($A1005,'算罪台'!$B$6))),1,0)</f>
        <v/>
      </c>
    </row>
    <row r="1007">
      <c r="A1007" s="34" t="inlineStr">
        <is>
          <t>煽动</t>
        </is>
      </c>
      <c r="B1007" s="34" t="inlineStr">
        <is>
          <t>煽动暴乱罪</t>
        </is>
      </c>
      <c r="C1007" s="34">
        <f>IF(AND($A1006&lt;&gt;"",'算罪台'!$B$4&lt;&gt;"",ISNUMBER(SEARCH($A1006,'算罪台'!$B$4))),1,0)</f>
        <v/>
      </c>
      <c r="D1007" s="34">
        <f>IF(AND($A1006&lt;&gt;"",'算罪台'!$B$5&lt;&gt;"",ISNUMBER(SEARCH($A1006,'算罪台'!$B$5))),1,0)</f>
        <v/>
      </c>
      <c r="E1007" s="34">
        <f>IF(AND($A1006&lt;&gt;"",'算罪台'!$B$6&lt;&gt;"",ISNUMBER(SEARCH($A1006,'算罪台'!$B$6))),1,0)</f>
        <v/>
      </c>
    </row>
    <row r="1008">
      <c r="A1008" s="34" t="inlineStr">
        <is>
          <t>带头煽动</t>
        </is>
      </c>
      <c r="B1008" s="34" t="inlineStr">
        <is>
          <t>煽动暴乱罪</t>
        </is>
      </c>
      <c r="C1008" s="34">
        <f>IF(AND($A1007&lt;&gt;"",'算罪台'!$B$4&lt;&gt;"",ISNUMBER(SEARCH($A1007,'算罪台'!$B$4))),1,0)</f>
        <v/>
      </c>
      <c r="D1008" s="34">
        <f>IF(AND($A1007&lt;&gt;"",'算罪台'!$B$5&lt;&gt;"",ISNUMBER(SEARCH($A1007,'算罪台'!$B$5))),1,0)</f>
        <v/>
      </c>
      <c r="E1008" s="34">
        <f>IF(AND($A1007&lt;&gt;"",'算罪台'!$B$6&lt;&gt;"",ISNUMBER(SEARCH($A1007,'算罪台'!$B$6))),1,0)</f>
        <v/>
      </c>
    </row>
    <row r="1009">
      <c r="A1009" s="34" t="inlineStr">
        <is>
          <t>鼓动闹事</t>
        </is>
      </c>
      <c r="B1009" s="34" t="inlineStr">
        <is>
          <t>煽动暴乱罪</t>
        </is>
      </c>
      <c r="C1009" s="34">
        <f>IF(AND($A1008&lt;&gt;"",'算罪台'!$B$4&lt;&gt;"",ISNUMBER(SEARCH($A1008,'算罪台'!$B$4))),1,0)</f>
        <v/>
      </c>
      <c r="D1009" s="34">
        <f>IF(AND($A1008&lt;&gt;"",'算罪台'!$B$5&lt;&gt;"",ISNUMBER(SEARCH($A1008,'算罪台'!$B$5))),1,0)</f>
        <v/>
      </c>
      <c r="E1009" s="34">
        <f>IF(AND($A1008&lt;&gt;"",'算罪台'!$B$6&lt;&gt;"",ISNUMBER(SEARCH($A1008,'算罪台'!$B$6))),1,0)</f>
        <v/>
      </c>
    </row>
    <row r="1010">
      <c r="A1010" s="34" t="inlineStr">
        <is>
          <t>煽风点火</t>
        </is>
      </c>
      <c r="B1010" s="34" t="inlineStr">
        <is>
          <t>煽动暴乱罪</t>
        </is>
      </c>
      <c r="C1010" s="34">
        <f>IF(AND($A1009&lt;&gt;"",'算罪台'!$B$4&lt;&gt;"",ISNUMBER(SEARCH($A1009,'算罪台'!$B$4))),1,0)</f>
        <v/>
      </c>
      <c r="D1010" s="34">
        <f>IF(AND($A1009&lt;&gt;"",'算罪台'!$B$5&lt;&gt;"",ISNUMBER(SEARCH($A1009,'算罪台'!$B$5))),1,0)</f>
        <v/>
      </c>
      <c r="E1010" s="34">
        <f>IF(AND($A1009&lt;&gt;"",'算罪台'!$B$6&lt;&gt;"",ISNUMBER(SEARCH($A1009,'算罪台'!$B$6))),1,0)</f>
        <v/>
      </c>
    </row>
    <row r="1011">
      <c r="A1011" s="34" t="inlineStr">
        <is>
          <t>挑动暴乱</t>
        </is>
      </c>
      <c r="B1011" s="34" t="inlineStr">
        <is>
          <t>煽动暴乱罪</t>
        </is>
      </c>
      <c r="C1011" s="34">
        <f>IF(AND($A1010&lt;&gt;"",'算罪台'!$B$4&lt;&gt;"",ISNUMBER(SEARCH($A1010,'算罪台'!$B$4))),1,0)</f>
        <v/>
      </c>
      <c r="D1011" s="34">
        <f>IF(AND($A1010&lt;&gt;"",'算罪台'!$B$5&lt;&gt;"",ISNUMBER(SEARCH($A1010,'算罪台'!$B$5))),1,0)</f>
        <v/>
      </c>
      <c r="E1011" s="34">
        <f>IF(AND($A1010&lt;&gt;"",'算罪台'!$B$6&lt;&gt;"",ISNUMBER(SEARCH($A1010,'算罪台'!$B$6))),1,0)</f>
        <v/>
      </c>
    </row>
    <row r="1012">
      <c r="A1012" s="34" t="inlineStr">
        <is>
          <t>怂恿暴力</t>
        </is>
      </c>
      <c r="B1012" s="34" t="inlineStr">
        <is>
          <t>煽动暴乱罪</t>
        </is>
      </c>
      <c r="C1012" s="34">
        <f>IF(AND($A1011&lt;&gt;"",'算罪台'!$B$4&lt;&gt;"",ISNUMBER(SEARCH($A1011,'算罪台'!$B$4))),1,0)</f>
        <v/>
      </c>
      <c r="D1012" s="34">
        <f>IF(AND($A1011&lt;&gt;"",'算罪台'!$B$5&lt;&gt;"",ISNUMBER(SEARCH($A1011,'算罪台'!$B$5))),1,0)</f>
        <v/>
      </c>
      <c r="E1012" s="34">
        <f>IF(AND($A1011&lt;&gt;"",'算罪台'!$B$6&lt;&gt;"",ISNUMBER(SEARCH($A1011,'算罪台'!$B$6))),1,0)</f>
        <v/>
      </c>
    </row>
    <row r="1013">
      <c r="A1013" s="34" t="inlineStr">
        <is>
          <t>煽动骚乱</t>
        </is>
      </c>
      <c r="B1013" s="34" t="inlineStr">
        <is>
          <t>煽动暴乱罪</t>
        </is>
      </c>
      <c r="C1013" s="34">
        <f>IF(AND($A1012&lt;&gt;"",'算罪台'!$B$4&lt;&gt;"",ISNUMBER(SEARCH($A1012,'算罪台'!$B$4))),1,0)</f>
        <v/>
      </c>
      <c r="D1013" s="34">
        <f>IF(AND($A1012&lt;&gt;"",'算罪台'!$B$5&lt;&gt;"",ISNUMBER(SEARCH($A1012,'算罪台'!$B$5))),1,0)</f>
        <v/>
      </c>
      <c r="E1013" s="34">
        <f>IF(AND($A1012&lt;&gt;"",'算罪台'!$B$6&lt;&gt;"",ISNUMBER(SEARCH($A1012,'算罪台'!$B$6))),1,0)</f>
        <v/>
      </c>
    </row>
    <row r="1014">
      <c r="A1014" s="34" t="inlineStr">
        <is>
          <t>鼓动暴动</t>
        </is>
      </c>
      <c r="B1014" s="34" t="inlineStr">
        <is>
          <t>煽动暴乱罪</t>
        </is>
      </c>
      <c r="C1014" s="34">
        <f>IF(AND($A1013&lt;&gt;"",'算罪台'!$B$4&lt;&gt;"",ISNUMBER(SEARCH($A1013,'算罪台'!$B$4))),1,0)</f>
        <v/>
      </c>
      <c r="D1014" s="34">
        <f>IF(AND($A1013&lt;&gt;"",'算罪台'!$B$5&lt;&gt;"",ISNUMBER(SEARCH($A1013,'算罪台'!$B$5))),1,0)</f>
        <v/>
      </c>
      <c r="E1014" s="34">
        <f>IF(AND($A1013&lt;&gt;"",'算罪台'!$B$6&lt;&gt;"",ISNUMBER(SEARCH($A1013,'算罪台'!$B$6))),1,0)</f>
        <v/>
      </c>
    </row>
    <row r="1015">
      <c r="A1015" s="34" t="inlineStr">
        <is>
          <t>教唆暴力</t>
        </is>
      </c>
      <c r="B1015" s="34" t="inlineStr">
        <is>
          <t>煽动暴乱罪</t>
        </is>
      </c>
      <c r="C1015" s="34">
        <f>IF(AND($A1014&lt;&gt;"",'算罪台'!$B$4&lt;&gt;"",ISNUMBER(SEARCH($A1014,'算罪台'!$B$4))),1,0)</f>
        <v/>
      </c>
      <c r="D1015" s="34">
        <f>IF(AND($A1014&lt;&gt;"",'算罪台'!$B$5&lt;&gt;"",ISNUMBER(SEARCH($A1014,'算罪台'!$B$5))),1,0)</f>
        <v/>
      </c>
      <c r="E1015" s="34">
        <f>IF(AND($A1014&lt;&gt;"",'算罪台'!$B$6&lt;&gt;"",ISNUMBER(SEARCH($A1014,'算罪台'!$B$6))),1,0)</f>
        <v/>
      </c>
    </row>
    <row r="1016">
      <c r="A1016" s="34" t="inlineStr">
        <is>
          <t>组织暴乱</t>
        </is>
      </c>
      <c r="B1016" s="34" t="inlineStr">
        <is>
          <t>煽动暴乱罪</t>
        </is>
      </c>
      <c r="C1016" s="34">
        <f>IF(AND($A1015&lt;&gt;"",'算罪台'!$B$4&lt;&gt;"",ISNUMBER(SEARCH($A1015,'算罪台'!$B$4))),1,0)</f>
        <v/>
      </c>
      <c r="D1016" s="34">
        <f>IF(AND($A1015&lt;&gt;"",'算罪台'!$B$5&lt;&gt;"",ISNUMBER(SEARCH($A1015,'算罪台'!$B$5))),1,0)</f>
        <v/>
      </c>
      <c r="E1016" s="34">
        <f>IF(AND($A1015&lt;&gt;"",'算罪台'!$B$6&lt;&gt;"",ISNUMBER(SEARCH($A1015,'算罪台'!$B$6))),1,0)</f>
        <v/>
      </c>
    </row>
    <row r="1017">
      <c r="A1017" s="34" t="inlineStr">
        <is>
          <t>煽动闹事</t>
        </is>
      </c>
      <c r="B1017" s="34" t="inlineStr">
        <is>
          <t>煽动暴乱罪</t>
        </is>
      </c>
      <c r="C1017" s="34">
        <f>IF(AND($A1016&lt;&gt;"",'算罪台'!$B$4&lt;&gt;"",ISNUMBER(SEARCH($A1016,'算罪台'!$B$4))),1,0)</f>
        <v/>
      </c>
      <c r="D1017" s="34">
        <f>IF(AND($A1016&lt;&gt;"",'算罪台'!$B$5&lt;&gt;"",ISNUMBER(SEARCH($A1016,'算罪台'!$B$5))),1,0)</f>
        <v/>
      </c>
      <c r="E1017" s="34">
        <f>IF(AND($A1016&lt;&gt;"",'算罪台'!$B$6&lt;&gt;"",ISNUMBER(SEARCH($A1016,'算罪台'!$B$6))),1,0)</f>
        <v/>
      </c>
    </row>
    <row r="1018">
      <c r="A1018" s="34" t="inlineStr">
        <is>
          <t>遮挡面部</t>
        </is>
      </c>
      <c r="B1018" s="34" t="inlineStr">
        <is>
          <t>遮挡面部罪</t>
        </is>
      </c>
      <c r="C1018" s="34">
        <f>IF(AND($A1017&lt;&gt;"",'算罪台'!$B$4&lt;&gt;"",ISNUMBER(SEARCH($A1017,'算罪台'!$B$4))),1,0)</f>
        <v/>
      </c>
      <c r="D1018" s="34">
        <f>IF(AND($A1017&lt;&gt;"",'算罪台'!$B$5&lt;&gt;"",ISNUMBER(SEARCH($A1017,'算罪台'!$B$5))),1,0)</f>
        <v/>
      </c>
      <c r="E1018" s="34">
        <f>IF(AND($A1017&lt;&gt;"",'算罪台'!$B$6&lt;&gt;"",ISNUMBER(SEARCH($A1017,'算罪台'!$B$6))),1,0)</f>
        <v/>
      </c>
    </row>
    <row r="1019">
      <c r="A1019" s="34" t="inlineStr">
        <is>
          <t>蒙面</t>
        </is>
      </c>
      <c r="B1019" s="34" t="inlineStr">
        <is>
          <t>遮挡面部罪</t>
        </is>
      </c>
      <c r="C1019" s="34">
        <f>IF(AND($A1018&lt;&gt;"",'算罪台'!$B$4&lt;&gt;"",ISNUMBER(SEARCH($A1018,'算罪台'!$B$4))),1,0)</f>
        <v/>
      </c>
      <c r="D1019" s="34">
        <f>IF(AND($A1018&lt;&gt;"",'算罪台'!$B$5&lt;&gt;"",ISNUMBER(SEARCH($A1018,'算罪台'!$B$5))),1,0)</f>
        <v/>
      </c>
      <c r="E1019" s="34">
        <f>IF(AND($A1018&lt;&gt;"",'算罪台'!$B$6&lt;&gt;"",ISNUMBER(SEARCH($A1018,'算罪台'!$B$6))),1,0)</f>
        <v/>
      </c>
    </row>
    <row r="1020">
      <c r="A1020" s="34" t="inlineStr">
        <is>
          <t>戴面具</t>
        </is>
      </c>
      <c r="B1020" s="34" t="inlineStr">
        <is>
          <t>遮挡面部罪</t>
        </is>
      </c>
      <c r="C1020" s="34">
        <f>IF(AND($A1019&lt;&gt;"",'算罪台'!$B$4&lt;&gt;"",ISNUMBER(SEARCH($A1019,'算罪台'!$B$4))),1,0)</f>
        <v/>
      </c>
      <c r="D1020" s="34">
        <f>IF(AND($A1019&lt;&gt;"",'算罪台'!$B$5&lt;&gt;"",ISNUMBER(SEARCH($A1019,'算罪台'!$B$5))),1,0)</f>
        <v/>
      </c>
      <c r="E1020" s="34">
        <f>IF(AND($A1019&lt;&gt;"",'算罪台'!$B$6&lt;&gt;"",ISNUMBER(SEARCH($A1019,'算罪台'!$B$6))),1,0)</f>
        <v/>
      </c>
    </row>
    <row r="1021">
      <c r="A1021" s="34" t="inlineStr">
        <is>
          <t>兜帽遮脸</t>
        </is>
      </c>
      <c r="B1021" s="34" t="inlineStr">
        <is>
          <t>遮挡面部罪</t>
        </is>
      </c>
      <c r="C1021" s="34">
        <f>IF(AND($A1020&lt;&gt;"",'算罪台'!$B$4&lt;&gt;"",ISNUMBER(SEARCH($A1020,'算罪台'!$B$4))),1,0)</f>
        <v/>
      </c>
      <c r="D1021" s="34">
        <f>IF(AND($A1020&lt;&gt;"",'算罪台'!$B$5&lt;&gt;"",ISNUMBER(SEARCH($A1020,'算罪台'!$B$5))),1,0)</f>
        <v/>
      </c>
      <c r="E1021" s="34">
        <f>IF(AND($A1020&lt;&gt;"",'算罪台'!$B$6&lt;&gt;"",ISNUMBER(SEARCH($A1020,'算罪台'!$B$6))),1,0)</f>
        <v/>
      </c>
    </row>
    <row r="1022">
      <c r="A1022" s="34" t="inlineStr">
        <is>
          <t>拒绝揭开面罩</t>
        </is>
      </c>
      <c r="B1022" s="34" t="inlineStr">
        <is>
          <t>遮挡面部罪</t>
        </is>
      </c>
      <c r="C1022" s="34">
        <f>IF(AND($A1021&lt;&gt;"",'算罪台'!$B$4&lt;&gt;"",ISNUMBER(SEARCH($A1021,'算罪台'!$B$4))),1,0)</f>
        <v/>
      </c>
      <c r="D1022" s="34">
        <f>IF(AND($A1021&lt;&gt;"",'算罪台'!$B$5&lt;&gt;"",ISNUMBER(SEARCH($A1021,'算罪台'!$B$5))),1,0)</f>
        <v/>
      </c>
      <c r="E1022" s="34">
        <f>IF(AND($A1021&lt;&gt;"",'算罪台'!$B$6&lt;&gt;"",ISNUMBER(SEARCH($A1021,'算罪台'!$B$6))),1,0)</f>
        <v/>
      </c>
    </row>
    <row r="1023">
      <c r="A1023" s="34" t="inlineStr">
        <is>
          <t>蒙着脸</t>
        </is>
      </c>
      <c r="B1023" s="34" t="inlineStr">
        <is>
          <t>遮挡面部罪</t>
        </is>
      </c>
      <c r="C1023" s="34">
        <f>IF(AND($A1022&lt;&gt;"",'算罪台'!$B$4&lt;&gt;"",ISNUMBER(SEARCH($A1022,'算罪台'!$B$4))),1,0)</f>
        <v/>
      </c>
      <c r="D1023" s="34">
        <f>IF(AND($A1022&lt;&gt;"",'算罪台'!$B$5&lt;&gt;"",ISNUMBER(SEARCH($A1022,'算罪台'!$B$5))),1,0)</f>
        <v/>
      </c>
      <c r="E1023" s="34">
        <f>IF(AND($A1022&lt;&gt;"",'算罪台'!$B$6&lt;&gt;"",ISNUMBER(SEARCH($A1022,'算罪台'!$B$6))),1,0)</f>
        <v/>
      </c>
    </row>
    <row r="1024">
      <c r="A1024" s="34" t="inlineStr">
        <is>
          <t>戴头套</t>
        </is>
      </c>
      <c r="B1024" s="34" t="inlineStr">
        <is>
          <t>遮挡面部罪</t>
        </is>
      </c>
      <c r="C1024" s="34">
        <f>IF(AND($A1023&lt;&gt;"",'算罪台'!$B$4&lt;&gt;"",ISNUMBER(SEARCH($A1023,'算罪台'!$B$4))),1,0)</f>
        <v/>
      </c>
      <c r="D1024" s="34">
        <f>IF(AND($A1023&lt;&gt;"",'算罪台'!$B$5&lt;&gt;"",ISNUMBER(SEARCH($A1023,'算罪台'!$B$5))),1,0)</f>
        <v/>
      </c>
      <c r="E1024" s="34">
        <f>IF(AND($A1023&lt;&gt;"",'算罪台'!$B$6&lt;&gt;"",ISNUMBER(SEARCH($A1023,'算罪台'!$B$6))),1,0)</f>
        <v/>
      </c>
    </row>
    <row r="1025">
      <c r="A1025" s="34" t="inlineStr">
        <is>
          <t>蒙脸</t>
        </is>
      </c>
      <c r="B1025" s="34" t="inlineStr">
        <is>
          <t>遮挡面部罪</t>
        </is>
      </c>
      <c r="C1025" s="34">
        <f>IF(AND($A1024&lt;&gt;"",'算罪台'!$B$4&lt;&gt;"",ISNUMBER(SEARCH($A1024,'算罪台'!$B$4))),1,0)</f>
        <v/>
      </c>
      <c r="D1025" s="34">
        <f>IF(AND($A1024&lt;&gt;"",'算罪台'!$B$5&lt;&gt;"",ISNUMBER(SEARCH($A1024,'算罪台'!$B$5))),1,0)</f>
        <v/>
      </c>
      <c r="E1025" s="34">
        <f>IF(AND($A1024&lt;&gt;"",'算罪台'!$B$6&lt;&gt;"",ISNUMBER(SEARCH($A1024,'算罪台'!$B$6))),1,0)</f>
        <v/>
      </c>
    </row>
    <row r="1026">
      <c r="A1026" s="34" t="inlineStr">
        <is>
          <t>戴口罩作案</t>
        </is>
      </c>
      <c r="B1026" s="34" t="inlineStr">
        <is>
          <t>遮挡面部罪</t>
        </is>
      </c>
      <c r="C1026" s="34">
        <f>IF(AND($A1025&lt;&gt;"",'算罪台'!$B$4&lt;&gt;"",ISNUMBER(SEARCH($A1025,'算罪台'!$B$4))),1,0)</f>
        <v/>
      </c>
      <c r="D1026" s="34">
        <f>IF(AND($A1025&lt;&gt;"",'算罪台'!$B$5&lt;&gt;"",ISNUMBER(SEARCH($A1025,'算罪台'!$B$5))),1,0)</f>
        <v/>
      </c>
      <c r="E1026" s="34">
        <f>IF(AND($A1025&lt;&gt;"",'算罪台'!$B$6&lt;&gt;"",ISNUMBER(SEARCH($A1025,'算罪台'!$B$6))),1,0)</f>
        <v/>
      </c>
    </row>
    <row r="1027">
      <c r="A1027" s="34" t="inlineStr">
        <is>
          <t>戴头套抢</t>
        </is>
      </c>
      <c r="B1027" s="34" t="inlineStr">
        <is>
          <t>遮挡面部罪</t>
        </is>
      </c>
      <c r="C1027" s="34">
        <f>IF(AND($A1026&lt;&gt;"",'算罪台'!$B$4&lt;&gt;"",ISNUMBER(SEARCH($A1026,'算罪台'!$B$4))),1,0)</f>
        <v/>
      </c>
      <c r="D1027" s="34">
        <f>IF(AND($A1026&lt;&gt;"",'算罪台'!$B$5&lt;&gt;"",ISNUMBER(SEARCH($A1026,'算罪台'!$B$5))),1,0)</f>
        <v/>
      </c>
      <c r="E1027" s="34">
        <f>IF(AND($A1026&lt;&gt;"",'算罪台'!$B$6&lt;&gt;"",ISNUMBER(SEARCH($A1026,'算罪台'!$B$6))),1,0)</f>
        <v/>
      </c>
    </row>
    <row r="1028">
      <c r="A1028" s="34" t="inlineStr">
        <is>
          <t>捂脸</t>
        </is>
      </c>
      <c r="B1028" s="34" t="inlineStr">
        <is>
          <t>遮挡面部罪</t>
        </is>
      </c>
      <c r="C1028" s="34">
        <f>IF(AND($A1027&lt;&gt;"",'算罪台'!$B$4&lt;&gt;"",ISNUMBER(SEARCH($A1027,'算罪台'!$B$4))),1,0)</f>
        <v/>
      </c>
      <c r="D1028" s="34">
        <f>IF(AND($A1027&lt;&gt;"",'算罪台'!$B$5&lt;&gt;"",ISNUMBER(SEARCH($A1027,'算罪台'!$B$5))),1,0)</f>
        <v/>
      </c>
      <c r="E1028" s="34">
        <f>IF(AND($A1027&lt;&gt;"",'算罪台'!$B$6&lt;&gt;"",ISNUMBER(SEARCH($A1027,'算罪台'!$B$6))),1,0)</f>
        <v/>
      </c>
    </row>
    <row r="1029">
      <c r="A1029" s="34" t="inlineStr">
        <is>
          <t>遮脸作案</t>
        </is>
      </c>
      <c r="B1029" s="34" t="inlineStr">
        <is>
          <t>遮挡面部罪</t>
        </is>
      </c>
      <c r="C1029" s="34">
        <f>IF(AND($A1028&lt;&gt;"",'算罪台'!$B$4&lt;&gt;"",ISNUMBER(SEARCH($A1028,'算罪台'!$B$4))),1,0)</f>
        <v/>
      </c>
      <c r="D1029" s="34">
        <f>IF(AND($A1028&lt;&gt;"",'算罪台'!$B$5&lt;&gt;"",ISNUMBER(SEARCH($A1028,'算罪台'!$B$5))),1,0)</f>
        <v/>
      </c>
      <c r="E1029" s="34">
        <f>IF(AND($A1028&lt;&gt;"",'算罪台'!$B$6&lt;&gt;"",ISNUMBER(SEARCH($A1028,'算罪台'!$B$6))),1,0)</f>
        <v/>
      </c>
    </row>
    <row r="1030">
      <c r="A1030" s="34" t="inlineStr">
        <is>
          <t>蒙面作案</t>
        </is>
      </c>
      <c r="B1030" s="34" t="inlineStr">
        <is>
          <t>遮挡面部罪</t>
        </is>
      </c>
      <c r="C1030" s="34">
        <f>IF(AND($A1029&lt;&gt;"",'算罪台'!$B$4&lt;&gt;"",ISNUMBER(SEARCH($A1029,'算罪台'!$B$4))),1,0)</f>
        <v/>
      </c>
      <c r="D1030" s="34">
        <f>IF(AND($A1029&lt;&gt;"",'算罪台'!$B$5&lt;&gt;"",ISNUMBER(SEARCH($A1029,'算罪台'!$B$5))),1,0)</f>
        <v/>
      </c>
      <c r="E1030" s="34">
        <f>IF(AND($A1029&lt;&gt;"",'算罪台'!$B$6&lt;&gt;"",ISNUMBER(SEARCH($A1029,'算罪台'!$B$6))),1,0)</f>
        <v/>
      </c>
    </row>
    <row r="1031">
      <c r="A1031" s="34" t="inlineStr">
        <is>
          <t>蒙面遮挡</t>
        </is>
      </c>
      <c r="B1031" s="34" t="inlineStr">
        <is>
          <t>遮挡面部罪</t>
        </is>
      </c>
      <c r="C1031" s="34">
        <f>IF(AND($A1030&lt;&gt;"",'算罪台'!$B$4&lt;&gt;"",ISNUMBER(SEARCH($A1030,'算罪台'!$B$4))),1,0)</f>
        <v/>
      </c>
      <c r="D1031" s="34">
        <f>IF(AND($A1030&lt;&gt;"",'算罪台'!$B$5&lt;&gt;"",ISNUMBER(SEARCH($A1030,'算罪台'!$B$5))),1,0)</f>
        <v/>
      </c>
      <c r="E1031" s="34">
        <f>IF(AND($A1030&lt;&gt;"",'算罪台'!$B$6&lt;&gt;"",ISNUMBER(SEARCH($A1030,'算罪台'!$B$6))),1,0)</f>
        <v/>
      </c>
    </row>
    <row r="1032">
      <c r="A1032" s="34" t="inlineStr">
        <is>
          <t>戴面罩</t>
        </is>
      </c>
      <c r="B1032" s="34" t="inlineStr">
        <is>
          <t>遮挡面部罪</t>
        </is>
      </c>
      <c r="C1032" s="34">
        <f>IF(AND($A1031&lt;&gt;"",'算罪台'!$B$4&lt;&gt;"",ISNUMBER(SEARCH($A1031,'算罪台'!$B$4))),1,0)</f>
        <v/>
      </c>
      <c r="D1032" s="34">
        <f>IF(AND($A1031&lt;&gt;"",'算罪台'!$B$5&lt;&gt;"",ISNUMBER(SEARCH($A1031,'算罪台'!$B$5))),1,0)</f>
        <v/>
      </c>
      <c r="E1032" s="34">
        <f>IF(AND($A1031&lt;&gt;"",'算罪台'!$B$6&lt;&gt;"",ISNUMBER(SEARCH($A1031,'算罪台'!$B$6))),1,0)</f>
        <v/>
      </c>
    </row>
    <row r="1033">
      <c r="A1033" s="34" t="inlineStr">
        <is>
          <t>头套遮面</t>
        </is>
      </c>
      <c r="B1033" s="34" t="inlineStr">
        <is>
          <t>遮挡面部罪</t>
        </is>
      </c>
      <c r="C1033" s="34">
        <f>IF(AND($A1032&lt;&gt;"",'算罪台'!$B$4&lt;&gt;"",ISNUMBER(SEARCH($A1032,'算罪台'!$B$4))),1,0)</f>
        <v/>
      </c>
      <c r="D1033" s="34">
        <f>IF(AND($A1032&lt;&gt;"",'算罪台'!$B$5&lt;&gt;"",ISNUMBER(SEARCH($A1032,'算罪台'!$B$5))),1,0)</f>
        <v/>
      </c>
      <c r="E1033" s="34">
        <f>IF(AND($A1032&lt;&gt;"",'算罪台'!$B$6&lt;&gt;"",ISNUMBER(SEARCH($A1032,'算罪台'!$B$6))),1,0)</f>
        <v/>
      </c>
    </row>
    <row r="1034">
      <c r="A1034" s="34" t="inlineStr">
        <is>
          <t>口罩遮脸作案</t>
        </is>
      </c>
      <c r="B1034" s="34" t="inlineStr">
        <is>
          <t>遮挡面部罪</t>
        </is>
      </c>
      <c r="C1034" s="34">
        <f>IF(AND($A1033&lt;&gt;"",'算罪台'!$B$4&lt;&gt;"",ISNUMBER(SEARCH($A1033,'算罪台'!$B$4))),1,0)</f>
        <v/>
      </c>
      <c r="D1034" s="34">
        <f>IF(AND($A1033&lt;&gt;"",'算罪台'!$B$5&lt;&gt;"",ISNUMBER(SEARCH($A1033,'算罪台'!$B$5))),1,0)</f>
        <v/>
      </c>
      <c r="E1034" s="34">
        <f>IF(AND($A1033&lt;&gt;"",'算罪台'!$B$6&lt;&gt;"",ISNUMBER(SEARCH($A1033,'算罪台'!$B$6))),1,0)</f>
        <v/>
      </c>
    </row>
    <row r="1035">
      <c r="A1035" s="34" t="inlineStr">
        <is>
          <t>蒙头作案</t>
        </is>
      </c>
      <c r="B1035" s="34" t="inlineStr">
        <is>
          <t>遮挡面部罪</t>
        </is>
      </c>
      <c r="C1035" s="34">
        <f>IF(AND($A1034&lt;&gt;"",'算罪台'!$B$4&lt;&gt;"",ISNUMBER(SEARCH($A1034,'算罪台'!$B$4))),1,0)</f>
        <v/>
      </c>
      <c r="D1035" s="34">
        <f>IF(AND($A1034&lt;&gt;"",'算罪台'!$B$5&lt;&gt;"",ISNUMBER(SEARCH($A1034,'算罪台'!$B$5))),1,0)</f>
        <v/>
      </c>
      <c r="E1035" s="34">
        <f>IF(AND($A1034&lt;&gt;"",'算罪台'!$B$6&lt;&gt;"",ISNUMBER(SEARCH($A1034,'算罪台'!$B$6))),1,0)</f>
        <v/>
      </c>
    </row>
    <row r="1036">
      <c r="A1036" s="34" t="inlineStr">
        <is>
          <t>遮挡面容</t>
        </is>
      </c>
      <c r="B1036" s="34" t="inlineStr">
        <is>
          <t>遮挡面部罪</t>
        </is>
      </c>
      <c r="C1036" s="34">
        <f>IF(AND($A1035&lt;&gt;"",'算罪台'!$B$4&lt;&gt;"",ISNUMBER(SEARCH($A1035,'算罪台'!$B$4))),1,0)</f>
        <v/>
      </c>
      <c r="D1036" s="34">
        <f>IF(AND($A1035&lt;&gt;"",'算罪台'!$B$5&lt;&gt;"",ISNUMBER(SEARCH($A1035,'算罪台'!$B$5))),1,0)</f>
        <v/>
      </c>
      <c r="E1036" s="34">
        <f>IF(AND($A1035&lt;&gt;"",'算罪台'!$B$6&lt;&gt;"",ISNUMBER(SEARCH($A1035,'算罪台'!$B$6))),1,0)</f>
        <v/>
      </c>
    </row>
    <row r="1037">
      <c r="A1037" s="34" t="inlineStr">
        <is>
          <t>非法持有热武器</t>
        </is>
      </c>
      <c r="B1037" s="34" t="inlineStr">
        <is>
          <t>非法持有热武器罪</t>
        </is>
      </c>
      <c r="C1037" s="34">
        <f>IF(AND($A1036&lt;&gt;"",'算罪台'!$B$4&lt;&gt;"",ISNUMBER(SEARCH($A1036,'算罪台'!$B$4))),1,0)</f>
        <v/>
      </c>
      <c r="D1037" s="34">
        <f>IF(AND($A1036&lt;&gt;"",'算罪台'!$B$5&lt;&gt;"",ISNUMBER(SEARCH($A1036,'算罪台'!$B$5))),1,0)</f>
        <v/>
      </c>
      <c r="E1037" s="34">
        <f>IF(AND($A1036&lt;&gt;"",'算罪台'!$B$6&lt;&gt;"",ISNUMBER(SEARCH($A1036,'算罪台'!$B$6))),1,0)</f>
        <v/>
      </c>
    </row>
    <row r="1038">
      <c r="A1038" s="34" t="inlineStr">
        <is>
          <t>无证持枪</t>
        </is>
      </c>
      <c r="B1038" s="34" t="inlineStr">
        <is>
          <t>非法持有热武器罪</t>
        </is>
      </c>
      <c r="C1038" s="34">
        <f>IF(AND($A1037&lt;&gt;"",'算罪台'!$B$4&lt;&gt;"",ISNUMBER(SEARCH($A1037,'算罪台'!$B$4))),1,0)</f>
        <v/>
      </c>
      <c r="D1038" s="34">
        <f>IF(AND($A1037&lt;&gt;"",'算罪台'!$B$5&lt;&gt;"",ISNUMBER(SEARCH($A1037,'算罪台'!$B$5))),1,0)</f>
        <v/>
      </c>
      <c r="E1038" s="34">
        <f>IF(AND($A1037&lt;&gt;"",'算罪台'!$B$6&lt;&gt;"",ISNUMBER(SEARCH($A1037,'算罪台'!$B$6))),1,0)</f>
        <v/>
      </c>
    </row>
    <row r="1039">
      <c r="A1039" s="34" t="inlineStr">
        <is>
          <t>非法持枪</t>
        </is>
      </c>
      <c r="B1039" s="34" t="inlineStr">
        <is>
          <t>非法持有热武器罪</t>
        </is>
      </c>
      <c r="C1039" s="34">
        <f>IF(AND($A1038&lt;&gt;"",'算罪台'!$B$4&lt;&gt;"",ISNUMBER(SEARCH($A1038,'算罪台'!$B$4))),1,0)</f>
        <v/>
      </c>
      <c r="D1039" s="34">
        <f>IF(AND($A1038&lt;&gt;"",'算罪台'!$B$5&lt;&gt;"",ISNUMBER(SEARCH($A1038,'算罪台'!$B$5))),1,0)</f>
        <v/>
      </c>
      <c r="E1039" s="34">
        <f>IF(AND($A1038&lt;&gt;"",'算罪台'!$B$6&lt;&gt;"",ISNUMBER(SEARCH($A1038,'算罪台'!$B$6))),1,0)</f>
        <v/>
      </c>
    </row>
    <row r="1040">
      <c r="A1040" s="34" t="inlineStr">
        <is>
          <t>持有非法武器</t>
        </is>
      </c>
      <c r="B1040" s="34" t="inlineStr">
        <is>
          <t>非法持有热武器罪</t>
        </is>
      </c>
      <c r="C1040" s="34">
        <f>IF(AND($A1039&lt;&gt;"",'算罪台'!$B$4&lt;&gt;"",ISNUMBER(SEARCH($A1039,'算罪台'!$B$4))),1,0)</f>
        <v/>
      </c>
      <c r="D1040" s="34">
        <f>IF(AND($A1039&lt;&gt;"",'算罪台'!$B$5&lt;&gt;"",ISNUMBER(SEARCH($A1039,'算罪台'!$B$5))),1,0)</f>
        <v/>
      </c>
      <c r="E1040" s="34">
        <f>IF(AND($A1039&lt;&gt;"",'算罪台'!$B$6&lt;&gt;"",ISNUMBER(SEARCH($A1039,'算罪台'!$B$6))),1,0)</f>
        <v/>
      </c>
    </row>
    <row r="1041">
      <c r="A1041" s="34" t="inlineStr">
        <is>
          <t>无序列号枪支</t>
        </is>
      </c>
      <c r="B1041" s="34" t="inlineStr">
        <is>
          <t>非法持有热武器罪</t>
        </is>
      </c>
      <c r="C1041" s="34">
        <f>IF(AND($A1040&lt;&gt;"",'算罪台'!$B$4&lt;&gt;"",ISNUMBER(SEARCH($A1040,'算罪台'!$B$4))),1,0)</f>
        <v/>
      </c>
      <c r="D1041" s="34">
        <f>IF(AND($A1040&lt;&gt;"",'算罪台'!$B$5&lt;&gt;"",ISNUMBER(SEARCH($A1040,'算罪台'!$B$5))),1,0)</f>
        <v/>
      </c>
      <c r="E1041" s="34">
        <f>IF(AND($A1040&lt;&gt;"",'算罪台'!$B$6&lt;&gt;"",ISNUMBER(SEARCH($A1040,'算罪台'!$B$6))),1,0)</f>
        <v/>
      </c>
    </row>
    <row r="1042">
      <c r="A1042" s="34" t="inlineStr">
        <is>
          <t>全自动枪支</t>
        </is>
      </c>
      <c r="B1042" s="34" t="inlineStr">
        <is>
          <t>非法持有热武器罪</t>
        </is>
      </c>
      <c r="C1042" s="34">
        <f>IF(AND($A1041&lt;&gt;"",'算罪台'!$B$4&lt;&gt;"",ISNUMBER(SEARCH($A1041,'算罪台'!$B$4))),1,0)</f>
        <v/>
      </c>
      <c r="D1042" s="34">
        <f>IF(AND($A1041&lt;&gt;"",'算罪台'!$B$5&lt;&gt;"",ISNUMBER(SEARCH($A1041,'算罪台'!$B$5))),1,0)</f>
        <v/>
      </c>
      <c r="E1042" s="34">
        <f>IF(AND($A1041&lt;&gt;"",'算罪台'!$B$6&lt;&gt;"",ISNUMBER(SEARCH($A1041,'算罪台'!$B$6))),1,0)</f>
        <v/>
      </c>
    </row>
    <row r="1043">
      <c r="A1043" s="34" t="inlineStr">
        <is>
          <t>私藏枪支</t>
        </is>
      </c>
      <c r="B1043" s="34" t="inlineStr">
        <is>
          <t>非法持有热武器罪</t>
        </is>
      </c>
      <c r="C1043" s="34">
        <f>IF(AND($A1042&lt;&gt;"",'算罪台'!$B$4&lt;&gt;"",ISNUMBER(SEARCH($A1042,'算罪台'!$B$4))),1,0)</f>
        <v/>
      </c>
      <c r="D1043" s="34">
        <f>IF(AND($A1042&lt;&gt;"",'算罪台'!$B$5&lt;&gt;"",ISNUMBER(SEARCH($A1042,'算罪台'!$B$5))),1,0)</f>
        <v/>
      </c>
      <c r="E1043" s="34">
        <f>IF(AND($A1042&lt;&gt;"",'算罪台'!$B$6&lt;&gt;"",ISNUMBER(SEARCH($A1042,'算罪台'!$B$6))),1,0)</f>
        <v/>
      </c>
    </row>
    <row r="1044">
      <c r="A1044" s="34" t="inlineStr">
        <is>
          <t>持有爆炸物</t>
        </is>
      </c>
      <c r="B1044" s="34" t="inlineStr">
        <is>
          <t>非法持有热武器罪</t>
        </is>
      </c>
      <c r="C1044" s="34">
        <f>IF(AND($A1043&lt;&gt;"",'算罪台'!$B$4&lt;&gt;"",ISNUMBER(SEARCH($A1043,'算罪台'!$B$4))),1,0)</f>
        <v/>
      </c>
      <c r="D1044" s="34">
        <f>IF(AND($A1043&lt;&gt;"",'算罪台'!$B$5&lt;&gt;"",ISNUMBER(SEARCH($A1043,'算罪台'!$B$5))),1,0)</f>
        <v/>
      </c>
      <c r="E1044" s="34">
        <f>IF(AND($A1043&lt;&gt;"",'算罪台'!$B$6&lt;&gt;"",ISNUMBER(SEARCH($A1043,'算罪台'!$B$6))),1,0)</f>
        <v/>
      </c>
    </row>
    <row r="1045">
      <c r="A1045" s="34" t="inlineStr">
        <is>
          <t>身上有枪</t>
        </is>
      </c>
      <c r="B1045" s="34" t="inlineStr">
        <is>
          <t>非法持有热武器罪</t>
        </is>
      </c>
      <c r="C1045" s="34">
        <f>IF(AND($A1044&lt;&gt;"",'算罪台'!$B$4&lt;&gt;"",ISNUMBER(SEARCH($A1044,'算罪台'!$B$4))),1,0)</f>
        <v/>
      </c>
      <c r="D1045" s="34">
        <f>IF(AND($A1044&lt;&gt;"",'算罪台'!$B$5&lt;&gt;"",ISNUMBER(SEARCH($A1044,'算罪台'!$B$5))),1,0)</f>
        <v/>
      </c>
      <c r="E1045" s="34">
        <f>IF(AND($A1044&lt;&gt;"",'算罪台'!$B$6&lt;&gt;"",ISNUMBER(SEARCH($A1044,'算罪台'!$B$6))),1,0)</f>
        <v/>
      </c>
    </row>
    <row r="1046">
      <c r="A1046" s="34" t="inlineStr">
        <is>
          <t>携带枪支</t>
        </is>
      </c>
      <c r="B1046" s="34" t="inlineStr">
        <is>
          <t>非法持有热武器罪</t>
        </is>
      </c>
      <c r="C1046" s="34">
        <f>IF(AND($A1045&lt;&gt;"",'算罪台'!$B$4&lt;&gt;"",ISNUMBER(SEARCH($A1045,'算罪台'!$B$4))),1,0)</f>
        <v/>
      </c>
      <c r="D1046" s="34">
        <f>IF(AND($A1045&lt;&gt;"",'算罪台'!$B$5&lt;&gt;"",ISNUMBER(SEARCH($A1045,'算罪台'!$B$5))),1,0)</f>
        <v/>
      </c>
      <c r="E1046" s="34">
        <f>IF(AND($A1045&lt;&gt;"",'算罪台'!$B$6&lt;&gt;"",ISNUMBER(SEARCH($A1045,'算罪台'!$B$6))),1,0)</f>
        <v/>
      </c>
    </row>
    <row r="1047">
      <c r="A1047" s="34" t="inlineStr">
        <is>
          <t>藏枪</t>
        </is>
      </c>
      <c r="B1047" s="34" t="inlineStr">
        <is>
          <t>非法持有热武器罪</t>
        </is>
      </c>
      <c r="C1047" s="34">
        <f>IF(AND($A1046&lt;&gt;"",'算罪台'!$B$4&lt;&gt;"",ISNUMBER(SEARCH($A1046,'算罪台'!$B$4))),1,0)</f>
        <v/>
      </c>
      <c r="D1047" s="34">
        <f>IF(AND($A1046&lt;&gt;"",'算罪台'!$B$5&lt;&gt;"",ISNUMBER(SEARCH($A1046,'算罪台'!$B$5))),1,0)</f>
        <v/>
      </c>
      <c r="E1047" s="34">
        <f>IF(AND($A1046&lt;&gt;"",'算罪台'!$B$6&lt;&gt;"",ISNUMBER(SEARCH($A1046,'算罪台'!$B$6))),1,0)</f>
        <v/>
      </c>
    </row>
    <row r="1048">
      <c r="A1048" s="34" t="inlineStr">
        <is>
          <t>身上带枪</t>
        </is>
      </c>
      <c r="B1048" s="34" t="inlineStr">
        <is>
          <t>非法持有热武器罪</t>
        </is>
      </c>
      <c r="C1048" s="34">
        <f>IF(AND($A1047&lt;&gt;"",'算罪台'!$B$4&lt;&gt;"",ISNUMBER(SEARCH($A1047,'算罪台'!$B$4))),1,0)</f>
        <v/>
      </c>
      <c r="D1048" s="34">
        <f>IF(AND($A1047&lt;&gt;"",'算罪台'!$B$5&lt;&gt;"",ISNUMBER(SEARCH($A1047,'算罪台'!$B$5))),1,0)</f>
        <v/>
      </c>
      <c r="E1048" s="34">
        <f>IF(AND($A1047&lt;&gt;"",'算罪台'!$B$6&lt;&gt;"",ISNUMBER(SEARCH($A1047,'算罪台'!$B$6))),1,0)</f>
        <v/>
      </c>
    </row>
    <row r="1049">
      <c r="A1049" s="34" t="inlineStr">
        <is>
          <t>私藏枪</t>
        </is>
      </c>
      <c r="B1049" s="34" t="inlineStr">
        <is>
          <t>非法持有热武器罪</t>
        </is>
      </c>
      <c r="C1049" s="34">
        <f>IF(AND($A1048&lt;&gt;"",'算罪台'!$B$4&lt;&gt;"",ISNUMBER(SEARCH($A1048,'算罪台'!$B$4))),1,0)</f>
        <v/>
      </c>
      <c r="D1049" s="34">
        <f>IF(AND($A1048&lt;&gt;"",'算罪台'!$B$5&lt;&gt;"",ISNUMBER(SEARCH($A1048,'算罪台'!$B$5))),1,0)</f>
        <v/>
      </c>
      <c r="E1049" s="34">
        <f>IF(AND($A1048&lt;&gt;"",'算罪台'!$B$6&lt;&gt;"",ISNUMBER(SEARCH($A1048,'算罪台'!$B$6))),1,0)</f>
        <v/>
      </c>
    </row>
    <row r="1050">
      <c r="A1050" s="34" t="inlineStr">
        <is>
          <t>无证带枪</t>
        </is>
      </c>
      <c r="B1050" s="34" t="inlineStr">
        <is>
          <t>非法持有热武器罪</t>
        </is>
      </c>
      <c r="C1050" s="34">
        <f>IF(AND($A1049&lt;&gt;"",'算罪台'!$B$4&lt;&gt;"",ISNUMBER(SEARCH($A1049,'算罪台'!$B$4))),1,0)</f>
        <v/>
      </c>
      <c r="D1050" s="34">
        <f>IF(AND($A1049&lt;&gt;"",'算罪台'!$B$5&lt;&gt;"",ISNUMBER(SEARCH($A1049,'算罪台'!$B$5))),1,0)</f>
        <v/>
      </c>
      <c r="E1050" s="34">
        <f>IF(AND($A1049&lt;&gt;"",'算罪台'!$B$6&lt;&gt;"",ISNUMBER(SEARCH($A1049,'算罪台'!$B$6))),1,0)</f>
        <v/>
      </c>
    </row>
    <row r="1051">
      <c r="A1051" s="34" t="inlineStr">
        <is>
          <t>揣着枪</t>
        </is>
      </c>
      <c r="B1051" s="34" t="inlineStr">
        <is>
          <t>非法持有热武器罪</t>
        </is>
      </c>
      <c r="C1051" s="34">
        <f>IF(AND($A1050&lt;&gt;"",'算罪台'!$B$4&lt;&gt;"",ISNUMBER(SEARCH($A1050,'算罪台'!$B$4))),1,0)</f>
        <v/>
      </c>
      <c r="D1051" s="34">
        <f>IF(AND($A1050&lt;&gt;"",'算罪台'!$B$5&lt;&gt;"",ISNUMBER(SEARCH($A1050,'算罪台'!$B$5))),1,0)</f>
        <v/>
      </c>
      <c r="E1051" s="34">
        <f>IF(AND($A1050&lt;&gt;"",'算罪台'!$B$6&lt;&gt;"",ISNUMBER(SEARCH($A1050,'算罪台'!$B$6))),1,0)</f>
        <v/>
      </c>
    </row>
    <row r="1052">
      <c r="A1052" s="34" t="inlineStr">
        <is>
          <t>黑枪</t>
        </is>
      </c>
      <c r="B1052" s="34" t="inlineStr">
        <is>
          <t>非法持有热武器罪</t>
        </is>
      </c>
      <c r="C1052" s="34">
        <f>IF(AND($A1051&lt;&gt;"",'算罪台'!$B$4&lt;&gt;"",ISNUMBER(SEARCH($A1051,'算罪台'!$B$4))),1,0)</f>
        <v/>
      </c>
      <c r="D1052" s="34">
        <f>IF(AND($A1051&lt;&gt;"",'算罪台'!$B$5&lt;&gt;"",ISNUMBER(SEARCH($A1051,'算罪台'!$B$5))),1,0)</f>
        <v/>
      </c>
      <c r="E1052" s="34">
        <f>IF(AND($A1051&lt;&gt;"",'算罪台'!$B$6&lt;&gt;"",ISNUMBER(SEARCH($A1051,'算罪台'!$B$6))),1,0)</f>
        <v/>
      </c>
    </row>
    <row r="1053">
      <c r="A1053" s="34" t="inlineStr">
        <is>
          <t>持有黑枪</t>
        </is>
      </c>
      <c r="B1053" s="34" t="inlineStr">
        <is>
          <t>非法持有热武器罪</t>
        </is>
      </c>
      <c r="C1053" s="34">
        <f>IF(AND($A1052&lt;&gt;"",'算罪台'!$B$4&lt;&gt;"",ISNUMBER(SEARCH($A1052,'算罪台'!$B$4))),1,0)</f>
        <v/>
      </c>
      <c r="D1053" s="34">
        <f>IF(AND($A1052&lt;&gt;"",'算罪台'!$B$5&lt;&gt;"",ISNUMBER(SEARCH($A1052,'算罪台'!$B$5))),1,0)</f>
        <v/>
      </c>
      <c r="E1053" s="34">
        <f>IF(AND($A1052&lt;&gt;"",'算罪台'!$B$6&lt;&gt;"",ISNUMBER(SEARCH($A1052,'算罪台'!$B$6))),1,0)</f>
        <v/>
      </c>
    </row>
    <row r="1054">
      <c r="A1054" s="34" t="inlineStr">
        <is>
          <t>藏着枪</t>
        </is>
      </c>
      <c r="B1054" s="34" t="inlineStr">
        <is>
          <t>非法持有热武器罪</t>
        </is>
      </c>
      <c r="C1054" s="34">
        <f>IF(AND($A1053&lt;&gt;"",'算罪台'!$B$4&lt;&gt;"",ISNUMBER(SEARCH($A1053,'算罪台'!$B$4))),1,0)</f>
        <v/>
      </c>
      <c r="D1054" s="34">
        <f>IF(AND($A1053&lt;&gt;"",'算罪台'!$B$5&lt;&gt;"",ISNUMBER(SEARCH($A1053,'算罪台'!$B$5))),1,0)</f>
        <v/>
      </c>
      <c r="E1054" s="34">
        <f>IF(AND($A1053&lt;&gt;"",'算罪台'!$B$6&lt;&gt;"",ISNUMBER(SEARCH($A1053,'算罪台'!$B$6))),1,0)</f>
        <v/>
      </c>
    </row>
    <row r="1055">
      <c r="A1055" s="34" t="inlineStr">
        <is>
          <t>非法藏枪</t>
        </is>
      </c>
      <c r="B1055" s="34" t="inlineStr">
        <is>
          <t>非法持有热武器罪</t>
        </is>
      </c>
      <c r="C1055" s="34">
        <f>IF(AND($A1054&lt;&gt;"",'算罪台'!$B$4&lt;&gt;"",ISNUMBER(SEARCH($A1054,'算罪台'!$B$4))),1,0)</f>
        <v/>
      </c>
      <c r="D1055" s="34">
        <f>IF(AND($A1054&lt;&gt;"",'算罪台'!$B$5&lt;&gt;"",ISNUMBER(SEARCH($A1054,'算罪台'!$B$5))),1,0)</f>
        <v/>
      </c>
      <c r="E1055" s="34">
        <f>IF(AND($A1054&lt;&gt;"",'算罪台'!$B$6&lt;&gt;"",ISNUMBER(SEARCH($A1054,'算罪台'!$B$6))),1,0)</f>
        <v/>
      </c>
    </row>
    <row r="1056">
      <c r="A1056" s="34" t="inlineStr">
        <is>
          <t>私自持枪</t>
        </is>
      </c>
      <c r="B1056" s="34" t="inlineStr">
        <is>
          <t>非法持有热武器罪</t>
        </is>
      </c>
      <c r="C1056" s="34">
        <f>IF(AND($A1055&lt;&gt;"",'算罪台'!$B$4&lt;&gt;"",ISNUMBER(SEARCH($A1055,'算罪台'!$B$4))),1,0)</f>
        <v/>
      </c>
      <c r="D1056" s="34">
        <f>IF(AND($A1055&lt;&gt;"",'算罪台'!$B$5&lt;&gt;"",ISNUMBER(SEARCH($A1055,'算罪台'!$B$5))),1,0)</f>
        <v/>
      </c>
      <c r="E1056" s="34">
        <f>IF(AND($A1055&lt;&gt;"",'算罪台'!$B$6&lt;&gt;"",ISNUMBER(SEARCH($A1055,'算罪台'!$B$6))),1,0)</f>
        <v/>
      </c>
    </row>
    <row r="1057">
      <c r="A1057" s="34" t="inlineStr">
        <is>
          <t>无证持有枪支</t>
        </is>
      </c>
      <c r="B1057" s="34" t="inlineStr">
        <is>
          <t>非法持有热武器罪</t>
        </is>
      </c>
      <c r="C1057" s="34">
        <f>IF(AND($A1056&lt;&gt;"",'算罪台'!$B$4&lt;&gt;"",ISNUMBER(SEARCH($A1056,'算罪台'!$B$4))),1,0)</f>
        <v/>
      </c>
      <c r="D1057" s="34">
        <f>IF(AND($A1056&lt;&gt;"",'算罪台'!$B$5&lt;&gt;"",ISNUMBER(SEARCH($A1056,'算罪台'!$B$5))),1,0)</f>
        <v/>
      </c>
      <c r="E1057" s="34">
        <f>IF(AND($A1056&lt;&gt;"",'算罪台'!$B$6&lt;&gt;"",ISNUMBER(SEARCH($A1056,'算罪台'!$B$6))),1,0)</f>
        <v/>
      </c>
    </row>
    <row r="1058">
      <c r="A1058" s="34" t="inlineStr">
        <is>
          <t>藏匿枪支</t>
        </is>
      </c>
      <c r="B1058" s="34" t="inlineStr">
        <is>
          <t>非法持有热武器罪</t>
        </is>
      </c>
      <c r="C1058" s="34">
        <f>IF(AND($A1057&lt;&gt;"",'算罪台'!$B$4&lt;&gt;"",ISNUMBER(SEARCH($A1057,'算罪台'!$B$4))),1,0)</f>
        <v/>
      </c>
      <c r="D1058" s="34">
        <f>IF(AND($A1057&lt;&gt;"",'算罪台'!$B$5&lt;&gt;"",ISNUMBER(SEARCH($A1057,'算罪台'!$B$5))),1,0)</f>
        <v/>
      </c>
      <c r="E1058" s="34">
        <f>IF(AND($A1057&lt;&gt;"",'算罪台'!$B$6&lt;&gt;"",ISNUMBER(SEARCH($A1057,'算罪台'!$B$6))),1,0)</f>
        <v/>
      </c>
    </row>
    <row r="1059">
      <c r="A1059" s="34" t="inlineStr">
        <is>
          <t>持有非法枪支</t>
        </is>
      </c>
      <c r="B1059" s="34" t="inlineStr">
        <is>
          <t>非法持有热武器罪</t>
        </is>
      </c>
      <c r="C1059" s="34">
        <f>IF(AND($A1058&lt;&gt;"",'算罪台'!$B$4&lt;&gt;"",ISNUMBER(SEARCH($A1058,'算罪台'!$B$4))),1,0)</f>
        <v/>
      </c>
      <c r="D1059" s="34">
        <f>IF(AND($A1058&lt;&gt;"",'算罪台'!$B$5&lt;&gt;"",ISNUMBER(SEARCH($A1058,'算罪台'!$B$5))),1,0)</f>
        <v/>
      </c>
      <c r="E1059" s="34">
        <f>IF(AND($A1058&lt;&gt;"",'算罪台'!$B$6&lt;&gt;"",ISNUMBER(SEARCH($A1058,'算罪台'!$B$6))),1,0)</f>
        <v/>
      </c>
    </row>
    <row r="1060">
      <c r="A1060" s="34" t="inlineStr">
        <is>
          <t>身藏枪械</t>
        </is>
      </c>
      <c r="B1060" s="34" t="inlineStr">
        <is>
          <t>非法持有热武器罪</t>
        </is>
      </c>
      <c r="C1060" s="34">
        <f>IF(AND($A1059&lt;&gt;"",'算罪台'!$B$4&lt;&gt;"",ISNUMBER(SEARCH($A1059,'算罪台'!$B$4))),1,0)</f>
        <v/>
      </c>
      <c r="D1060" s="34">
        <f>IF(AND($A1059&lt;&gt;"",'算罪台'!$B$5&lt;&gt;"",ISNUMBER(SEARCH($A1059,'算罪台'!$B$5))),1,0)</f>
        <v/>
      </c>
      <c r="E1060" s="34">
        <f>IF(AND($A1059&lt;&gt;"",'算罪台'!$B$6&lt;&gt;"",ISNUMBER(SEARCH($A1059,'算罪台'!$B$6))),1,0)</f>
        <v/>
      </c>
    </row>
    <row r="1061">
      <c r="A1061" s="34" t="inlineStr">
        <is>
          <t>非法持有枪支</t>
        </is>
      </c>
      <c r="B1061" s="34" t="inlineStr">
        <is>
          <t>非法持有热武器罪</t>
        </is>
      </c>
      <c r="C1061" s="34">
        <f>IF(AND($A1060&lt;&gt;"",'算罪台'!$B$4&lt;&gt;"",ISNUMBER(SEARCH($A1060,'算罪台'!$B$4))),1,0)</f>
        <v/>
      </c>
      <c r="D1061" s="34">
        <f>IF(AND($A1060&lt;&gt;"",'算罪台'!$B$5&lt;&gt;"",ISNUMBER(SEARCH($A1060,'算罪台'!$B$5))),1,0)</f>
        <v/>
      </c>
      <c r="E1061" s="34">
        <f>IF(AND($A1060&lt;&gt;"",'算罪台'!$B$6&lt;&gt;"",ISNUMBER(SEARCH($A1060,'算罪台'!$B$6))),1,0)</f>
        <v/>
      </c>
    </row>
    <row r="1062">
      <c r="A1062" s="34" t="inlineStr">
        <is>
          <t>非法展示热武器</t>
        </is>
      </c>
      <c r="B1062" s="34" t="inlineStr">
        <is>
          <t>非法展示热武器罪</t>
        </is>
      </c>
      <c r="C1062" s="34">
        <f>IF(AND($A1061&lt;&gt;"",'算罪台'!$B$4&lt;&gt;"",ISNUMBER(SEARCH($A1061,'算罪台'!$B$4))),1,0)</f>
        <v/>
      </c>
      <c r="D1062" s="34">
        <f>IF(AND($A1061&lt;&gt;"",'算罪台'!$B$5&lt;&gt;"",ISNUMBER(SEARCH($A1061,'算罪台'!$B$5))),1,0)</f>
        <v/>
      </c>
      <c r="E1062" s="34">
        <f>IF(AND($A1061&lt;&gt;"",'算罪台'!$B$6&lt;&gt;"",ISNUMBER(SEARCH($A1061,'算罪台'!$B$6))),1,0)</f>
        <v/>
      </c>
    </row>
    <row r="1063">
      <c r="A1063" s="34" t="inlineStr">
        <is>
          <t>公开持枪</t>
        </is>
      </c>
      <c r="B1063" s="34" t="inlineStr">
        <is>
          <t>非法展示热武器罪</t>
        </is>
      </c>
      <c r="C1063" s="34">
        <f>IF(AND($A1062&lt;&gt;"",'算罪台'!$B$4&lt;&gt;"",ISNUMBER(SEARCH($A1062,'算罪台'!$B$4))),1,0)</f>
        <v/>
      </c>
      <c r="D1063" s="34">
        <f>IF(AND($A1062&lt;&gt;"",'算罪台'!$B$5&lt;&gt;"",ISNUMBER(SEARCH($A1062,'算罪台'!$B$5))),1,0)</f>
        <v/>
      </c>
      <c r="E1063" s="34">
        <f>IF(AND($A1062&lt;&gt;"",'算罪台'!$B$6&lt;&gt;"",ISNUMBER(SEARCH($A1062,'算罪台'!$B$6))),1,0)</f>
        <v/>
      </c>
    </row>
    <row r="1064">
      <c r="A1064" s="34" t="inlineStr">
        <is>
          <t>挥舞武器</t>
        </is>
      </c>
      <c r="B1064" s="34" t="inlineStr">
        <is>
          <t>非法展示热武器罪</t>
        </is>
      </c>
      <c r="C1064" s="34">
        <f>IF(AND($A1063&lt;&gt;"",'算罪台'!$B$4&lt;&gt;"",ISNUMBER(SEARCH($A1063,'算罪台'!$B$4))),1,0)</f>
        <v/>
      </c>
      <c r="D1064" s="34">
        <f>IF(AND($A1063&lt;&gt;"",'算罪台'!$B$5&lt;&gt;"",ISNUMBER(SEARCH($A1063,'算罪台'!$B$5))),1,0)</f>
        <v/>
      </c>
      <c r="E1064" s="34">
        <f>IF(AND($A1063&lt;&gt;"",'算罪台'!$B$6&lt;&gt;"",ISNUMBER(SEARCH($A1063,'算罪台'!$B$6))),1,0)</f>
        <v/>
      </c>
    </row>
    <row r="1065">
      <c r="A1065" s="34" t="inlineStr">
        <is>
          <t>亮枪</t>
        </is>
      </c>
      <c r="B1065" s="34" t="inlineStr">
        <is>
          <t>非法展示热武器罪</t>
        </is>
      </c>
      <c r="C1065" s="34">
        <f>IF(AND($A1064&lt;&gt;"",'算罪台'!$B$4&lt;&gt;"",ISNUMBER(SEARCH($A1064,'算罪台'!$B$4))),1,0)</f>
        <v/>
      </c>
      <c r="D1065" s="34">
        <f>IF(AND($A1064&lt;&gt;"",'算罪台'!$B$5&lt;&gt;"",ISNUMBER(SEARCH($A1064,'算罪台'!$B$5))),1,0)</f>
        <v/>
      </c>
      <c r="E1065" s="34">
        <f>IF(AND($A1064&lt;&gt;"",'算罪台'!$B$6&lt;&gt;"",ISNUMBER(SEARCH($A1064,'算罪台'!$B$6))),1,0)</f>
        <v/>
      </c>
    </row>
    <row r="1066">
      <c r="A1066" s="34" t="inlineStr">
        <is>
          <t>展示武器</t>
        </is>
      </c>
      <c r="B1066" s="34" t="inlineStr">
        <is>
          <t>非法展示热武器罪</t>
        </is>
      </c>
      <c r="C1066" s="34">
        <f>IF(AND($A1065&lt;&gt;"",'算罪台'!$B$4&lt;&gt;"",ISNUMBER(SEARCH($A1065,'算罪台'!$B$4))),1,0)</f>
        <v/>
      </c>
      <c r="D1066" s="34">
        <f>IF(AND($A1065&lt;&gt;"",'算罪台'!$B$5&lt;&gt;"",ISNUMBER(SEARCH($A1065,'算罪台'!$B$5))),1,0)</f>
        <v/>
      </c>
      <c r="E1066" s="34">
        <f>IF(AND($A1065&lt;&gt;"",'算罪台'!$B$6&lt;&gt;"",ISNUMBER(SEARCH($A1065,'算罪台'!$B$6))),1,0)</f>
        <v/>
      </c>
    </row>
    <row r="1067">
      <c r="A1067" s="34" t="inlineStr">
        <is>
          <t>公开携带枪支</t>
        </is>
      </c>
      <c r="B1067" s="34" t="inlineStr">
        <is>
          <t>非法展示热武器罪</t>
        </is>
      </c>
      <c r="C1067" s="34">
        <f>IF(AND($A1066&lt;&gt;"",'算罪台'!$B$4&lt;&gt;"",ISNUMBER(SEARCH($A1066,'算罪台'!$B$4))),1,0)</f>
        <v/>
      </c>
      <c r="D1067" s="34">
        <f>IF(AND($A1066&lt;&gt;"",'算罪台'!$B$5&lt;&gt;"",ISNUMBER(SEARCH($A1066,'算罪台'!$B$5))),1,0)</f>
        <v/>
      </c>
      <c r="E1067" s="34">
        <f>IF(AND($A1066&lt;&gt;"",'算罪台'!$B$6&lt;&gt;"",ISNUMBER(SEARCH($A1066,'算罪台'!$B$6))),1,0)</f>
        <v/>
      </c>
    </row>
    <row r="1068">
      <c r="A1068" s="34" t="inlineStr">
        <is>
          <t>掏枪威胁</t>
        </is>
      </c>
      <c r="B1068" s="34" t="inlineStr">
        <is>
          <t>非法展示热武器罪</t>
        </is>
      </c>
      <c r="C1068" s="34">
        <f>IF(AND($A1067&lt;&gt;"",'算罪台'!$B$4&lt;&gt;"",ISNUMBER(SEARCH($A1067,'算罪台'!$B$4))),1,0)</f>
        <v/>
      </c>
      <c r="D1068" s="34">
        <f>IF(AND($A1067&lt;&gt;"",'算罪台'!$B$5&lt;&gt;"",ISNUMBER(SEARCH($A1067,'算罪台'!$B$5))),1,0)</f>
        <v/>
      </c>
      <c r="E1068" s="34">
        <f>IF(AND($A1067&lt;&gt;"",'算罪台'!$B$6&lt;&gt;"",ISNUMBER(SEARCH($A1067,'算罪台'!$B$6))),1,0)</f>
        <v/>
      </c>
    </row>
    <row r="1069">
      <c r="A1069" s="34" t="inlineStr">
        <is>
          <t>拔枪</t>
        </is>
      </c>
      <c r="B1069" s="34" t="inlineStr">
        <is>
          <t>非法展示热武器罪</t>
        </is>
      </c>
      <c r="C1069" s="34">
        <f>IF(AND($A1068&lt;&gt;"",'算罪台'!$B$4&lt;&gt;"",ISNUMBER(SEARCH($A1068,'算罪台'!$B$4))),1,0)</f>
        <v/>
      </c>
      <c r="D1069" s="34">
        <f>IF(AND($A1068&lt;&gt;"",'算罪台'!$B$5&lt;&gt;"",ISNUMBER(SEARCH($A1068,'算罪台'!$B$5))),1,0)</f>
        <v/>
      </c>
      <c r="E1069" s="34">
        <f>IF(AND($A1068&lt;&gt;"",'算罪台'!$B$6&lt;&gt;"",ISNUMBER(SEARCH($A1068,'算罪台'!$B$6))),1,0)</f>
        <v/>
      </c>
    </row>
    <row r="1070">
      <c r="A1070" s="34" t="inlineStr">
        <is>
          <t>亮出枪</t>
        </is>
      </c>
      <c r="B1070" s="34" t="inlineStr">
        <is>
          <t>非法展示热武器罪</t>
        </is>
      </c>
      <c r="C1070" s="34">
        <f>IF(AND($A1069&lt;&gt;"",'算罪台'!$B$4&lt;&gt;"",ISNUMBER(SEARCH($A1069,'算罪台'!$B$4))),1,0)</f>
        <v/>
      </c>
      <c r="D1070" s="34">
        <f>IF(AND($A1069&lt;&gt;"",'算罪台'!$B$5&lt;&gt;"",ISNUMBER(SEARCH($A1069,'算罪台'!$B$5))),1,0)</f>
        <v/>
      </c>
      <c r="E1070" s="34">
        <f>IF(AND($A1069&lt;&gt;"",'算罪台'!$B$6&lt;&gt;"",ISNUMBER(SEARCH($A1069,'算罪台'!$B$6))),1,0)</f>
        <v/>
      </c>
    </row>
    <row r="1071">
      <c r="A1071" s="34" t="inlineStr">
        <is>
          <t>举枪</t>
        </is>
      </c>
      <c r="B1071" s="34" t="inlineStr">
        <is>
          <t>非法展示热武器罪</t>
        </is>
      </c>
      <c r="C1071" s="34">
        <f>IF(AND($A1070&lt;&gt;"",'算罪台'!$B$4&lt;&gt;"",ISNUMBER(SEARCH($A1070,'算罪台'!$B$4))),1,0)</f>
        <v/>
      </c>
      <c r="D1071" s="34">
        <f>IF(AND($A1070&lt;&gt;"",'算罪台'!$B$5&lt;&gt;"",ISNUMBER(SEARCH($A1070,'算罪台'!$B$5))),1,0)</f>
        <v/>
      </c>
      <c r="E1071" s="34">
        <f>IF(AND($A1070&lt;&gt;"",'算罪台'!$B$6&lt;&gt;"",ISNUMBER(SEARCH($A1070,'算罪台'!$B$6))),1,0)</f>
        <v/>
      </c>
    </row>
    <row r="1072">
      <c r="A1072" s="34" t="inlineStr">
        <is>
          <t>当街亮枪</t>
        </is>
      </c>
      <c r="B1072" s="34" t="inlineStr">
        <is>
          <t>非法展示热武器罪</t>
        </is>
      </c>
      <c r="C1072" s="34">
        <f>IF(AND($A1071&lt;&gt;"",'算罪台'!$B$4&lt;&gt;"",ISNUMBER(SEARCH($A1071,'算罪台'!$B$4))),1,0)</f>
        <v/>
      </c>
      <c r="D1072" s="34">
        <f>IF(AND($A1071&lt;&gt;"",'算罪台'!$B$5&lt;&gt;"",ISNUMBER(SEARCH($A1071,'算罪台'!$B$5))),1,0)</f>
        <v/>
      </c>
      <c r="E1072" s="34">
        <f>IF(AND($A1071&lt;&gt;"",'算罪台'!$B$6&lt;&gt;"",ISNUMBER(SEARCH($A1071,'算罪台'!$B$6))),1,0)</f>
        <v/>
      </c>
    </row>
    <row r="1073">
      <c r="A1073" s="34" t="inlineStr">
        <is>
          <t>掏枪</t>
        </is>
      </c>
      <c r="B1073" s="34" t="inlineStr">
        <is>
          <t>非法展示热武器罪</t>
        </is>
      </c>
      <c r="C1073" s="34">
        <f>IF(AND($A1072&lt;&gt;"",'算罪台'!$B$4&lt;&gt;"",ISNUMBER(SEARCH($A1072,'算罪台'!$B$4))),1,0)</f>
        <v/>
      </c>
      <c r="D1073" s="34">
        <f>IF(AND($A1072&lt;&gt;"",'算罪台'!$B$5&lt;&gt;"",ISNUMBER(SEARCH($A1072,'算罪台'!$B$5))),1,0)</f>
        <v/>
      </c>
      <c r="E1073" s="34">
        <f>IF(AND($A1072&lt;&gt;"",'算罪台'!$B$6&lt;&gt;"",ISNUMBER(SEARCH($A1072,'算罪台'!$B$6))),1,0)</f>
        <v/>
      </c>
    </row>
    <row r="1074">
      <c r="A1074" s="34" t="inlineStr">
        <is>
          <t>举枪示威</t>
        </is>
      </c>
      <c r="B1074" s="34" t="inlineStr">
        <is>
          <t>非法展示热武器罪</t>
        </is>
      </c>
      <c r="C1074" s="34">
        <f>IF(AND($A1073&lt;&gt;"",'算罪台'!$B$4&lt;&gt;"",ISNUMBER(SEARCH($A1073,'算罪台'!$B$4))),1,0)</f>
        <v/>
      </c>
      <c r="D1074" s="34">
        <f>IF(AND($A1073&lt;&gt;"",'算罪台'!$B$5&lt;&gt;"",ISNUMBER(SEARCH($A1073,'算罪台'!$B$5))),1,0)</f>
        <v/>
      </c>
      <c r="E1074" s="34">
        <f>IF(AND($A1073&lt;&gt;"",'算罪台'!$B$6&lt;&gt;"",ISNUMBER(SEARCH($A1073,'算罪台'!$B$6))),1,0)</f>
        <v/>
      </c>
    </row>
    <row r="1075">
      <c r="A1075" s="34" t="inlineStr">
        <is>
          <t>拿枪比划</t>
        </is>
      </c>
      <c r="B1075" s="34" t="inlineStr">
        <is>
          <t>非法展示热武器罪</t>
        </is>
      </c>
      <c r="C1075" s="34">
        <f>IF(AND($A1074&lt;&gt;"",'算罪台'!$B$4&lt;&gt;"",ISNUMBER(SEARCH($A1074,'算罪台'!$B$4))),1,0)</f>
        <v/>
      </c>
      <c r="D1075" s="34">
        <f>IF(AND($A1074&lt;&gt;"",'算罪台'!$B$5&lt;&gt;"",ISNUMBER(SEARCH($A1074,'算罪台'!$B$5))),1,0)</f>
        <v/>
      </c>
      <c r="E1075" s="34">
        <f>IF(AND($A1074&lt;&gt;"",'算罪台'!$B$6&lt;&gt;"",ISNUMBER(SEARCH($A1074,'算罪台'!$B$6))),1,0)</f>
        <v/>
      </c>
    </row>
    <row r="1076">
      <c r="A1076" s="34" t="inlineStr">
        <is>
          <t>秀枪</t>
        </is>
      </c>
      <c r="B1076" s="34" t="inlineStr">
        <is>
          <t>非法展示热武器罪</t>
        </is>
      </c>
      <c r="C1076" s="34">
        <f>IF(AND($A1075&lt;&gt;"",'算罪台'!$B$4&lt;&gt;"",ISNUMBER(SEARCH($A1075,'算罪台'!$B$4))),1,0)</f>
        <v/>
      </c>
      <c r="D1076" s="34">
        <f>IF(AND($A1075&lt;&gt;"",'算罪台'!$B$5&lt;&gt;"",ISNUMBER(SEARCH($A1075,'算罪台'!$B$5))),1,0)</f>
        <v/>
      </c>
      <c r="E1076" s="34">
        <f>IF(AND($A1075&lt;&gt;"",'算罪台'!$B$6&lt;&gt;"",ISNUMBER(SEARCH($A1075,'算罪台'!$B$6))),1,0)</f>
        <v/>
      </c>
    </row>
    <row r="1077">
      <c r="A1077" s="34" t="inlineStr">
        <is>
          <t>公然亮枪</t>
        </is>
      </c>
      <c r="B1077" s="34" t="inlineStr">
        <is>
          <t>非法展示热武器罪</t>
        </is>
      </c>
      <c r="C1077" s="34">
        <f>IF(AND($A1076&lt;&gt;"",'算罪台'!$B$4&lt;&gt;"",ISNUMBER(SEARCH($A1076,'算罪台'!$B$4))),1,0)</f>
        <v/>
      </c>
      <c r="D1077" s="34">
        <f>IF(AND($A1076&lt;&gt;"",'算罪台'!$B$5&lt;&gt;"",ISNUMBER(SEARCH($A1076,'算罪台'!$B$5))),1,0)</f>
        <v/>
      </c>
      <c r="E1077" s="34">
        <f>IF(AND($A1076&lt;&gt;"",'算罪台'!$B$6&lt;&gt;"",ISNUMBER(SEARCH($A1076,'算罪台'!$B$6))),1,0)</f>
        <v/>
      </c>
    </row>
    <row r="1078">
      <c r="A1078" s="34" t="inlineStr">
        <is>
          <t>公开亮枪</t>
        </is>
      </c>
      <c r="B1078" s="34" t="inlineStr">
        <is>
          <t>非法展示热武器罪</t>
        </is>
      </c>
      <c r="C1078" s="34">
        <f>IF(AND($A1077&lt;&gt;"",'算罪台'!$B$4&lt;&gt;"",ISNUMBER(SEARCH($A1077,'算罪台'!$B$4))),1,0)</f>
        <v/>
      </c>
      <c r="D1078" s="34">
        <f>IF(AND($A1077&lt;&gt;"",'算罪台'!$B$5&lt;&gt;"",ISNUMBER(SEARCH($A1077,'算罪台'!$B$5))),1,0)</f>
        <v/>
      </c>
      <c r="E1078" s="34">
        <f>IF(AND($A1077&lt;&gt;"",'算罪台'!$B$6&lt;&gt;"",ISNUMBER(SEARCH($A1077,'算罪台'!$B$6))),1,0)</f>
        <v/>
      </c>
    </row>
    <row r="1079">
      <c r="A1079" s="34" t="inlineStr">
        <is>
          <t>持枪威吓</t>
        </is>
      </c>
      <c r="B1079" s="34" t="inlineStr">
        <is>
          <t>非法展示热武器罪</t>
        </is>
      </c>
      <c r="C1079" s="34">
        <f>IF(AND($A1078&lt;&gt;"",'算罪台'!$B$4&lt;&gt;"",ISNUMBER(SEARCH($A1078,'算罪台'!$B$4))),1,0)</f>
        <v/>
      </c>
      <c r="D1079" s="34">
        <f>IF(AND($A1078&lt;&gt;"",'算罪台'!$B$5&lt;&gt;"",ISNUMBER(SEARCH($A1078,'算罪台'!$B$5))),1,0)</f>
        <v/>
      </c>
      <c r="E1079" s="34">
        <f>IF(AND($A1078&lt;&gt;"",'算罪台'!$B$6&lt;&gt;"",ISNUMBER(SEARCH($A1078,'算罪台'!$B$6))),1,0)</f>
        <v/>
      </c>
    </row>
    <row r="1080">
      <c r="A1080" s="34" t="inlineStr">
        <is>
          <t>挥舞枪支</t>
        </is>
      </c>
      <c r="B1080" s="34" t="inlineStr">
        <is>
          <t>非法展示热武器罪</t>
        </is>
      </c>
      <c r="C1080" s="34">
        <f>IF(AND($A1079&lt;&gt;"",'算罪台'!$B$4&lt;&gt;"",ISNUMBER(SEARCH($A1079,'算罪台'!$B$4))),1,0)</f>
        <v/>
      </c>
      <c r="D1080" s="34">
        <f>IF(AND($A1079&lt;&gt;"",'算罪台'!$B$5&lt;&gt;"",ISNUMBER(SEARCH($A1079,'算罪台'!$B$5))),1,0)</f>
        <v/>
      </c>
      <c r="E1080" s="34">
        <f>IF(AND($A1079&lt;&gt;"",'算罪台'!$B$6&lt;&gt;"",ISNUMBER(SEARCH($A1079,'算罪台'!$B$6))),1,0)</f>
        <v/>
      </c>
    </row>
    <row r="1081">
      <c r="A1081" s="34" t="inlineStr">
        <is>
          <t>亮出武器</t>
        </is>
      </c>
      <c r="B1081" s="34" t="inlineStr">
        <is>
          <t>非法展示热武器罪</t>
        </is>
      </c>
      <c r="C1081" s="34">
        <f>IF(AND($A1080&lt;&gt;"",'算罪台'!$B$4&lt;&gt;"",ISNUMBER(SEARCH($A1080,'算罪台'!$B$4))),1,0)</f>
        <v/>
      </c>
      <c r="D1081" s="34">
        <f>IF(AND($A1080&lt;&gt;"",'算罪台'!$B$5&lt;&gt;"",ISNUMBER(SEARCH($A1080,'算罪台'!$B$5))),1,0)</f>
        <v/>
      </c>
      <c r="E1081" s="34">
        <f>IF(AND($A1080&lt;&gt;"",'算罪台'!$B$6&lt;&gt;"",ISNUMBER(SEARCH($A1080,'算罪台'!$B$6))),1,0)</f>
        <v/>
      </c>
    </row>
    <row r="1082">
      <c r="A1082" s="34" t="inlineStr">
        <is>
          <t>公然持枪</t>
        </is>
      </c>
      <c r="B1082" s="34" t="inlineStr">
        <is>
          <t>非法展示热武器罪</t>
        </is>
      </c>
      <c r="C1082" s="34">
        <f>IF(AND($A1081&lt;&gt;"",'算罪台'!$B$4&lt;&gt;"",ISNUMBER(SEARCH($A1081,'算罪台'!$B$4))),1,0)</f>
        <v/>
      </c>
      <c r="D1082" s="34">
        <f>IF(AND($A1081&lt;&gt;"",'算罪台'!$B$5&lt;&gt;"",ISNUMBER(SEARCH($A1081,'算罪台'!$B$5))),1,0)</f>
        <v/>
      </c>
      <c r="E1082" s="34">
        <f>IF(AND($A1081&lt;&gt;"",'算罪台'!$B$6&lt;&gt;"",ISNUMBER(SEARCH($A1081,'算罪台'!$B$6))),1,0)</f>
        <v/>
      </c>
    </row>
    <row r="1083">
      <c r="A1083" s="34" t="inlineStr">
        <is>
          <t>持枪示威</t>
        </is>
      </c>
      <c r="B1083" s="34" t="inlineStr">
        <is>
          <t>非法展示热武器罪</t>
        </is>
      </c>
      <c r="C1083" s="34">
        <f>IF(AND($A1082&lt;&gt;"",'算罪台'!$B$4&lt;&gt;"",ISNUMBER(SEARCH($A1082,'算罪台'!$B$4))),1,0)</f>
        <v/>
      </c>
      <c r="D1083" s="34">
        <f>IF(AND($A1082&lt;&gt;"",'算罪台'!$B$5&lt;&gt;"",ISNUMBER(SEARCH($A1082,'算罪台'!$B$5))),1,0)</f>
        <v/>
      </c>
      <c r="E1083" s="34">
        <f>IF(AND($A1082&lt;&gt;"",'算罪台'!$B$6&lt;&gt;"",ISNUMBER(SEARCH($A1082,'算罪台'!$B$6))),1,0)</f>
        <v/>
      </c>
    </row>
    <row r="1084">
      <c r="A1084" s="34" t="inlineStr">
        <is>
          <t>非法使用热武器</t>
        </is>
      </c>
      <c r="B1084" s="34" t="inlineStr">
        <is>
          <t>非法使用热武器罪</t>
        </is>
      </c>
      <c r="C1084" s="34">
        <f>IF(AND($A1083&lt;&gt;"",'算罪台'!$B$4&lt;&gt;"",ISNUMBER(SEARCH($A1083,'算罪台'!$B$4))),1,0)</f>
        <v/>
      </c>
      <c r="D1084" s="34">
        <f>IF(AND($A1083&lt;&gt;"",'算罪台'!$B$5&lt;&gt;"",ISNUMBER(SEARCH($A1083,'算罪台'!$B$5))),1,0)</f>
        <v/>
      </c>
      <c r="E1084" s="34">
        <f>IF(AND($A1083&lt;&gt;"",'算罪台'!$B$6&lt;&gt;"",ISNUMBER(SEARCH($A1083,'算罪台'!$B$6))),1,0)</f>
        <v/>
      </c>
    </row>
    <row r="1085">
      <c r="A1085" s="34" t="inlineStr">
        <is>
          <t>鲁莽开枪</t>
        </is>
      </c>
      <c r="B1085" s="34" t="inlineStr">
        <is>
          <t>非法使用热武器罪</t>
        </is>
      </c>
      <c r="C1085" s="34">
        <f>IF(AND($A1084&lt;&gt;"",'算罪台'!$B$4&lt;&gt;"",ISNUMBER(SEARCH($A1084,'算罪台'!$B$4))),1,0)</f>
        <v/>
      </c>
      <c r="D1085" s="34">
        <f>IF(AND($A1084&lt;&gt;"",'算罪台'!$B$5&lt;&gt;"",ISNUMBER(SEARCH($A1084,'算罪台'!$B$5))),1,0)</f>
        <v/>
      </c>
      <c r="E1085" s="34">
        <f>IF(AND($A1084&lt;&gt;"",'算罪台'!$B$6&lt;&gt;"",ISNUMBER(SEARCH($A1084,'算罪台'!$B$6))),1,0)</f>
        <v/>
      </c>
    </row>
    <row r="1086">
      <c r="A1086" s="34" t="inlineStr">
        <is>
          <t>乱开枪</t>
        </is>
      </c>
      <c r="B1086" s="34" t="inlineStr">
        <is>
          <t>非法使用热武器罪</t>
        </is>
      </c>
      <c r="C1086" s="34">
        <f>IF(AND($A1085&lt;&gt;"",'算罪台'!$B$4&lt;&gt;"",ISNUMBER(SEARCH($A1085,'算罪台'!$B$4))),1,0)</f>
        <v/>
      </c>
      <c r="D1086" s="34">
        <f>IF(AND($A1085&lt;&gt;"",'算罪台'!$B$5&lt;&gt;"",ISNUMBER(SEARCH($A1085,'算罪台'!$B$5))),1,0)</f>
        <v/>
      </c>
      <c r="E1086" s="34">
        <f>IF(AND($A1085&lt;&gt;"",'算罪台'!$B$6&lt;&gt;"",ISNUMBER(SEARCH($A1085,'算罪台'!$B$6))),1,0)</f>
        <v/>
      </c>
    </row>
    <row r="1087">
      <c r="A1087" s="34" t="inlineStr">
        <is>
          <t>违规射击</t>
        </is>
      </c>
      <c r="B1087" s="34" t="inlineStr">
        <is>
          <t>非法使用热武器罪</t>
        </is>
      </c>
      <c r="C1087" s="34">
        <f>IF(AND($A1086&lt;&gt;"",'算罪台'!$B$4&lt;&gt;"",ISNUMBER(SEARCH($A1086,'算罪台'!$B$4))),1,0)</f>
        <v/>
      </c>
      <c r="D1087" s="34">
        <f>IF(AND($A1086&lt;&gt;"",'算罪台'!$B$5&lt;&gt;"",ISNUMBER(SEARCH($A1086,'算罪台'!$B$5))),1,0)</f>
        <v/>
      </c>
      <c r="E1087" s="34">
        <f>IF(AND($A1086&lt;&gt;"",'算罪台'!$B$6&lt;&gt;"",ISNUMBER(SEARCH($A1086,'算罪台'!$B$6))),1,0)</f>
        <v/>
      </c>
    </row>
    <row r="1088">
      <c r="A1088" s="34" t="inlineStr">
        <is>
          <t>开枪</t>
        </is>
      </c>
      <c r="B1088" s="34" t="inlineStr">
        <is>
          <t>非法使用热武器罪</t>
        </is>
      </c>
      <c r="C1088" s="34">
        <f>IF(AND($A1087&lt;&gt;"",'算罪台'!$B$4&lt;&gt;"",ISNUMBER(SEARCH($A1087,'算罪台'!$B$4))),1,0)</f>
        <v/>
      </c>
      <c r="D1088" s="34">
        <f>IF(AND($A1087&lt;&gt;"",'算罪台'!$B$5&lt;&gt;"",ISNUMBER(SEARCH($A1087,'算罪台'!$B$5))),1,0)</f>
        <v/>
      </c>
      <c r="E1088" s="34">
        <f>IF(AND($A1087&lt;&gt;"",'算罪台'!$B$6&lt;&gt;"",ISNUMBER(SEARCH($A1087,'算罪台'!$B$6))),1,0)</f>
        <v/>
      </c>
    </row>
    <row r="1089">
      <c r="A1089" s="34" t="inlineStr">
        <is>
          <t>朝天开枪</t>
        </is>
      </c>
      <c r="B1089" s="34" t="inlineStr">
        <is>
          <t>非法使用热武器罪</t>
        </is>
      </c>
      <c r="C1089" s="34">
        <f>IF(AND($A1088&lt;&gt;"",'算罪台'!$B$4&lt;&gt;"",ISNUMBER(SEARCH($A1088,'算罪台'!$B$4))),1,0)</f>
        <v/>
      </c>
      <c r="D1089" s="34">
        <f>IF(AND($A1088&lt;&gt;"",'算罪台'!$B$5&lt;&gt;"",ISNUMBER(SEARCH($A1088,'算罪台'!$B$5))),1,0)</f>
        <v/>
      </c>
      <c r="E1089" s="34">
        <f>IF(AND($A1088&lt;&gt;"",'算罪台'!$B$6&lt;&gt;"",ISNUMBER(SEARCH($A1088,'算罪台'!$B$6))),1,0)</f>
        <v/>
      </c>
    </row>
    <row r="1090">
      <c r="A1090" s="34" t="inlineStr">
        <is>
          <t>随意射击</t>
        </is>
      </c>
      <c r="B1090" s="34" t="inlineStr">
        <is>
          <t>非法使用热武器罪</t>
        </is>
      </c>
      <c r="C1090" s="34">
        <f>IF(AND($A1089&lt;&gt;"",'算罪台'!$B$4&lt;&gt;"",ISNUMBER(SEARCH($A1089,'算罪台'!$B$4))),1,0)</f>
        <v/>
      </c>
      <c r="D1090" s="34">
        <f>IF(AND($A1089&lt;&gt;"",'算罪台'!$B$5&lt;&gt;"",ISNUMBER(SEARCH($A1089,'算罪台'!$B$5))),1,0)</f>
        <v/>
      </c>
      <c r="E1090" s="34">
        <f>IF(AND($A1089&lt;&gt;"",'算罪台'!$B$6&lt;&gt;"",ISNUMBER(SEARCH($A1089,'算罪台'!$B$6))),1,0)</f>
        <v/>
      </c>
    </row>
    <row r="1091">
      <c r="A1091" s="34" t="inlineStr">
        <is>
          <t>开了一枪</t>
        </is>
      </c>
      <c r="B1091" s="34" t="inlineStr">
        <is>
          <t>非法使用热武器罪</t>
        </is>
      </c>
      <c r="C1091" s="34">
        <f>IF(AND($A1090&lt;&gt;"",'算罪台'!$B$4&lt;&gt;"",ISNUMBER(SEARCH($A1090,'算罪台'!$B$4))),1,0)</f>
        <v/>
      </c>
      <c r="D1091" s="34">
        <f>IF(AND($A1090&lt;&gt;"",'算罪台'!$B$5&lt;&gt;"",ISNUMBER(SEARCH($A1090,'算罪台'!$B$5))),1,0)</f>
        <v/>
      </c>
      <c r="E1091" s="34">
        <f>IF(AND($A1090&lt;&gt;"",'算罪台'!$B$6&lt;&gt;"",ISNUMBER(SEARCH($A1090,'算罪台'!$B$6))),1,0)</f>
        <v/>
      </c>
    </row>
    <row r="1092">
      <c r="A1092" s="34" t="inlineStr">
        <is>
          <t>射击</t>
        </is>
      </c>
      <c r="B1092" s="34" t="inlineStr">
        <is>
          <t>非法使用热武器罪</t>
        </is>
      </c>
      <c r="C1092" s="34">
        <f>IF(AND($A1091&lt;&gt;"",'算罪台'!$B$4&lt;&gt;"",ISNUMBER(SEARCH($A1091,'算罪台'!$B$4))),1,0)</f>
        <v/>
      </c>
      <c r="D1092" s="34">
        <f>IF(AND($A1091&lt;&gt;"",'算罪台'!$B$5&lt;&gt;"",ISNUMBER(SEARCH($A1091,'算罪台'!$B$5))),1,0)</f>
        <v/>
      </c>
      <c r="E1092" s="34">
        <f>IF(AND($A1091&lt;&gt;"",'算罪台'!$B$6&lt;&gt;"",ISNUMBER(SEARCH($A1091,'算罪台'!$B$6))),1,0)</f>
        <v/>
      </c>
    </row>
    <row r="1093">
      <c r="A1093" s="34" t="inlineStr">
        <is>
          <t>扫射</t>
        </is>
      </c>
      <c r="B1093" s="34" t="inlineStr">
        <is>
          <t>非法使用热武器罪</t>
        </is>
      </c>
      <c r="C1093" s="34">
        <f>IF(AND($A1092&lt;&gt;"",'算罪台'!$B$4&lt;&gt;"",ISNUMBER(SEARCH($A1092,'算罪台'!$B$4))),1,0)</f>
        <v/>
      </c>
      <c r="D1093" s="34">
        <f>IF(AND($A1092&lt;&gt;"",'算罪台'!$B$5&lt;&gt;"",ISNUMBER(SEARCH($A1092,'算罪台'!$B$5))),1,0)</f>
        <v/>
      </c>
      <c r="E1093" s="34">
        <f>IF(AND($A1092&lt;&gt;"",'算罪台'!$B$6&lt;&gt;"",ISNUMBER(SEARCH($A1092,'算罪台'!$B$6))),1,0)</f>
        <v/>
      </c>
    </row>
    <row r="1094">
      <c r="A1094" s="34" t="inlineStr">
        <is>
          <t>鸣枪</t>
        </is>
      </c>
      <c r="B1094" s="34" t="inlineStr">
        <is>
          <t>非法使用热武器罪</t>
        </is>
      </c>
      <c r="C1094" s="34">
        <f>IF(AND($A1093&lt;&gt;"",'算罪台'!$B$4&lt;&gt;"",ISNUMBER(SEARCH($A1093,'算罪台'!$B$4))),1,0)</f>
        <v/>
      </c>
      <c r="D1094" s="34">
        <f>IF(AND($A1093&lt;&gt;"",'算罪台'!$B$5&lt;&gt;"",ISNUMBER(SEARCH($A1093,'算罪台'!$B$5))),1,0)</f>
        <v/>
      </c>
      <c r="E1094" s="34">
        <f>IF(AND($A1093&lt;&gt;"",'算罪台'!$B$6&lt;&gt;"",ISNUMBER(SEARCH($A1093,'算罪台'!$B$6))),1,0)</f>
        <v/>
      </c>
    </row>
    <row r="1095">
      <c r="A1095" s="34" t="inlineStr">
        <is>
          <t>对空鸣枪</t>
        </is>
      </c>
      <c r="B1095" s="34" t="inlineStr">
        <is>
          <t>非法使用热武器罪</t>
        </is>
      </c>
      <c r="C1095" s="34">
        <f>IF(AND($A1094&lt;&gt;"",'算罪台'!$B$4&lt;&gt;"",ISNUMBER(SEARCH($A1094,'算罪台'!$B$4))),1,0)</f>
        <v/>
      </c>
      <c r="D1095" s="34">
        <f>IF(AND($A1094&lt;&gt;"",'算罪台'!$B$5&lt;&gt;"",ISNUMBER(SEARCH($A1094,'算罪台'!$B$5))),1,0)</f>
        <v/>
      </c>
      <c r="E1095" s="34">
        <f>IF(AND($A1094&lt;&gt;"",'算罪台'!$B$6&lt;&gt;"",ISNUMBER(SEARCH($A1094,'算罪台'!$B$6))),1,0)</f>
        <v/>
      </c>
    </row>
    <row r="1096">
      <c r="A1096" s="34" t="inlineStr">
        <is>
          <t>开了枪</t>
        </is>
      </c>
      <c r="B1096" s="34" t="inlineStr">
        <is>
          <t>非法使用热武器罪</t>
        </is>
      </c>
      <c r="C1096" s="34">
        <f>IF(AND($A1095&lt;&gt;"",'算罪台'!$B$4&lt;&gt;"",ISNUMBER(SEARCH($A1095,'算罪台'!$B$4))),1,0)</f>
        <v/>
      </c>
      <c r="D1096" s="34">
        <f>IF(AND($A1095&lt;&gt;"",'算罪台'!$B$5&lt;&gt;"",ISNUMBER(SEARCH($A1095,'算罪台'!$B$5))),1,0)</f>
        <v/>
      </c>
      <c r="E1096" s="34">
        <f>IF(AND($A1095&lt;&gt;"",'算罪台'!$B$6&lt;&gt;"",ISNUMBER(SEARCH($A1095,'算罪台'!$B$6))),1,0)</f>
        <v/>
      </c>
    </row>
    <row r="1097">
      <c r="A1097" s="34" t="inlineStr">
        <is>
          <t>放枪</t>
        </is>
      </c>
      <c r="B1097" s="34" t="inlineStr">
        <is>
          <t>非法使用热武器罪</t>
        </is>
      </c>
      <c r="C1097" s="34">
        <f>IF(AND($A1096&lt;&gt;"",'算罪台'!$B$4&lt;&gt;"",ISNUMBER(SEARCH($A1096,'算罪台'!$B$4))),1,0)</f>
        <v/>
      </c>
      <c r="D1097" s="34">
        <f>IF(AND($A1096&lt;&gt;"",'算罪台'!$B$5&lt;&gt;"",ISNUMBER(SEARCH($A1096,'算罪台'!$B$5))),1,0)</f>
        <v/>
      </c>
      <c r="E1097" s="34">
        <f>IF(AND($A1096&lt;&gt;"",'算罪台'!$B$6&lt;&gt;"",ISNUMBER(SEARCH($A1096,'算罪台'!$B$6))),1,0)</f>
        <v/>
      </c>
    </row>
    <row r="1098">
      <c r="A1098" s="34" t="inlineStr">
        <is>
          <t>乱放枪</t>
        </is>
      </c>
      <c r="B1098" s="34" t="inlineStr">
        <is>
          <t>非法使用热武器罪</t>
        </is>
      </c>
      <c r="C1098" s="34">
        <f>IF(AND($A1097&lt;&gt;"",'算罪台'!$B$4&lt;&gt;"",ISNUMBER(SEARCH($A1097,'算罪台'!$B$4))),1,0)</f>
        <v/>
      </c>
      <c r="D1098" s="34">
        <f>IF(AND($A1097&lt;&gt;"",'算罪台'!$B$5&lt;&gt;"",ISNUMBER(SEARCH($A1097,'算罪台'!$B$5))),1,0)</f>
        <v/>
      </c>
      <c r="E1098" s="34">
        <f>IF(AND($A1097&lt;&gt;"",'算罪台'!$B$6&lt;&gt;"",ISNUMBER(SEARCH($A1097,'算罪台'!$B$6))),1,0)</f>
        <v/>
      </c>
    </row>
    <row r="1099">
      <c r="A1099" s="34" t="inlineStr">
        <is>
          <t>街头开枪</t>
        </is>
      </c>
      <c r="B1099" s="34" t="inlineStr">
        <is>
          <t>非法使用热武器罪</t>
        </is>
      </c>
      <c r="C1099" s="34">
        <f>IF(AND($A1098&lt;&gt;"",'算罪台'!$B$4&lt;&gt;"",ISNUMBER(SEARCH($A1098,'算罪台'!$B$4))),1,0)</f>
        <v/>
      </c>
      <c r="D1099" s="34">
        <f>IF(AND($A1098&lt;&gt;"",'算罪台'!$B$5&lt;&gt;"",ISNUMBER(SEARCH($A1098,'算罪台'!$B$5))),1,0)</f>
        <v/>
      </c>
      <c r="E1099" s="34">
        <f>IF(AND($A1098&lt;&gt;"",'算罪台'!$B$6&lt;&gt;"",ISNUMBER(SEARCH($A1098,'算罪台'!$B$6))),1,0)</f>
        <v/>
      </c>
    </row>
    <row r="1100">
      <c r="A1100" s="34" t="inlineStr">
        <is>
          <t>对天开枪</t>
        </is>
      </c>
      <c r="B1100" s="34" t="inlineStr">
        <is>
          <t>非法使用热武器罪</t>
        </is>
      </c>
      <c r="C1100" s="34">
        <f>IF(AND($A1099&lt;&gt;"",'算罪台'!$B$4&lt;&gt;"",ISNUMBER(SEARCH($A1099,'算罪台'!$B$4))),1,0)</f>
        <v/>
      </c>
      <c r="D1100" s="34">
        <f>IF(AND($A1099&lt;&gt;"",'算罪台'!$B$5&lt;&gt;"",ISNUMBER(SEARCH($A1099,'算罪台'!$B$5))),1,0)</f>
        <v/>
      </c>
      <c r="E1100" s="34">
        <f>IF(AND($A1099&lt;&gt;"",'算罪台'!$B$6&lt;&gt;"",ISNUMBER(SEARCH($A1099,'算罪台'!$B$6))),1,0)</f>
        <v/>
      </c>
    </row>
    <row r="1101">
      <c r="A1101" s="34" t="inlineStr">
        <is>
          <t>扣扳机</t>
        </is>
      </c>
      <c r="B1101" s="34" t="inlineStr">
        <is>
          <t>非法使用热武器罪</t>
        </is>
      </c>
      <c r="C1101" s="34">
        <f>IF(AND($A1100&lt;&gt;"",'算罪台'!$B$4&lt;&gt;"",ISNUMBER(SEARCH($A1100,'算罪台'!$B$4))),1,0)</f>
        <v/>
      </c>
      <c r="D1101" s="34">
        <f>IF(AND($A1100&lt;&gt;"",'算罪台'!$B$5&lt;&gt;"",ISNUMBER(SEARCH($A1100,'算罪台'!$B$5))),1,0)</f>
        <v/>
      </c>
      <c r="E1101" s="34">
        <f>IF(AND($A1100&lt;&gt;"",'算罪台'!$B$6&lt;&gt;"",ISNUMBER(SEARCH($A1100,'算罪台'!$B$6))),1,0)</f>
        <v/>
      </c>
    </row>
    <row r="1102">
      <c r="A1102" s="34" t="inlineStr">
        <is>
          <t>突突</t>
        </is>
      </c>
      <c r="B1102" s="34" t="inlineStr">
        <is>
          <t>非法使用热武器罪</t>
        </is>
      </c>
      <c r="C1102" s="34">
        <f>IF(AND($A1101&lt;&gt;"",'算罪台'!$B$4&lt;&gt;"",ISNUMBER(SEARCH($A1101,'算罪台'!$B$4))),1,0)</f>
        <v/>
      </c>
      <c r="D1102" s="34">
        <f>IF(AND($A1101&lt;&gt;"",'算罪台'!$B$5&lt;&gt;"",ISNUMBER(SEARCH($A1101,'算罪台'!$B$5))),1,0)</f>
        <v/>
      </c>
      <c r="E1102" s="34">
        <f>IF(AND($A1101&lt;&gt;"",'算罪台'!$B$6&lt;&gt;"",ISNUMBER(SEARCH($A1101,'算罪台'!$B$6))),1,0)</f>
        <v/>
      </c>
    </row>
    <row r="1103">
      <c r="A1103" s="34" t="inlineStr">
        <is>
          <t>胡乱开枪</t>
        </is>
      </c>
      <c r="B1103" s="34" t="inlineStr">
        <is>
          <t>非法使用热武器罪</t>
        </is>
      </c>
      <c r="C1103" s="34">
        <f>IF(AND($A1102&lt;&gt;"",'算罪台'!$B$4&lt;&gt;"",ISNUMBER(SEARCH($A1102,'算罪台'!$B$4))),1,0)</f>
        <v/>
      </c>
      <c r="D1103" s="34">
        <f>IF(AND($A1102&lt;&gt;"",'算罪台'!$B$5&lt;&gt;"",ISNUMBER(SEARCH($A1102,'算罪台'!$B$5))),1,0)</f>
        <v/>
      </c>
      <c r="E1103" s="34">
        <f>IF(AND($A1102&lt;&gt;"",'算罪台'!$B$6&lt;&gt;"",ISNUMBER(SEARCH($A1102,'算罪台'!$B$6))),1,0)</f>
        <v/>
      </c>
    </row>
    <row r="1104">
      <c r="A1104" s="34" t="inlineStr">
        <is>
          <t>鸣枪示威</t>
        </is>
      </c>
      <c r="B1104" s="34" t="inlineStr">
        <is>
          <t>非法使用热武器罪</t>
        </is>
      </c>
      <c r="C1104" s="34">
        <f>IF(AND($A1103&lt;&gt;"",'算罪台'!$B$4&lt;&gt;"",ISNUMBER(SEARCH($A1103,'算罪台'!$B$4))),1,0)</f>
        <v/>
      </c>
      <c r="D1104" s="34">
        <f>IF(AND($A1103&lt;&gt;"",'算罪台'!$B$5&lt;&gt;"",ISNUMBER(SEARCH($A1103,'算罪台'!$B$5))),1,0)</f>
        <v/>
      </c>
      <c r="E1104" s="34">
        <f>IF(AND($A1103&lt;&gt;"",'算罪台'!$B$6&lt;&gt;"",ISNUMBER(SEARCH($A1103,'算罪台'!$B$6))),1,0)</f>
        <v/>
      </c>
    </row>
    <row r="1105">
      <c r="A1105" s="34" t="inlineStr">
        <is>
          <t>持枪射击</t>
        </is>
      </c>
      <c r="B1105" s="34" t="inlineStr">
        <is>
          <t>非法使用热武器罪</t>
        </is>
      </c>
      <c r="C1105" s="34">
        <f>IF(AND($A1104&lt;&gt;"",'算罪台'!$B$4&lt;&gt;"",ISNUMBER(SEARCH($A1104,'算罪台'!$B$4))),1,0)</f>
        <v/>
      </c>
      <c r="D1105" s="34">
        <f>IF(AND($A1104&lt;&gt;"",'算罪台'!$B$5&lt;&gt;"",ISNUMBER(SEARCH($A1104,'算罪台'!$B$5))),1,0)</f>
        <v/>
      </c>
      <c r="E1105" s="34">
        <f>IF(AND($A1104&lt;&gt;"",'算罪台'!$B$6&lt;&gt;"",ISNUMBER(SEARCH($A1104,'算罪台'!$B$6))),1,0)</f>
        <v/>
      </c>
    </row>
    <row r="1106">
      <c r="A1106" s="34" t="inlineStr">
        <is>
          <t>开枪射击</t>
        </is>
      </c>
      <c r="B1106" s="34" t="inlineStr">
        <is>
          <t>非法使用热武器罪</t>
        </is>
      </c>
      <c r="C1106" s="34">
        <f>IF(AND($A1105&lt;&gt;"",'算罪台'!$B$4&lt;&gt;"",ISNUMBER(SEARCH($A1105,'算罪台'!$B$4))),1,0)</f>
        <v/>
      </c>
      <c r="D1106" s="34">
        <f>IF(AND($A1105&lt;&gt;"",'算罪台'!$B$5&lt;&gt;"",ISNUMBER(SEARCH($A1105,'算罪台'!$B$5))),1,0)</f>
        <v/>
      </c>
      <c r="E1106" s="34">
        <f>IF(AND($A1105&lt;&gt;"",'算罪台'!$B$6&lt;&gt;"",ISNUMBER(SEARCH($A1105,'算罪台'!$B$6))),1,0)</f>
        <v/>
      </c>
    </row>
    <row r="1107">
      <c r="A1107" s="34" t="inlineStr">
        <is>
          <t>非法开枪</t>
        </is>
      </c>
      <c r="B1107" s="34" t="inlineStr">
        <is>
          <t>非法使用热武器罪</t>
        </is>
      </c>
      <c r="C1107" s="34">
        <f>IF(AND($A1106&lt;&gt;"",'算罪台'!$B$4&lt;&gt;"",ISNUMBER(SEARCH($A1106,'算罪台'!$B$4))),1,0)</f>
        <v/>
      </c>
      <c r="D1107" s="34">
        <f>IF(AND($A1106&lt;&gt;"",'算罪台'!$B$5&lt;&gt;"",ISNUMBER(SEARCH($A1106,'算罪台'!$B$5))),1,0)</f>
        <v/>
      </c>
      <c r="E1107" s="34">
        <f>IF(AND($A1106&lt;&gt;"",'算罪台'!$B$6&lt;&gt;"",ISNUMBER(SEARCH($A1106,'算罪台'!$B$6))),1,0)</f>
        <v/>
      </c>
    </row>
    <row r="1108">
      <c r="A1108" s="34" t="inlineStr">
        <is>
          <t>违法开枪</t>
        </is>
      </c>
      <c r="B1108" s="34" t="inlineStr">
        <is>
          <t>非法使用热武器罪</t>
        </is>
      </c>
      <c r="C1108" s="34">
        <f>IF(AND($A1107&lt;&gt;"",'算罪台'!$B$4&lt;&gt;"",ISNUMBER(SEARCH($A1107,'算罪台'!$B$4))),1,0)</f>
        <v/>
      </c>
      <c r="D1108" s="34">
        <f>IF(AND($A1107&lt;&gt;"",'算罪台'!$B$5&lt;&gt;"",ISNUMBER(SEARCH($A1107,'算罪台'!$B$5))),1,0)</f>
        <v/>
      </c>
      <c r="E1108" s="34">
        <f>IF(AND($A1107&lt;&gt;"",'算罪台'!$B$6&lt;&gt;"",ISNUMBER(SEARCH($A1107,'算罪台'!$B$6))),1,0)</f>
        <v/>
      </c>
    </row>
    <row r="1109">
      <c r="A1109" s="34" t="inlineStr">
        <is>
          <t>公共场所开枪</t>
        </is>
      </c>
      <c r="B1109" s="34" t="inlineStr">
        <is>
          <t>非法使用热武器罪</t>
        </is>
      </c>
      <c r="C1109" s="34">
        <f>IF(AND($A1108&lt;&gt;"",'算罪台'!$B$4&lt;&gt;"",ISNUMBER(SEARCH($A1108,'算罪台'!$B$4))),1,0)</f>
        <v/>
      </c>
      <c r="D1109" s="34">
        <f>IF(AND($A1108&lt;&gt;"",'算罪台'!$B$5&lt;&gt;"",ISNUMBER(SEARCH($A1108,'算罪台'!$B$5))),1,0)</f>
        <v/>
      </c>
      <c r="E1109" s="34">
        <f>IF(AND($A1108&lt;&gt;"",'算罪台'!$B$6&lt;&gt;"",ISNUMBER(SEARCH($A1108,'算罪台'!$B$6))),1,0)</f>
        <v/>
      </c>
    </row>
    <row r="1110">
      <c r="A1110" s="34" t="inlineStr">
        <is>
          <t>鲁莽射击</t>
        </is>
      </c>
      <c r="B1110" s="34" t="inlineStr">
        <is>
          <t>非法使用热武器罪</t>
        </is>
      </c>
      <c r="C1110" s="34">
        <f>IF(AND($A1109&lt;&gt;"",'算罪台'!$B$4&lt;&gt;"",ISNUMBER(SEARCH($A1109,'算罪台'!$B$4))),1,0)</f>
        <v/>
      </c>
      <c r="D1110" s="34">
        <f>IF(AND($A1109&lt;&gt;"",'算罪台'!$B$5&lt;&gt;"",ISNUMBER(SEARCH($A1109,'算罪台'!$B$5))),1,0)</f>
        <v/>
      </c>
      <c r="E1110" s="34">
        <f>IF(AND($A1109&lt;&gt;"",'算罪台'!$B$6&lt;&gt;"",ISNUMBER(SEARCH($A1109,'算罪台'!$B$6))),1,0)</f>
        <v/>
      </c>
    </row>
    <row r="1111">
      <c r="A1111" s="34" t="inlineStr">
        <is>
          <t>持枪乱射</t>
        </is>
      </c>
      <c r="B1111" s="34" t="inlineStr">
        <is>
          <t>非法使用热武器罪</t>
        </is>
      </c>
      <c r="C1111" s="34">
        <f>IF(AND($A1110&lt;&gt;"",'算罪台'!$B$4&lt;&gt;"",ISNUMBER(SEARCH($A1110,'算罪台'!$B$4))),1,0)</f>
        <v/>
      </c>
      <c r="D1111" s="34">
        <f>IF(AND($A1110&lt;&gt;"",'算罪台'!$B$5&lt;&gt;"",ISNUMBER(SEARCH($A1110,'算罪台'!$B$5))),1,0)</f>
        <v/>
      </c>
      <c r="E1111" s="34">
        <f>IF(AND($A1110&lt;&gt;"",'算罪台'!$B$6&lt;&gt;"",ISNUMBER(SEARCH($A1110,'算罪台'!$B$6))),1,0)</f>
        <v/>
      </c>
    </row>
    <row r="1112">
      <c r="A1112" s="34" t="inlineStr">
        <is>
          <t>非法贩卖武器</t>
        </is>
      </c>
      <c r="B1112" s="34" t="inlineStr">
        <is>
          <t>非法贩卖武器罪</t>
        </is>
      </c>
      <c r="C1112" s="34">
        <f>IF(AND($A1111&lt;&gt;"",'算罪台'!$B$4&lt;&gt;"",ISNUMBER(SEARCH($A1111,'算罪台'!$B$4))),1,0)</f>
        <v/>
      </c>
      <c r="D1112" s="34">
        <f>IF(AND($A1111&lt;&gt;"",'算罪台'!$B$5&lt;&gt;"",ISNUMBER(SEARCH($A1111,'算罪台'!$B$5))),1,0)</f>
        <v/>
      </c>
      <c r="E1112" s="34">
        <f>IF(AND($A1111&lt;&gt;"",'算罪台'!$B$6&lt;&gt;"",ISNUMBER(SEARCH($A1111,'算罪台'!$B$6))),1,0)</f>
        <v/>
      </c>
    </row>
    <row r="1113">
      <c r="A1113" s="34" t="inlineStr">
        <is>
          <t>卖枪</t>
        </is>
      </c>
      <c r="B1113" s="34" t="inlineStr">
        <is>
          <t>非法贩卖武器罪</t>
        </is>
      </c>
      <c r="C1113" s="34">
        <f>IF(AND($A1112&lt;&gt;"",'算罪台'!$B$4&lt;&gt;"",ISNUMBER(SEARCH($A1112,'算罪台'!$B$4))),1,0)</f>
        <v/>
      </c>
      <c r="D1113" s="34">
        <f>IF(AND($A1112&lt;&gt;"",'算罪台'!$B$5&lt;&gt;"",ISNUMBER(SEARCH($A1112,'算罪台'!$B$5))),1,0)</f>
        <v/>
      </c>
      <c r="E1113" s="34">
        <f>IF(AND($A1112&lt;&gt;"",'算罪台'!$B$6&lt;&gt;"",ISNUMBER(SEARCH($A1112,'算罪台'!$B$6))),1,0)</f>
        <v/>
      </c>
    </row>
    <row r="1114">
      <c r="A1114" s="34" t="inlineStr">
        <is>
          <t>贩卖武器</t>
        </is>
      </c>
      <c r="B1114" s="34" t="inlineStr">
        <is>
          <t>非法贩卖武器罪</t>
        </is>
      </c>
      <c r="C1114" s="34">
        <f>IF(AND($A1113&lt;&gt;"",'算罪台'!$B$4&lt;&gt;"",ISNUMBER(SEARCH($A1113,'算罪台'!$B$4))),1,0)</f>
        <v/>
      </c>
      <c r="D1114" s="34">
        <f>IF(AND($A1113&lt;&gt;"",'算罪台'!$B$5&lt;&gt;"",ISNUMBER(SEARCH($A1113,'算罪台'!$B$5))),1,0)</f>
        <v/>
      </c>
      <c r="E1114" s="34">
        <f>IF(AND($A1113&lt;&gt;"",'算罪台'!$B$6&lt;&gt;"",ISNUMBER(SEARCH($A1113,'算罪台'!$B$6))),1,0)</f>
        <v/>
      </c>
    </row>
    <row r="1115">
      <c r="A1115" s="34" t="inlineStr">
        <is>
          <t>出售武器</t>
        </is>
      </c>
      <c r="B1115" s="34" t="inlineStr">
        <is>
          <t>非法贩卖武器罪</t>
        </is>
      </c>
      <c r="C1115" s="34">
        <f>IF(AND($A1114&lt;&gt;"",'算罪台'!$B$4&lt;&gt;"",ISNUMBER(SEARCH($A1114,'算罪台'!$B$4))),1,0)</f>
        <v/>
      </c>
      <c r="D1115" s="34">
        <f>IF(AND($A1114&lt;&gt;"",'算罪台'!$B$5&lt;&gt;"",ISNUMBER(SEARCH($A1114,'算罪台'!$B$5))),1,0)</f>
        <v/>
      </c>
      <c r="E1115" s="34">
        <f>IF(AND($A1114&lt;&gt;"",'算罪台'!$B$6&lt;&gt;"",ISNUMBER(SEARCH($A1114,'算罪台'!$B$6))),1,0)</f>
        <v/>
      </c>
    </row>
    <row r="1116">
      <c r="A1116" s="34" t="inlineStr">
        <is>
          <t>转让武器</t>
        </is>
      </c>
      <c r="B1116" s="34" t="inlineStr">
        <is>
          <t>非法贩卖武器罪</t>
        </is>
      </c>
      <c r="C1116" s="34">
        <f>IF(AND($A1115&lt;&gt;"",'算罪台'!$B$4&lt;&gt;"",ISNUMBER(SEARCH($A1115,'算罪台'!$B$4))),1,0)</f>
        <v/>
      </c>
      <c r="D1116" s="34">
        <f>IF(AND($A1115&lt;&gt;"",'算罪台'!$B$5&lt;&gt;"",ISNUMBER(SEARCH($A1115,'算罪台'!$B$5))),1,0)</f>
        <v/>
      </c>
      <c r="E1116" s="34">
        <f>IF(AND($A1115&lt;&gt;"",'算罪台'!$B$6&lt;&gt;"",ISNUMBER(SEARCH($A1115,'算罪台'!$B$6))),1,0)</f>
        <v/>
      </c>
    </row>
    <row r="1117">
      <c r="A1117" s="34" t="inlineStr">
        <is>
          <t>倒卖枪支</t>
        </is>
      </c>
      <c r="B1117" s="34" t="inlineStr">
        <is>
          <t>非法贩卖武器罪</t>
        </is>
      </c>
      <c r="C1117" s="34">
        <f>IF(AND($A1116&lt;&gt;"",'算罪台'!$B$4&lt;&gt;"",ISNUMBER(SEARCH($A1116,'算罪台'!$B$4))),1,0)</f>
        <v/>
      </c>
      <c r="D1117" s="34">
        <f>IF(AND($A1116&lt;&gt;"",'算罪台'!$B$5&lt;&gt;"",ISNUMBER(SEARCH($A1116,'算罪台'!$B$5))),1,0)</f>
        <v/>
      </c>
      <c r="E1117" s="34">
        <f>IF(AND($A1116&lt;&gt;"",'算罪台'!$B$6&lt;&gt;"",ISNUMBER(SEARCH($A1116,'算罪台'!$B$6))),1,0)</f>
        <v/>
      </c>
    </row>
    <row r="1118">
      <c r="A1118" s="34" t="inlineStr">
        <is>
          <t>军火买卖</t>
        </is>
      </c>
      <c r="B1118" s="34" t="inlineStr">
        <is>
          <t>非法贩卖武器罪</t>
        </is>
      </c>
      <c r="C1118" s="34">
        <f>IF(AND($A1117&lt;&gt;"",'算罪台'!$B$4&lt;&gt;"",ISNUMBER(SEARCH($A1117,'算罪台'!$B$4))),1,0)</f>
        <v/>
      </c>
      <c r="D1118" s="34">
        <f>IF(AND($A1117&lt;&gt;"",'算罪台'!$B$5&lt;&gt;"",ISNUMBER(SEARCH($A1117,'算罪台'!$B$5))),1,0)</f>
        <v/>
      </c>
      <c r="E1118" s="34">
        <f>IF(AND($A1117&lt;&gt;"",'算罪台'!$B$6&lt;&gt;"",ISNUMBER(SEARCH($A1117,'算罪台'!$B$6))),1,0)</f>
        <v/>
      </c>
    </row>
    <row r="1119">
      <c r="A1119" s="34" t="inlineStr">
        <is>
          <t>倒卖军火</t>
        </is>
      </c>
      <c r="B1119" s="34" t="inlineStr">
        <is>
          <t>非法贩卖武器罪</t>
        </is>
      </c>
      <c r="C1119" s="34">
        <f>IF(AND($A1118&lt;&gt;"",'算罪台'!$B$4&lt;&gt;"",ISNUMBER(SEARCH($A1118,'算罪台'!$B$4))),1,0)</f>
        <v/>
      </c>
      <c r="D1119" s="34">
        <f>IF(AND($A1118&lt;&gt;"",'算罪台'!$B$5&lt;&gt;"",ISNUMBER(SEARCH($A1118,'算罪台'!$B$5))),1,0)</f>
        <v/>
      </c>
      <c r="E1119" s="34">
        <f>IF(AND($A1118&lt;&gt;"",'算罪台'!$B$6&lt;&gt;"",ISNUMBER(SEARCH($A1118,'算罪台'!$B$6))),1,0)</f>
        <v/>
      </c>
    </row>
    <row r="1120">
      <c r="A1120" s="34" t="inlineStr">
        <is>
          <t>军火生意</t>
        </is>
      </c>
      <c r="B1120" s="34" t="inlineStr">
        <is>
          <t>非法贩卖武器罪</t>
        </is>
      </c>
      <c r="C1120" s="34">
        <f>IF(AND($A1119&lt;&gt;"",'算罪台'!$B$4&lt;&gt;"",ISNUMBER(SEARCH($A1119,'算罪台'!$B$4))),1,0)</f>
        <v/>
      </c>
      <c r="D1120" s="34">
        <f>IF(AND($A1119&lt;&gt;"",'算罪台'!$B$5&lt;&gt;"",ISNUMBER(SEARCH($A1119,'算罪台'!$B$5))),1,0)</f>
        <v/>
      </c>
      <c r="E1120" s="34">
        <f>IF(AND($A1119&lt;&gt;"",'算罪台'!$B$6&lt;&gt;"",ISNUMBER(SEARCH($A1119,'算罪台'!$B$6))),1,0)</f>
        <v/>
      </c>
    </row>
    <row r="1121">
      <c r="A1121" s="34" t="inlineStr">
        <is>
          <t>贩枪</t>
        </is>
      </c>
      <c r="B1121" s="34" t="inlineStr">
        <is>
          <t>非法贩卖武器罪</t>
        </is>
      </c>
      <c r="C1121" s="34">
        <f>IF(AND($A1120&lt;&gt;"",'算罪台'!$B$4&lt;&gt;"",ISNUMBER(SEARCH($A1120,'算罪台'!$B$4))),1,0)</f>
        <v/>
      </c>
      <c r="D1121" s="34">
        <f>IF(AND($A1120&lt;&gt;"",'算罪台'!$B$5&lt;&gt;"",ISNUMBER(SEARCH($A1120,'算罪台'!$B$5))),1,0)</f>
        <v/>
      </c>
      <c r="E1121" s="34">
        <f>IF(AND($A1120&lt;&gt;"",'算罪台'!$B$6&lt;&gt;"",ISNUMBER(SEARCH($A1120,'算罪台'!$B$6))),1,0)</f>
        <v/>
      </c>
    </row>
    <row r="1122">
      <c r="A1122" s="34" t="inlineStr">
        <is>
          <t>卖军火</t>
        </is>
      </c>
      <c r="B1122" s="34" t="inlineStr">
        <is>
          <t>非法贩卖武器罪</t>
        </is>
      </c>
      <c r="C1122" s="34">
        <f>IF(AND($A1121&lt;&gt;"",'算罪台'!$B$4&lt;&gt;"",ISNUMBER(SEARCH($A1121,'算罪台'!$B$4))),1,0)</f>
        <v/>
      </c>
      <c r="D1122" s="34">
        <f>IF(AND($A1121&lt;&gt;"",'算罪台'!$B$5&lt;&gt;"",ISNUMBER(SEARCH($A1121,'算罪台'!$B$5))),1,0)</f>
        <v/>
      </c>
      <c r="E1122" s="34">
        <f>IF(AND($A1121&lt;&gt;"",'算罪台'!$B$6&lt;&gt;"",ISNUMBER(SEARCH($A1121,'算罪台'!$B$6))),1,0)</f>
        <v/>
      </c>
    </row>
    <row r="1123">
      <c r="A1123" s="34" t="inlineStr">
        <is>
          <t>倒卖枪</t>
        </is>
      </c>
      <c r="B1123" s="34" t="inlineStr">
        <is>
          <t>非法贩卖武器罪</t>
        </is>
      </c>
      <c r="C1123" s="34">
        <f>IF(AND($A1122&lt;&gt;"",'算罪台'!$B$4&lt;&gt;"",ISNUMBER(SEARCH($A1122,'算罪台'!$B$4))),1,0)</f>
        <v/>
      </c>
      <c r="D1123" s="34">
        <f>IF(AND($A1122&lt;&gt;"",'算罪台'!$B$5&lt;&gt;"",ISNUMBER(SEARCH($A1122,'算罪台'!$B$5))),1,0)</f>
        <v/>
      </c>
      <c r="E1123" s="34">
        <f>IF(AND($A1122&lt;&gt;"",'算罪台'!$B$6&lt;&gt;"",ISNUMBER(SEARCH($A1122,'算罪台'!$B$6))),1,0)</f>
        <v/>
      </c>
    </row>
    <row r="1124">
      <c r="A1124" s="34" t="inlineStr">
        <is>
          <t>贩卖枪支</t>
        </is>
      </c>
      <c r="B1124" s="34" t="inlineStr">
        <is>
          <t>非法贩卖武器罪</t>
        </is>
      </c>
      <c r="C1124" s="34">
        <f>IF(AND($A1123&lt;&gt;"",'算罪台'!$B$4&lt;&gt;"",ISNUMBER(SEARCH($A1123,'算罪台'!$B$4))),1,0)</f>
        <v/>
      </c>
      <c r="D1124" s="34">
        <f>IF(AND($A1123&lt;&gt;"",'算罪台'!$B$5&lt;&gt;"",ISNUMBER(SEARCH($A1123,'算罪台'!$B$5))),1,0)</f>
        <v/>
      </c>
      <c r="E1124" s="34">
        <f>IF(AND($A1123&lt;&gt;"",'算罪台'!$B$6&lt;&gt;"",ISNUMBER(SEARCH($A1123,'算罪台'!$B$6))),1,0)</f>
        <v/>
      </c>
    </row>
    <row r="1125">
      <c r="A1125" s="34" t="inlineStr">
        <is>
          <t>出售枪械</t>
        </is>
      </c>
      <c r="B1125" s="34" t="inlineStr">
        <is>
          <t>非法贩卖武器罪</t>
        </is>
      </c>
      <c r="C1125" s="34">
        <f>IF(AND($A1124&lt;&gt;"",'算罪台'!$B$4&lt;&gt;"",ISNUMBER(SEARCH($A1124,'算罪台'!$B$4))),1,0)</f>
        <v/>
      </c>
      <c r="D1125" s="34">
        <f>IF(AND($A1124&lt;&gt;"",'算罪台'!$B$5&lt;&gt;"",ISNUMBER(SEARCH($A1124,'算罪台'!$B$5))),1,0)</f>
        <v/>
      </c>
      <c r="E1125" s="34">
        <f>IF(AND($A1124&lt;&gt;"",'算罪台'!$B$6&lt;&gt;"",ISNUMBER(SEARCH($A1124,'算罪台'!$B$6))),1,0)</f>
        <v/>
      </c>
    </row>
    <row r="1126">
      <c r="A1126" s="34" t="inlineStr">
        <is>
          <t>非法卖枪</t>
        </is>
      </c>
      <c r="B1126" s="34" t="inlineStr">
        <is>
          <t>非法贩卖武器罪</t>
        </is>
      </c>
      <c r="C1126" s="34">
        <f>IF(AND($A1125&lt;&gt;"",'算罪台'!$B$4&lt;&gt;"",ISNUMBER(SEARCH($A1125,'算罪台'!$B$4))),1,0)</f>
        <v/>
      </c>
      <c r="D1126" s="34">
        <f>IF(AND($A1125&lt;&gt;"",'算罪台'!$B$5&lt;&gt;"",ISNUMBER(SEARCH($A1125,'算罪台'!$B$5))),1,0)</f>
        <v/>
      </c>
      <c r="E1126" s="34">
        <f>IF(AND($A1125&lt;&gt;"",'算罪台'!$B$6&lt;&gt;"",ISNUMBER(SEARCH($A1125,'算罪台'!$B$6))),1,0)</f>
        <v/>
      </c>
    </row>
    <row r="1127">
      <c r="A1127" s="34" t="inlineStr">
        <is>
          <t>黑市卖枪</t>
        </is>
      </c>
      <c r="B1127" s="34" t="inlineStr">
        <is>
          <t>非法贩卖武器罪</t>
        </is>
      </c>
      <c r="C1127" s="34">
        <f>IF(AND($A1126&lt;&gt;"",'算罪台'!$B$4&lt;&gt;"",ISNUMBER(SEARCH($A1126,'算罪台'!$B$4))),1,0)</f>
        <v/>
      </c>
      <c r="D1127" s="34">
        <f>IF(AND($A1126&lt;&gt;"",'算罪台'!$B$5&lt;&gt;"",ISNUMBER(SEARCH($A1126,'算罪台'!$B$5))),1,0)</f>
        <v/>
      </c>
      <c r="E1127" s="34">
        <f>IF(AND($A1126&lt;&gt;"",'算罪台'!$B$6&lt;&gt;"",ISNUMBER(SEARCH($A1126,'算罪台'!$B$6))),1,0)</f>
        <v/>
      </c>
    </row>
    <row r="1128">
      <c r="A1128" s="34" t="inlineStr">
        <is>
          <t>倒卖枪械</t>
        </is>
      </c>
      <c r="B1128" s="34" t="inlineStr">
        <is>
          <t>非法贩卖武器罪</t>
        </is>
      </c>
      <c r="C1128" s="34">
        <f>IF(AND($A1127&lt;&gt;"",'算罪台'!$B$4&lt;&gt;"",ISNUMBER(SEARCH($A1127,'算罪台'!$B$4))),1,0)</f>
        <v/>
      </c>
      <c r="D1128" s="34">
        <f>IF(AND($A1127&lt;&gt;"",'算罪台'!$B$5&lt;&gt;"",ISNUMBER(SEARCH($A1127,'算罪台'!$B$5))),1,0)</f>
        <v/>
      </c>
      <c r="E1128" s="34">
        <f>IF(AND($A1127&lt;&gt;"",'算罪台'!$B$6&lt;&gt;"",ISNUMBER(SEARCH($A1127,'算罪台'!$B$6))),1,0)</f>
        <v/>
      </c>
    </row>
    <row r="1129">
      <c r="A1129" s="34" t="inlineStr">
        <is>
          <t>走私</t>
        </is>
      </c>
      <c r="B1129" s="34" t="inlineStr">
        <is>
          <t>走私罪</t>
        </is>
      </c>
      <c r="C1129" s="34">
        <f>IF(AND($A1128&lt;&gt;"",'算罪台'!$B$4&lt;&gt;"",ISNUMBER(SEARCH($A1128,'算罪台'!$B$4))),1,0)</f>
        <v/>
      </c>
      <c r="D1129" s="34">
        <f>IF(AND($A1128&lt;&gt;"",'算罪台'!$B$5&lt;&gt;"",ISNUMBER(SEARCH($A1128,'算罪台'!$B$5))),1,0)</f>
        <v/>
      </c>
      <c r="E1129" s="34">
        <f>IF(AND($A1128&lt;&gt;"",'算罪台'!$B$6&lt;&gt;"",ISNUMBER(SEARCH($A1128,'算罪台'!$B$6))),1,0)</f>
        <v/>
      </c>
    </row>
    <row r="1130">
      <c r="A1130" s="34" t="inlineStr">
        <is>
          <t>军火走私</t>
        </is>
      </c>
      <c r="B1130" s="34" t="inlineStr">
        <is>
          <t>走私罪</t>
        </is>
      </c>
      <c r="C1130" s="34">
        <f>IF(AND($A1129&lt;&gt;"",'算罪台'!$B$4&lt;&gt;"",ISNUMBER(SEARCH($A1129,'算罪台'!$B$4))),1,0)</f>
        <v/>
      </c>
      <c r="D1130" s="34">
        <f>IF(AND($A1129&lt;&gt;"",'算罪台'!$B$5&lt;&gt;"",ISNUMBER(SEARCH($A1129,'算罪台'!$B$5))),1,0)</f>
        <v/>
      </c>
      <c r="E1130" s="34">
        <f>IF(AND($A1129&lt;&gt;"",'算罪台'!$B$6&lt;&gt;"",ISNUMBER(SEARCH($A1129,'算罪台'!$B$6))),1,0)</f>
        <v/>
      </c>
    </row>
    <row r="1131">
      <c r="A1131" s="34" t="inlineStr">
        <is>
          <t>走私武器</t>
        </is>
      </c>
      <c r="B1131" s="34" t="inlineStr">
        <is>
          <t>走私罪</t>
        </is>
      </c>
      <c r="C1131" s="34">
        <f>IF(AND($A1130&lt;&gt;"",'算罪台'!$B$4&lt;&gt;"",ISNUMBER(SEARCH($A1130,'算罪台'!$B$4))),1,0)</f>
        <v/>
      </c>
      <c r="D1131" s="34">
        <f>IF(AND($A1130&lt;&gt;"",'算罪台'!$B$5&lt;&gt;"",ISNUMBER(SEARCH($A1130,'算罪台'!$B$5))),1,0)</f>
        <v/>
      </c>
      <c r="E1131" s="34">
        <f>IF(AND($A1130&lt;&gt;"",'算罪台'!$B$6&lt;&gt;"",ISNUMBER(SEARCH($A1130,'算罪台'!$B$6))),1,0)</f>
        <v/>
      </c>
    </row>
    <row r="1132">
      <c r="A1132" s="34" t="inlineStr">
        <is>
          <t>走私爆炸物</t>
        </is>
      </c>
      <c r="B1132" s="34" t="inlineStr">
        <is>
          <t>走私罪</t>
        </is>
      </c>
      <c r="C1132" s="34">
        <f>IF(AND($A1131&lt;&gt;"",'算罪台'!$B$4&lt;&gt;"",ISNUMBER(SEARCH($A1131,'算罪台'!$B$4))),1,0)</f>
        <v/>
      </c>
      <c r="D1132" s="34">
        <f>IF(AND($A1131&lt;&gt;"",'算罪台'!$B$5&lt;&gt;"",ISNUMBER(SEARCH($A1131,'算罪台'!$B$5))),1,0)</f>
        <v/>
      </c>
      <c r="E1132" s="34">
        <f>IF(AND($A1131&lt;&gt;"",'算罪台'!$B$6&lt;&gt;"",ISNUMBER(SEARCH($A1131,'算罪台'!$B$6))),1,0)</f>
        <v/>
      </c>
    </row>
    <row r="1133">
      <c r="A1133" s="34" t="inlineStr">
        <is>
          <t>走私军火</t>
        </is>
      </c>
      <c r="B1133" s="34" t="inlineStr">
        <is>
          <t>走私罪</t>
        </is>
      </c>
      <c r="C1133" s="34">
        <f>IF(AND($A1132&lt;&gt;"",'算罪台'!$B$4&lt;&gt;"",ISNUMBER(SEARCH($A1132,'算罪台'!$B$4))),1,0)</f>
        <v/>
      </c>
      <c r="D1133" s="34">
        <f>IF(AND($A1132&lt;&gt;"",'算罪台'!$B$5&lt;&gt;"",ISNUMBER(SEARCH($A1132,'算罪台'!$B$5))),1,0)</f>
        <v/>
      </c>
      <c r="E1133" s="34">
        <f>IF(AND($A1132&lt;&gt;"",'算罪台'!$B$6&lt;&gt;"",ISNUMBER(SEARCH($A1132,'算罪台'!$B$6))),1,0)</f>
        <v/>
      </c>
    </row>
    <row r="1134">
      <c r="A1134" s="34" t="inlineStr">
        <is>
          <t>偷运军火</t>
        </is>
      </c>
      <c r="B1134" s="34" t="inlineStr">
        <is>
          <t>走私罪</t>
        </is>
      </c>
      <c r="C1134" s="34">
        <f>IF(AND($A1133&lt;&gt;"",'算罪台'!$B$4&lt;&gt;"",ISNUMBER(SEARCH($A1133,'算罪台'!$B$4))),1,0)</f>
        <v/>
      </c>
      <c r="D1134" s="34">
        <f>IF(AND($A1133&lt;&gt;"",'算罪台'!$B$5&lt;&gt;"",ISNUMBER(SEARCH($A1133,'算罪台'!$B$5))),1,0)</f>
        <v/>
      </c>
      <c r="E1134" s="34">
        <f>IF(AND($A1133&lt;&gt;"",'算罪台'!$B$6&lt;&gt;"",ISNUMBER(SEARCH($A1133,'算罪台'!$B$6))),1,0)</f>
        <v/>
      </c>
    </row>
    <row r="1135">
      <c r="A1135" s="34" t="inlineStr">
        <is>
          <t>偷运武器</t>
        </is>
      </c>
      <c r="B1135" s="34" t="inlineStr">
        <is>
          <t>走私罪</t>
        </is>
      </c>
      <c r="C1135" s="34">
        <f>IF(AND($A1134&lt;&gt;"",'算罪台'!$B$4&lt;&gt;"",ISNUMBER(SEARCH($A1134,'算罪台'!$B$4))),1,0)</f>
        <v/>
      </c>
      <c r="D1135" s="34">
        <f>IF(AND($A1134&lt;&gt;"",'算罪台'!$B$5&lt;&gt;"",ISNUMBER(SEARCH($A1134,'算罪台'!$B$5))),1,0)</f>
        <v/>
      </c>
      <c r="E1135" s="34">
        <f>IF(AND($A1134&lt;&gt;"",'算罪台'!$B$6&lt;&gt;"",ISNUMBER(SEARCH($A1134,'算罪台'!$B$6))),1,0)</f>
        <v/>
      </c>
    </row>
    <row r="1136">
      <c r="A1136" s="34" t="inlineStr">
        <is>
          <t>夹带军火</t>
        </is>
      </c>
      <c r="B1136" s="34" t="inlineStr">
        <is>
          <t>走私罪</t>
        </is>
      </c>
      <c r="C1136" s="34">
        <f>IF(AND($A1135&lt;&gt;"",'算罪台'!$B$4&lt;&gt;"",ISNUMBER(SEARCH($A1135,'算罪台'!$B$4))),1,0)</f>
        <v/>
      </c>
      <c r="D1136" s="34">
        <f>IF(AND($A1135&lt;&gt;"",'算罪台'!$B$5&lt;&gt;"",ISNUMBER(SEARCH($A1135,'算罪台'!$B$5))),1,0)</f>
        <v/>
      </c>
      <c r="E1136" s="34">
        <f>IF(AND($A1135&lt;&gt;"",'算罪台'!$B$6&lt;&gt;"",ISNUMBER(SEARCH($A1135,'算罪台'!$B$6))),1,0)</f>
        <v/>
      </c>
    </row>
    <row r="1137">
      <c r="A1137" s="34" t="inlineStr">
        <is>
          <t>黑市运枪</t>
        </is>
      </c>
      <c r="B1137" s="34" t="inlineStr">
        <is>
          <t>走私罪</t>
        </is>
      </c>
      <c r="C1137" s="34">
        <f>IF(AND($A1136&lt;&gt;"",'算罪台'!$B$4&lt;&gt;"",ISNUMBER(SEARCH($A1136,'算罪台'!$B$4))),1,0)</f>
        <v/>
      </c>
      <c r="D1137" s="34">
        <f>IF(AND($A1136&lt;&gt;"",'算罪台'!$B$5&lt;&gt;"",ISNUMBER(SEARCH($A1136,'算罪台'!$B$5))),1,0)</f>
        <v/>
      </c>
      <c r="E1137" s="34">
        <f>IF(AND($A1136&lt;&gt;"",'算罪台'!$B$6&lt;&gt;"",ISNUMBER(SEARCH($A1136,'算罪台'!$B$6))),1,0)</f>
        <v/>
      </c>
    </row>
    <row r="1138">
      <c r="A1138" s="34" t="inlineStr">
        <is>
          <t>走私货</t>
        </is>
      </c>
      <c r="B1138" s="34" t="inlineStr">
        <is>
          <t>走私罪</t>
        </is>
      </c>
      <c r="C1138" s="34">
        <f>IF(AND($A1137&lt;&gt;"",'算罪台'!$B$4&lt;&gt;"",ISNUMBER(SEARCH($A1137,'算罪台'!$B$4))),1,0)</f>
        <v/>
      </c>
      <c r="D1138" s="34">
        <f>IF(AND($A1137&lt;&gt;"",'算罪台'!$B$5&lt;&gt;"",ISNUMBER(SEARCH($A1137,'算罪台'!$B$5))),1,0)</f>
        <v/>
      </c>
      <c r="E1138" s="34">
        <f>IF(AND($A1137&lt;&gt;"",'算罪台'!$B$6&lt;&gt;"",ISNUMBER(SEARCH($A1137,'算罪台'!$B$6))),1,0)</f>
        <v/>
      </c>
    </row>
    <row r="1139">
      <c r="A1139" s="34" t="inlineStr">
        <is>
          <t>走私枪械</t>
        </is>
      </c>
      <c r="B1139" s="34" t="inlineStr">
        <is>
          <t>走私罪</t>
        </is>
      </c>
      <c r="C1139" s="34">
        <f>IF(AND($A1138&lt;&gt;"",'算罪台'!$B$4&lt;&gt;"",ISNUMBER(SEARCH($A1138,'算罪台'!$B$4))),1,0)</f>
        <v/>
      </c>
      <c r="D1139" s="34">
        <f>IF(AND($A1138&lt;&gt;"",'算罪台'!$B$5&lt;&gt;"",ISNUMBER(SEARCH($A1138,'算罪台'!$B$5))),1,0)</f>
        <v/>
      </c>
      <c r="E1139" s="34">
        <f>IF(AND($A1138&lt;&gt;"",'算罪台'!$B$6&lt;&gt;"",ISNUMBER(SEARCH($A1138,'算罪台'!$B$6))),1,0)</f>
        <v/>
      </c>
    </row>
    <row r="1140">
      <c r="A1140" s="34" t="inlineStr">
        <is>
          <t>偷运枪支</t>
        </is>
      </c>
      <c r="B1140" s="34" t="inlineStr">
        <is>
          <t>走私罪</t>
        </is>
      </c>
      <c r="C1140" s="34">
        <f>IF(AND($A1139&lt;&gt;"",'算罪台'!$B$4&lt;&gt;"",ISNUMBER(SEARCH($A1139,'算罪台'!$B$4))),1,0)</f>
        <v/>
      </c>
      <c r="D1140" s="34">
        <f>IF(AND($A1139&lt;&gt;"",'算罪台'!$B$5&lt;&gt;"",ISNUMBER(SEARCH($A1139,'算罪台'!$B$5))),1,0)</f>
        <v/>
      </c>
      <c r="E1140" s="34">
        <f>IF(AND($A1139&lt;&gt;"",'算罪台'!$B$6&lt;&gt;"",ISNUMBER(SEARCH($A1139,'算罪台'!$B$6))),1,0)</f>
        <v/>
      </c>
    </row>
    <row r="1141">
      <c r="A1141" s="34" t="inlineStr">
        <is>
          <t>走私违禁</t>
        </is>
      </c>
      <c r="B1141" s="34" t="inlineStr">
        <is>
          <t>走私罪</t>
        </is>
      </c>
      <c r="C1141" s="34">
        <f>IF(AND($A1140&lt;&gt;"",'算罪台'!$B$4&lt;&gt;"",ISNUMBER(SEARCH($A1140,'算罪台'!$B$4))),1,0)</f>
        <v/>
      </c>
      <c r="D1141" s="34">
        <f>IF(AND($A1140&lt;&gt;"",'算罪台'!$B$5&lt;&gt;"",ISNUMBER(SEARCH($A1140,'算罪台'!$B$5))),1,0)</f>
        <v/>
      </c>
      <c r="E1141" s="34">
        <f>IF(AND($A1140&lt;&gt;"",'算罪台'!$B$6&lt;&gt;"",ISNUMBER(SEARCH($A1140,'算罪台'!$B$6))),1,0)</f>
        <v/>
      </c>
    </row>
    <row r="1142">
      <c r="A1142" s="34" t="inlineStr">
        <is>
          <t>军火偷运</t>
        </is>
      </c>
      <c r="B1142" s="34" t="inlineStr">
        <is>
          <t>走私罪</t>
        </is>
      </c>
      <c r="C1142" s="34">
        <f>IF(AND($A1141&lt;&gt;"",'算罪台'!$B$4&lt;&gt;"",ISNUMBER(SEARCH($A1141,'算罪台'!$B$4))),1,0)</f>
        <v/>
      </c>
      <c r="D1142" s="34">
        <f>IF(AND($A1141&lt;&gt;"",'算罪台'!$B$5&lt;&gt;"",ISNUMBER(SEARCH($A1141,'算罪台'!$B$5))),1,0)</f>
        <v/>
      </c>
      <c r="E1142" s="34">
        <f>IF(AND($A1141&lt;&gt;"",'算罪台'!$B$6&lt;&gt;"",ISNUMBER(SEARCH($A1141,'算罪台'!$B$6))),1,0)</f>
        <v/>
      </c>
    </row>
    <row r="1143">
      <c r="A1143" s="34" t="inlineStr">
        <is>
          <t>走私军械</t>
        </is>
      </c>
      <c r="B1143" s="34" t="inlineStr">
        <is>
          <t>走私罪</t>
        </is>
      </c>
      <c r="C1143" s="34">
        <f>IF(AND($A1142&lt;&gt;"",'算罪台'!$B$4&lt;&gt;"",ISNUMBER(SEARCH($A1142,'算罪台'!$B$4))),1,0)</f>
        <v/>
      </c>
      <c r="D1143" s="34">
        <f>IF(AND($A1142&lt;&gt;"",'算罪台'!$B$5&lt;&gt;"",ISNUMBER(SEARCH($A1142,'算罪台'!$B$5))),1,0)</f>
        <v/>
      </c>
      <c r="E1143" s="34">
        <f>IF(AND($A1142&lt;&gt;"",'算罪台'!$B$6&lt;&gt;"",ISNUMBER(SEARCH($A1142,'算罪台'!$B$6))),1,0)</f>
        <v/>
      </c>
    </row>
    <row r="1144">
      <c r="A1144" s="34" t="inlineStr">
        <is>
          <t>非法持有管制物品</t>
        </is>
      </c>
      <c r="B1144" s="34" t="inlineStr">
        <is>
          <t>非法持有管制物品罪</t>
        </is>
      </c>
      <c r="C1144" s="34">
        <f>IF(AND($A1143&lt;&gt;"",'算罪台'!$B$4&lt;&gt;"",ISNUMBER(SEARCH($A1143,'算罪台'!$B$4))),1,0)</f>
        <v/>
      </c>
      <c r="D1144" s="34">
        <f>IF(AND($A1143&lt;&gt;"",'算罪台'!$B$5&lt;&gt;"",ISNUMBER(SEARCH($A1143,'算罪台'!$B$5))),1,0)</f>
        <v/>
      </c>
      <c r="E1144" s="34">
        <f>IF(AND($A1143&lt;&gt;"",'算罪台'!$B$6&lt;&gt;"",ISNUMBER(SEARCH($A1143,'算罪台'!$B$6))),1,0)</f>
        <v/>
      </c>
    </row>
    <row r="1145">
      <c r="A1145" s="34" t="inlineStr">
        <is>
          <t>持有毒品</t>
        </is>
      </c>
      <c r="B1145" s="34" t="inlineStr">
        <is>
          <t>非法持有管制物品罪</t>
        </is>
      </c>
      <c r="C1145" s="34">
        <f>IF(AND($A1144&lt;&gt;"",'算罪台'!$B$4&lt;&gt;"",ISNUMBER(SEARCH($A1144,'算罪台'!$B$4))),1,0)</f>
        <v/>
      </c>
      <c r="D1145" s="34">
        <f>IF(AND($A1144&lt;&gt;"",'算罪台'!$B$5&lt;&gt;"",ISNUMBER(SEARCH($A1144,'算罪台'!$B$5))),1,0)</f>
        <v/>
      </c>
      <c r="E1145" s="34">
        <f>IF(AND($A1144&lt;&gt;"",'算罪台'!$B$6&lt;&gt;"",ISNUMBER(SEARCH($A1144,'算罪台'!$B$6))),1,0)</f>
        <v/>
      </c>
    </row>
    <row r="1146">
      <c r="A1146" s="34" t="inlineStr">
        <is>
          <t>持有大麻</t>
        </is>
      </c>
      <c r="B1146" s="34" t="inlineStr">
        <is>
          <t>非法持有管制物品罪</t>
        </is>
      </c>
      <c r="C1146" s="34">
        <f>IF(AND($A1145&lt;&gt;"",'算罪台'!$B$4&lt;&gt;"",ISNUMBER(SEARCH($A1145,'算罪台'!$B$4))),1,0)</f>
        <v/>
      </c>
      <c r="D1146" s="34">
        <f>IF(AND($A1145&lt;&gt;"",'算罪台'!$B$5&lt;&gt;"",ISNUMBER(SEARCH($A1145,'算罪台'!$B$5))),1,0)</f>
        <v/>
      </c>
      <c r="E1146" s="34">
        <f>IF(AND($A1145&lt;&gt;"",'算罪台'!$B$6&lt;&gt;"",ISNUMBER(SEARCH($A1145,'算罪台'!$B$6))),1,0)</f>
        <v/>
      </c>
    </row>
    <row r="1147">
      <c r="A1147" s="34" t="inlineStr">
        <is>
          <t>持有可卡因</t>
        </is>
      </c>
      <c r="B1147" s="34" t="inlineStr">
        <is>
          <t>非法持有管制物品罪</t>
        </is>
      </c>
      <c r="C1147" s="34">
        <f>IF(AND($A1146&lt;&gt;"",'算罪台'!$B$4&lt;&gt;"",ISNUMBER(SEARCH($A1146,'算罪台'!$B$4))),1,0)</f>
        <v/>
      </c>
      <c r="D1147" s="34">
        <f>IF(AND($A1146&lt;&gt;"",'算罪台'!$B$5&lt;&gt;"",ISNUMBER(SEARCH($A1146,'算罪台'!$B$5))),1,0)</f>
        <v/>
      </c>
      <c r="E1147" s="34">
        <f>IF(AND($A1146&lt;&gt;"",'算罪台'!$B$6&lt;&gt;"",ISNUMBER(SEARCH($A1146,'算罪台'!$B$6))),1,0)</f>
        <v/>
      </c>
    </row>
    <row r="1148">
      <c r="A1148" s="34" t="inlineStr">
        <is>
          <t>持有海洛因</t>
        </is>
      </c>
      <c r="B1148" s="34" t="inlineStr">
        <is>
          <t>非法持有管制物品罪</t>
        </is>
      </c>
      <c r="C1148" s="34">
        <f>IF(AND($A1147&lt;&gt;"",'算罪台'!$B$4&lt;&gt;"",ISNUMBER(SEARCH($A1147,'算罪台'!$B$4))),1,0)</f>
        <v/>
      </c>
      <c r="D1148" s="34">
        <f>IF(AND($A1147&lt;&gt;"",'算罪台'!$B$5&lt;&gt;"",ISNUMBER(SEARCH($A1147,'算罪台'!$B$5))),1,0)</f>
        <v/>
      </c>
      <c r="E1148" s="34">
        <f>IF(AND($A1147&lt;&gt;"",'算罪台'!$B$6&lt;&gt;"",ISNUMBER(SEARCH($A1147,'算罪台'!$B$6))),1,0)</f>
        <v/>
      </c>
    </row>
    <row r="1149">
      <c r="A1149" s="34" t="inlineStr">
        <is>
          <t>持有冰毒</t>
        </is>
      </c>
      <c r="B1149" s="34" t="inlineStr">
        <is>
          <t>非法持有管制物品罪</t>
        </is>
      </c>
      <c r="C1149" s="34">
        <f>IF(AND($A1148&lt;&gt;"",'算罪台'!$B$4&lt;&gt;"",ISNUMBER(SEARCH($A1148,'算罪台'!$B$4))),1,0)</f>
        <v/>
      </c>
      <c r="D1149" s="34">
        <f>IF(AND($A1148&lt;&gt;"",'算罪台'!$B$5&lt;&gt;"",ISNUMBER(SEARCH($A1148,'算罪台'!$B$5))),1,0)</f>
        <v/>
      </c>
      <c r="E1149" s="34">
        <f>IF(AND($A1148&lt;&gt;"",'算罪台'!$B$6&lt;&gt;"",ISNUMBER(SEARCH($A1148,'算罪台'!$B$6))),1,0)</f>
        <v/>
      </c>
    </row>
    <row r="1150">
      <c r="A1150" s="34" t="inlineStr">
        <is>
          <t>持有管制刀具</t>
        </is>
      </c>
      <c r="B1150" s="34" t="inlineStr">
        <is>
          <t>非法持有管制物品罪</t>
        </is>
      </c>
      <c r="C1150" s="34">
        <f>IF(AND($A1149&lt;&gt;"",'算罪台'!$B$4&lt;&gt;"",ISNUMBER(SEARCH($A1149,'算罪台'!$B$4))),1,0)</f>
        <v/>
      </c>
      <c r="D1150" s="34">
        <f>IF(AND($A1149&lt;&gt;"",'算罪台'!$B$5&lt;&gt;"",ISNUMBER(SEARCH($A1149,'算罪台'!$B$5))),1,0)</f>
        <v/>
      </c>
      <c r="E1150" s="34">
        <f>IF(AND($A1149&lt;&gt;"",'算罪台'!$B$6&lt;&gt;"",ISNUMBER(SEARCH($A1149,'算罪台'!$B$6))),1,0)</f>
        <v/>
      </c>
    </row>
    <row r="1151">
      <c r="A1151" s="34" t="inlineStr">
        <is>
          <t>管制器具</t>
        </is>
      </c>
      <c r="B1151" s="34" t="inlineStr">
        <is>
          <t>非法持有管制物品罪</t>
        </is>
      </c>
      <c r="C1151" s="34">
        <f>IF(AND($A1150&lt;&gt;"",'算罪台'!$B$4&lt;&gt;"",ISNUMBER(SEARCH($A1150,'算罪台'!$B$4))),1,0)</f>
        <v/>
      </c>
      <c r="D1151" s="34">
        <f>IF(AND($A1150&lt;&gt;"",'算罪台'!$B$5&lt;&gt;"",ISNUMBER(SEARCH($A1150,'算罪台'!$B$5))),1,0)</f>
        <v/>
      </c>
      <c r="E1151" s="34">
        <f>IF(AND($A1150&lt;&gt;"",'算罪台'!$B$6&lt;&gt;"",ISNUMBER(SEARCH($A1150,'算罪台'!$B$6))),1,0)</f>
        <v/>
      </c>
    </row>
    <row r="1152">
      <c r="A1152" s="34" t="inlineStr">
        <is>
          <t>指虎</t>
        </is>
      </c>
      <c r="B1152" s="34" t="inlineStr">
        <is>
          <t>非法持有管制物品罪</t>
        </is>
      </c>
      <c r="C1152" s="34">
        <f>IF(AND($A1151&lt;&gt;"",'算罪台'!$B$4&lt;&gt;"",ISNUMBER(SEARCH($A1151,'算罪台'!$B$4))),1,0)</f>
        <v/>
      </c>
      <c r="D1152" s="34">
        <f>IF(AND($A1151&lt;&gt;"",'算罪台'!$B$5&lt;&gt;"",ISNUMBER(SEARCH($A1151,'算罪台'!$B$5))),1,0)</f>
        <v/>
      </c>
      <c r="E1152" s="34">
        <f>IF(AND($A1151&lt;&gt;"",'算罪台'!$B$6&lt;&gt;"",ISNUMBER(SEARCH($A1151,'算罪台'!$B$6))),1,0)</f>
        <v/>
      </c>
    </row>
    <row r="1153">
      <c r="A1153" s="34" t="inlineStr">
        <is>
          <t>弹簧刀</t>
        </is>
      </c>
      <c r="B1153" s="34" t="inlineStr">
        <is>
          <t>非法持有管制物品罪</t>
        </is>
      </c>
      <c r="C1153" s="34">
        <f>IF(AND($A1152&lt;&gt;"",'算罪台'!$B$4&lt;&gt;"",ISNUMBER(SEARCH($A1152,'算罪台'!$B$4))),1,0)</f>
        <v/>
      </c>
      <c r="D1153" s="34">
        <f>IF(AND($A1152&lt;&gt;"",'算罪台'!$B$5&lt;&gt;"",ISNUMBER(SEARCH($A1152,'算罪台'!$B$5))),1,0)</f>
        <v/>
      </c>
      <c r="E1153" s="34">
        <f>IF(AND($A1152&lt;&gt;"",'算罪台'!$B$6&lt;&gt;"",ISNUMBER(SEARCH($A1152,'算罪台'!$B$6))),1,0)</f>
        <v/>
      </c>
    </row>
    <row r="1154">
      <c r="A1154" s="34" t="inlineStr">
        <is>
          <t>开锁器</t>
        </is>
      </c>
      <c r="B1154" s="34" t="inlineStr">
        <is>
          <t>非法持有管制物品罪</t>
        </is>
      </c>
      <c r="C1154" s="34">
        <f>IF(AND($A1153&lt;&gt;"",'算罪台'!$B$4&lt;&gt;"",ISNUMBER(SEARCH($A1153,'算罪台'!$B$4))),1,0)</f>
        <v/>
      </c>
      <c r="D1154" s="34">
        <f>IF(AND($A1153&lt;&gt;"",'算罪台'!$B$5&lt;&gt;"",ISNUMBER(SEARCH($A1153,'算罪台'!$B$5))),1,0)</f>
        <v/>
      </c>
      <c r="E1154" s="34">
        <f>IF(AND($A1153&lt;&gt;"",'算罪台'!$B$6&lt;&gt;"",ISNUMBER(SEARCH($A1153,'算罪台'!$B$6))),1,0)</f>
        <v/>
      </c>
    </row>
    <row r="1155">
      <c r="A1155" s="34" t="inlineStr">
        <is>
          <t>黑客电脑</t>
        </is>
      </c>
      <c r="B1155" s="34" t="inlineStr">
        <is>
          <t>非法持有管制物品罪</t>
        </is>
      </c>
      <c r="C1155" s="34">
        <f>IF(AND($A1154&lt;&gt;"",'算罪台'!$B$4&lt;&gt;"",ISNUMBER(SEARCH($A1154,'算罪台'!$B$4))),1,0)</f>
        <v/>
      </c>
      <c r="D1155" s="34">
        <f>IF(AND($A1154&lt;&gt;"",'算罪台'!$B$5&lt;&gt;"",ISNUMBER(SEARCH($A1154,'算罪台'!$B$5))),1,0)</f>
        <v/>
      </c>
      <c r="E1155" s="34">
        <f>IF(AND($A1154&lt;&gt;"",'算罪台'!$B$6&lt;&gt;"",ISNUMBER(SEARCH($A1154,'算罪台'!$B$6))),1,0)</f>
        <v/>
      </c>
    </row>
    <row r="1156">
      <c r="A1156" s="34" t="inlineStr">
        <is>
          <t>身上有毒品</t>
        </is>
      </c>
      <c r="B1156" s="34" t="inlineStr">
        <is>
          <t>非法持有管制物品罪</t>
        </is>
      </c>
      <c r="C1156" s="34">
        <f>IF(AND($A1155&lt;&gt;"",'算罪台'!$B$4&lt;&gt;"",ISNUMBER(SEARCH($A1155,'算罪台'!$B$4))),1,0)</f>
        <v/>
      </c>
      <c r="D1156" s="34">
        <f>IF(AND($A1155&lt;&gt;"",'算罪台'!$B$5&lt;&gt;"",ISNUMBER(SEARCH($A1155,'算罪台'!$B$5))),1,0)</f>
        <v/>
      </c>
      <c r="E1156" s="34">
        <f>IF(AND($A1155&lt;&gt;"",'算罪台'!$B$6&lt;&gt;"",ISNUMBER(SEARCH($A1155,'算罪台'!$B$6))),1,0)</f>
        <v/>
      </c>
    </row>
    <row r="1157">
      <c r="A1157" s="34" t="inlineStr">
        <is>
          <t>带着毒品</t>
        </is>
      </c>
      <c r="B1157" s="34" t="inlineStr">
        <is>
          <t>非法持有管制物品罪</t>
        </is>
      </c>
      <c r="C1157" s="34">
        <f>IF(AND($A1156&lt;&gt;"",'算罪台'!$B$4&lt;&gt;"",ISNUMBER(SEARCH($A1156,'算罪台'!$B$4))),1,0)</f>
        <v/>
      </c>
      <c r="D1157" s="34">
        <f>IF(AND($A1156&lt;&gt;"",'算罪台'!$B$5&lt;&gt;"",ISNUMBER(SEARCH($A1156,'算罪台'!$B$5))),1,0)</f>
        <v/>
      </c>
      <c r="E1157" s="34">
        <f>IF(AND($A1156&lt;&gt;"",'算罪台'!$B$6&lt;&gt;"",ISNUMBER(SEARCH($A1156,'算罪台'!$B$6))),1,0)</f>
        <v/>
      </c>
    </row>
    <row r="1158">
      <c r="A1158" s="34" t="inlineStr">
        <is>
          <t>藏毒</t>
        </is>
      </c>
      <c r="B1158" s="34" t="inlineStr">
        <is>
          <t>非法持有管制物品罪</t>
        </is>
      </c>
      <c r="C1158" s="34">
        <f>IF(AND($A1157&lt;&gt;"",'算罪台'!$B$4&lt;&gt;"",ISNUMBER(SEARCH($A1157,'算罪台'!$B$4))),1,0)</f>
        <v/>
      </c>
      <c r="D1158" s="34">
        <f>IF(AND($A1157&lt;&gt;"",'算罪台'!$B$5&lt;&gt;"",ISNUMBER(SEARCH($A1157,'算罪台'!$B$5))),1,0)</f>
        <v/>
      </c>
      <c r="E1158" s="34">
        <f>IF(AND($A1157&lt;&gt;"",'算罪台'!$B$6&lt;&gt;"",ISNUMBER(SEARCH($A1157,'算罪台'!$B$6))),1,0)</f>
        <v/>
      </c>
    </row>
    <row r="1159">
      <c r="A1159" s="34" t="inlineStr">
        <is>
          <t>身上有货</t>
        </is>
      </c>
      <c r="B1159" s="34" t="inlineStr">
        <is>
          <t>非法持有管制物品罪</t>
        </is>
      </c>
      <c r="C1159" s="34">
        <f>IF(AND($A1158&lt;&gt;"",'算罪台'!$B$4&lt;&gt;"",ISNUMBER(SEARCH($A1158,'算罪台'!$B$4))),1,0)</f>
        <v/>
      </c>
      <c r="D1159" s="34">
        <f>IF(AND($A1158&lt;&gt;"",'算罪台'!$B$5&lt;&gt;"",ISNUMBER(SEARCH($A1158,'算罪台'!$B$5))),1,0)</f>
        <v/>
      </c>
      <c r="E1159" s="34">
        <f>IF(AND($A1158&lt;&gt;"",'算罪台'!$B$6&lt;&gt;"",ISNUMBER(SEARCH($A1158,'算罪台'!$B$6))),1,0)</f>
        <v/>
      </c>
    </row>
    <row r="1160">
      <c r="A1160" s="34" t="inlineStr">
        <is>
          <t>带着毒</t>
        </is>
      </c>
      <c r="B1160" s="34" t="inlineStr">
        <is>
          <t>非法持有管制物品罪</t>
        </is>
      </c>
      <c r="C1160" s="34">
        <f>IF(AND($A1159&lt;&gt;"",'算罪台'!$B$4&lt;&gt;"",ISNUMBER(SEARCH($A1159,'算罪台'!$B$4))),1,0)</f>
        <v/>
      </c>
      <c r="D1160" s="34">
        <f>IF(AND($A1159&lt;&gt;"",'算罪台'!$B$5&lt;&gt;"",ISNUMBER(SEARCH($A1159,'算罪台'!$B$5))),1,0)</f>
        <v/>
      </c>
      <c r="E1160" s="34">
        <f>IF(AND($A1159&lt;&gt;"",'算罪台'!$B$6&lt;&gt;"",ISNUMBER(SEARCH($A1159,'算罪台'!$B$6))),1,0)</f>
        <v/>
      </c>
    </row>
    <row r="1161">
      <c r="A1161" s="34" t="inlineStr">
        <is>
          <t>揣着大麻</t>
        </is>
      </c>
      <c r="B1161" s="34" t="inlineStr">
        <is>
          <t>非法持有管制物品罪</t>
        </is>
      </c>
      <c r="C1161" s="34">
        <f>IF(AND($A1160&lt;&gt;"",'算罪台'!$B$4&lt;&gt;"",ISNUMBER(SEARCH($A1160,'算罪台'!$B$4))),1,0)</f>
        <v/>
      </c>
      <c r="D1161" s="34">
        <f>IF(AND($A1160&lt;&gt;"",'算罪台'!$B$5&lt;&gt;"",ISNUMBER(SEARCH($A1160,'算罪台'!$B$5))),1,0)</f>
        <v/>
      </c>
      <c r="E1161" s="34">
        <f>IF(AND($A1160&lt;&gt;"",'算罪台'!$B$6&lt;&gt;"",ISNUMBER(SEARCH($A1160,'算罪台'!$B$6))),1,0)</f>
        <v/>
      </c>
    </row>
    <row r="1162">
      <c r="A1162" s="34" t="inlineStr">
        <is>
          <t>藏着货</t>
        </is>
      </c>
      <c r="B1162" s="34" t="inlineStr">
        <is>
          <t>非法持有管制物品罪</t>
        </is>
      </c>
      <c r="C1162" s="34">
        <f>IF(AND($A1161&lt;&gt;"",'算罪台'!$B$4&lt;&gt;"",ISNUMBER(SEARCH($A1161,'算罪台'!$B$4))),1,0)</f>
        <v/>
      </c>
      <c r="D1162" s="34">
        <f>IF(AND($A1161&lt;&gt;"",'算罪台'!$B$5&lt;&gt;"",ISNUMBER(SEARCH($A1161,'算罪台'!$B$5))),1,0)</f>
        <v/>
      </c>
      <c r="E1162" s="34">
        <f>IF(AND($A1161&lt;&gt;"",'算罪台'!$B$6&lt;&gt;"",ISNUMBER(SEARCH($A1161,'算罪台'!$B$6))),1,0)</f>
        <v/>
      </c>
    </row>
    <row r="1163">
      <c r="A1163" s="34" t="inlineStr">
        <is>
          <t>持有违禁品</t>
        </is>
      </c>
      <c r="B1163" s="34" t="inlineStr">
        <is>
          <t>非法持有管制物品罪</t>
        </is>
      </c>
      <c r="C1163" s="34">
        <f>IF(AND($A1162&lt;&gt;"",'算罪台'!$B$4&lt;&gt;"",ISNUMBER(SEARCH($A1162,'算罪台'!$B$4))),1,0)</f>
        <v/>
      </c>
      <c r="D1163" s="34">
        <f>IF(AND($A1162&lt;&gt;"",'算罪台'!$B$5&lt;&gt;"",ISNUMBER(SEARCH($A1162,'算罪台'!$B$5))),1,0)</f>
        <v/>
      </c>
      <c r="E1163" s="34">
        <f>IF(AND($A1162&lt;&gt;"",'算罪台'!$B$6&lt;&gt;"",ISNUMBER(SEARCH($A1162,'算罪台'!$B$6))),1,0)</f>
        <v/>
      </c>
    </row>
    <row r="1164">
      <c r="A1164" s="34" t="inlineStr">
        <is>
          <t>带管制刀</t>
        </is>
      </c>
      <c r="B1164" s="34" t="inlineStr">
        <is>
          <t>非法持有管制物品罪</t>
        </is>
      </c>
      <c r="C1164" s="34">
        <f>IF(AND($A1163&lt;&gt;"",'算罪台'!$B$4&lt;&gt;"",ISNUMBER(SEARCH($A1163,'算罪台'!$B$4))),1,0)</f>
        <v/>
      </c>
      <c r="D1164" s="34">
        <f>IF(AND($A1163&lt;&gt;"",'算罪台'!$B$5&lt;&gt;"",ISNUMBER(SEARCH($A1163,'算罪台'!$B$5))),1,0)</f>
        <v/>
      </c>
      <c r="E1164" s="34">
        <f>IF(AND($A1163&lt;&gt;"",'算罪台'!$B$6&lt;&gt;"",ISNUMBER(SEARCH($A1163,'算罪台'!$B$6))),1,0)</f>
        <v/>
      </c>
    </row>
    <row r="1165">
      <c r="A1165" s="34" t="inlineStr">
        <is>
          <t>搜出毒品</t>
        </is>
      </c>
      <c r="B1165" s="34" t="inlineStr">
        <is>
          <t>非法持有管制物品罪</t>
        </is>
      </c>
      <c r="C1165" s="34">
        <f>IF(AND($A1164&lt;&gt;"",'算罪台'!$B$4&lt;&gt;"",ISNUMBER(SEARCH($A1164,'算罪台'!$B$4))),1,0)</f>
        <v/>
      </c>
      <c r="D1165" s="34">
        <f>IF(AND($A1164&lt;&gt;"",'算罪台'!$B$5&lt;&gt;"",ISNUMBER(SEARCH($A1164,'算罪台'!$B$5))),1,0)</f>
        <v/>
      </c>
      <c r="E1165" s="34">
        <f>IF(AND($A1164&lt;&gt;"",'算罪台'!$B$6&lt;&gt;"",ISNUMBER(SEARCH($A1164,'算罪台'!$B$6))),1,0)</f>
        <v/>
      </c>
    </row>
    <row r="1166">
      <c r="A1166" s="34" t="inlineStr">
        <is>
          <t>带着白粉</t>
        </is>
      </c>
      <c r="B1166" s="34" t="inlineStr">
        <is>
          <t>非法持有管制物品罪</t>
        </is>
      </c>
      <c r="C1166" s="34">
        <f>IF(AND($A1165&lt;&gt;"",'算罪台'!$B$4&lt;&gt;"",ISNUMBER(SEARCH($A1165,'算罪台'!$B$4))),1,0)</f>
        <v/>
      </c>
      <c r="D1166" s="34">
        <f>IF(AND($A1165&lt;&gt;"",'算罪台'!$B$5&lt;&gt;"",ISNUMBER(SEARCH($A1165,'算罪台'!$B$5))),1,0)</f>
        <v/>
      </c>
      <c r="E1166" s="34">
        <f>IF(AND($A1165&lt;&gt;"",'算罪台'!$B$6&lt;&gt;"",ISNUMBER(SEARCH($A1165,'算罪台'!$B$6))),1,0)</f>
        <v/>
      </c>
    </row>
    <row r="1167">
      <c r="A1167" s="34" t="inlineStr">
        <is>
          <t>身上搜出毒</t>
        </is>
      </c>
      <c r="B1167" s="34" t="inlineStr">
        <is>
          <t>非法持有管制物品罪</t>
        </is>
      </c>
      <c r="C1167" s="34">
        <f>IF(AND($A1166&lt;&gt;"",'算罪台'!$B$4&lt;&gt;"",ISNUMBER(SEARCH($A1166,'算罪台'!$B$4))),1,0)</f>
        <v/>
      </c>
      <c r="D1167" s="34">
        <f>IF(AND($A1166&lt;&gt;"",'算罪台'!$B$5&lt;&gt;"",ISNUMBER(SEARCH($A1166,'算罪台'!$B$5))),1,0)</f>
        <v/>
      </c>
      <c r="E1167" s="34">
        <f>IF(AND($A1166&lt;&gt;"",'算罪台'!$B$6&lt;&gt;"",ISNUMBER(SEARCH($A1166,'算罪台'!$B$6))),1,0)</f>
        <v/>
      </c>
    </row>
    <row r="1168">
      <c r="A1168" s="34" t="inlineStr">
        <is>
          <t>携带毒品</t>
        </is>
      </c>
      <c r="B1168" s="34" t="inlineStr">
        <is>
          <t>非法持有管制物品罪</t>
        </is>
      </c>
      <c r="C1168" s="34">
        <f>IF(AND($A1167&lt;&gt;"",'算罪台'!$B$4&lt;&gt;"",ISNUMBER(SEARCH($A1167,'算罪台'!$B$4))),1,0)</f>
        <v/>
      </c>
      <c r="D1168" s="34">
        <f>IF(AND($A1167&lt;&gt;"",'算罪台'!$B$5&lt;&gt;"",ISNUMBER(SEARCH($A1167,'算罪台'!$B$5))),1,0)</f>
        <v/>
      </c>
      <c r="E1168" s="34">
        <f>IF(AND($A1167&lt;&gt;"",'算罪台'!$B$6&lt;&gt;"",ISNUMBER(SEARCH($A1167,'算罪台'!$B$6))),1,0)</f>
        <v/>
      </c>
    </row>
    <row r="1169">
      <c r="A1169" s="34" t="inlineStr">
        <is>
          <t>身藏毒品</t>
        </is>
      </c>
      <c r="B1169" s="34" t="inlineStr">
        <is>
          <t>非法持有管制物品罪</t>
        </is>
      </c>
      <c r="C1169" s="34">
        <f>IF(AND($A1168&lt;&gt;"",'算罪台'!$B$4&lt;&gt;"",ISNUMBER(SEARCH($A1168,'算罪台'!$B$4))),1,0)</f>
        <v/>
      </c>
      <c r="D1169" s="34">
        <f>IF(AND($A1168&lt;&gt;"",'算罪台'!$B$5&lt;&gt;"",ISNUMBER(SEARCH($A1168,'算罪台'!$B$5))),1,0)</f>
        <v/>
      </c>
      <c r="E1169" s="34">
        <f>IF(AND($A1168&lt;&gt;"",'算罪台'!$B$6&lt;&gt;"",ISNUMBER(SEARCH($A1168,'算罪台'!$B$6))),1,0)</f>
        <v/>
      </c>
    </row>
    <row r="1170">
      <c r="A1170" s="34" t="inlineStr">
        <is>
          <t>持有违禁</t>
        </is>
      </c>
      <c r="B1170" s="34" t="inlineStr">
        <is>
          <t>非法持有管制物品罪</t>
        </is>
      </c>
      <c r="C1170" s="34">
        <f>IF(AND($A1169&lt;&gt;"",'算罪台'!$B$4&lt;&gt;"",ISNUMBER(SEARCH($A1169,'算罪台'!$B$4))),1,0)</f>
        <v/>
      </c>
      <c r="D1170" s="34">
        <f>IF(AND($A1169&lt;&gt;"",'算罪台'!$B$5&lt;&gt;"",ISNUMBER(SEARCH($A1169,'算罪台'!$B$5))),1,0)</f>
        <v/>
      </c>
      <c r="E1170" s="34">
        <f>IF(AND($A1169&lt;&gt;"",'算罪台'!$B$6&lt;&gt;"",ISNUMBER(SEARCH($A1169,'算罪台'!$B$6))),1,0)</f>
        <v/>
      </c>
    </row>
    <row r="1171">
      <c r="A1171" s="34" t="inlineStr">
        <is>
          <t>藏匿毒品</t>
        </is>
      </c>
      <c r="B1171" s="34" t="inlineStr">
        <is>
          <t>非法持有管制物品罪</t>
        </is>
      </c>
      <c r="C1171" s="34">
        <f>IF(AND($A1170&lt;&gt;"",'算罪台'!$B$4&lt;&gt;"",ISNUMBER(SEARCH($A1170,'算罪台'!$B$4))),1,0)</f>
        <v/>
      </c>
      <c r="D1171" s="34">
        <f>IF(AND($A1170&lt;&gt;"",'算罪台'!$B$5&lt;&gt;"",ISNUMBER(SEARCH($A1170,'算罪台'!$B$5))),1,0)</f>
        <v/>
      </c>
      <c r="E1171" s="34">
        <f>IF(AND($A1170&lt;&gt;"",'算罪台'!$B$6&lt;&gt;"",ISNUMBER(SEARCH($A1170,'算罪台'!$B$6))),1,0)</f>
        <v/>
      </c>
    </row>
    <row r="1172">
      <c r="A1172" s="34" t="inlineStr">
        <is>
          <t>带管制器具</t>
        </is>
      </c>
      <c r="B1172" s="34" t="inlineStr">
        <is>
          <t>非法持有管制物品罪</t>
        </is>
      </c>
      <c r="C1172" s="34">
        <f>IF(AND($A1171&lt;&gt;"",'算罪台'!$B$4&lt;&gt;"",ISNUMBER(SEARCH($A1171,'算罪台'!$B$4))),1,0)</f>
        <v/>
      </c>
      <c r="D1172" s="34">
        <f>IF(AND($A1171&lt;&gt;"",'算罪台'!$B$5&lt;&gt;"",ISNUMBER(SEARCH($A1171,'算罪台'!$B$5))),1,0)</f>
        <v/>
      </c>
      <c r="E1172" s="34">
        <f>IF(AND($A1171&lt;&gt;"",'算罪台'!$B$6&lt;&gt;"",ISNUMBER(SEARCH($A1171,'算罪台'!$B$6))),1,0)</f>
        <v/>
      </c>
    </row>
    <row r="1173">
      <c r="A1173" s="34" t="inlineStr">
        <is>
          <t>持有大麻花蕾</t>
        </is>
      </c>
      <c r="B1173" s="34" t="inlineStr">
        <is>
          <t>非法持有管制物品罪</t>
        </is>
      </c>
      <c r="C1173" s="34">
        <f>IF(AND($A1172&lt;&gt;"",'算罪台'!$B$4&lt;&gt;"",ISNUMBER(SEARCH($A1172,'算罪台'!$B$4))),1,0)</f>
        <v/>
      </c>
      <c r="D1173" s="34">
        <f>IF(AND($A1172&lt;&gt;"",'算罪台'!$B$5&lt;&gt;"",ISNUMBER(SEARCH($A1172,'算罪台'!$B$5))),1,0)</f>
        <v/>
      </c>
      <c r="E1173" s="34">
        <f>IF(AND($A1172&lt;&gt;"",'算罪台'!$B$6&lt;&gt;"",ISNUMBER(SEARCH($A1172,'算罪台'!$B$6))),1,0)</f>
        <v/>
      </c>
    </row>
    <row r="1174">
      <c r="A1174" s="34" t="inlineStr">
        <is>
          <t>大量管制物品</t>
        </is>
      </c>
      <c r="B1174" s="34" t="inlineStr">
        <is>
          <t>非法持有大量管制物品罪</t>
        </is>
      </c>
      <c r="C1174" s="34">
        <f>IF(AND($A1173&lt;&gt;"",'算罪台'!$B$4&lt;&gt;"",ISNUMBER(SEARCH($A1173,'算罪台'!$B$4))),1,0)</f>
        <v/>
      </c>
      <c r="D1174" s="34">
        <f>IF(AND($A1173&lt;&gt;"",'算罪台'!$B$5&lt;&gt;"",ISNUMBER(SEARCH($A1173,'算罪台'!$B$5))),1,0)</f>
        <v/>
      </c>
      <c r="E1174" s="34">
        <f>IF(AND($A1173&lt;&gt;"",'算罪台'!$B$6&lt;&gt;"",ISNUMBER(SEARCH($A1173,'算罪台'!$B$6))),1,0)</f>
        <v/>
      </c>
    </row>
    <row r="1175">
      <c r="A1175" s="34" t="inlineStr">
        <is>
          <t>大量毒品</t>
        </is>
      </c>
      <c r="B1175" s="34" t="inlineStr">
        <is>
          <t>非法持有大量管制物品罪</t>
        </is>
      </c>
      <c r="C1175" s="34">
        <f>IF(AND($A1174&lt;&gt;"",'算罪台'!$B$4&lt;&gt;"",ISNUMBER(SEARCH($A1174,'算罪台'!$B$4))),1,0)</f>
        <v/>
      </c>
      <c r="D1175" s="34">
        <f>IF(AND($A1174&lt;&gt;"",'算罪台'!$B$5&lt;&gt;"",ISNUMBER(SEARCH($A1174,'算罪台'!$B$5))),1,0)</f>
        <v/>
      </c>
      <c r="E1175" s="34">
        <f>IF(AND($A1174&lt;&gt;"",'算罪台'!$B$6&lt;&gt;"",ISNUMBER(SEARCH($A1174,'算罪台'!$B$6))),1,0)</f>
        <v/>
      </c>
    </row>
    <row r="1176">
      <c r="A1176" s="34" t="inlineStr">
        <is>
          <t>分装毒品</t>
        </is>
      </c>
      <c r="B1176" s="34" t="inlineStr">
        <is>
          <t>非法持有大量管制物品罪</t>
        </is>
      </c>
      <c r="C1176" s="34">
        <f>IF(AND($A1175&lt;&gt;"",'算罪台'!$B$4&lt;&gt;"",ISNUMBER(SEARCH($A1175,'算罪台'!$B$4))),1,0)</f>
        <v/>
      </c>
      <c r="D1176" s="34">
        <f>IF(AND($A1175&lt;&gt;"",'算罪台'!$B$5&lt;&gt;"",ISNUMBER(SEARCH($A1175,'算罪台'!$B$5))),1,0)</f>
        <v/>
      </c>
      <c r="E1176" s="34">
        <f>IF(AND($A1175&lt;&gt;"",'算罪台'!$B$6&lt;&gt;"",ISNUMBER(SEARCH($A1175,'算罪台'!$B$6))),1,0)</f>
        <v/>
      </c>
    </row>
    <row r="1177">
      <c r="A1177" s="34" t="inlineStr">
        <is>
          <t>成批毒品</t>
        </is>
      </c>
      <c r="B1177" s="34" t="inlineStr">
        <is>
          <t>非法持有大量管制物品罪</t>
        </is>
      </c>
      <c r="C1177" s="34">
        <f>IF(AND($A1176&lt;&gt;"",'算罪台'!$B$4&lt;&gt;"",ISNUMBER(SEARCH($A1176,'算罪台'!$B$4))),1,0)</f>
        <v/>
      </c>
      <c r="D1177" s="34">
        <f>IF(AND($A1176&lt;&gt;"",'算罪台'!$B$5&lt;&gt;"",ISNUMBER(SEARCH($A1176,'算罪台'!$B$5))),1,0)</f>
        <v/>
      </c>
      <c r="E1177" s="34">
        <f>IF(AND($A1176&lt;&gt;"",'算罪台'!$B$6&lt;&gt;"",ISNUMBER(SEARCH($A1176,'算罪台'!$B$6))),1,0)</f>
        <v/>
      </c>
    </row>
    <row r="1178">
      <c r="A1178" s="34" t="inlineStr">
        <is>
          <t>整箱毒品</t>
        </is>
      </c>
      <c r="B1178" s="34" t="inlineStr">
        <is>
          <t>非法持有大量管制物品罪</t>
        </is>
      </c>
      <c r="C1178" s="34">
        <f>IF(AND($A1177&lt;&gt;"",'算罪台'!$B$4&lt;&gt;"",ISNUMBER(SEARCH($A1177,'算罪台'!$B$4))),1,0)</f>
        <v/>
      </c>
      <c r="D1178" s="34">
        <f>IF(AND($A1177&lt;&gt;"",'算罪台'!$B$5&lt;&gt;"",ISNUMBER(SEARCH($A1177,'算罪台'!$B$5))),1,0)</f>
        <v/>
      </c>
      <c r="E1178" s="34">
        <f>IF(AND($A1177&lt;&gt;"",'算罪台'!$B$6&lt;&gt;"",ISNUMBER(SEARCH($A1177,'算罪台'!$B$6))),1,0)</f>
        <v/>
      </c>
    </row>
    <row r="1179">
      <c r="A1179" s="34" t="inlineStr">
        <is>
          <t>一堆毒品</t>
        </is>
      </c>
      <c r="B1179" s="34" t="inlineStr">
        <is>
          <t>非法持有大量管制物品罪</t>
        </is>
      </c>
      <c r="C1179" s="34">
        <f>IF(AND($A1178&lt;&gt;"",'算罪台'!$B$4&lt;&gt;"",ISNUMBER(SEARCH($A1178,'算罪台'!$B$4))),1,0)</f>
        <v/>
      </c>
      <c r="D1179" s="34">
        <f>IF(AND($A1178&lt;&gt;"",'算罪台'!$B$5&lt;&gt;"",ISNUMBER(SEARCH($A1178,'算罪台'!$B$5))),1,0)</f>
        <v/>
      </c>
      <c r="E1179" s="34">
        <f>IF(AND($A1178&lt;&gt;"",'算罪台'!$B$6&lt;&gt;"",ISNUMBER(SEARCH($A1178,'算罪台'!$B$6))),1,0)</f>
        <v/>
      </c>
    </row>
    <row r="1180">
      <c r="A1180" s="34" t="inlineStr">
        <is>
          <t>大批毒品</t>
        </is>
      </c>
      <c r="B1180" s="34" t="inlineStr">
        <is>
          <t>非法持有大量管制物品罪</t>
        </is>
      </c>
      <c r="C1180" s="34">
        <f>IF(AND($A1179&lt;&gt;"",'算罪台'!$B$4&lt;&gt;"",ISNUMBER(SEARCH($A1179,'算罪台'!$B$4))),1,0)</f>
        <v/>
      </c>
      <c r="D1180" s="34">
        <f>IF(AND($A1179&lt;&gt;"",'算罪台'!$B$5&lt;&gt;"",ISNUMBER(SEARCH($A1179,'算罪台'!$B$5))),1,0)</f>
        <v/>
      </c>
      <c r="E1180" s="34">
        <f>IF(AND($A1179&lt;&gt;"",'算罪台'!$B$6&lt;&gt;"",ISNUMBER(SEARCH($A1179,'算罪台'!$B$6))),1,0)</f>
        <v/>
      </c>
    </row>
    <row r="1181">
      <c r="A1181" s="34" t="inlineStr">
        <is>
          <t>一大批货</t>
        </is>
      </c>
      <c r="B1181" s="34" t="inlineStr">
        <is>
          <t>非法持有大量管制物品罪</t>
        </is>
      </c>
      <c r="C1181" s="34">
        <f>IF(AND($A1180&lt;&gt;"",'算罪台'!$B$4&lt;&gt;"",ISNUMBER(SEARCH($A1180,'算罪台'!$B$4))),1,0)</f>
        <v/>
      </c>
      <c r="D1181" s="34">
        <f>IF(AND($A1180&lt;&gt;"",'算罪台'!$B$5&lt;&gt;"",ISNUMBER(SEARCH($A1180,'算罪台'!$B$5))),1,0)</f>
        <v/>
      </c>
      <c r="E1181" s="34">
        <f>IF(AND($A1180&lt;&gt;"",'算罪台'!$B$6&lt;&gt;"",ISNUMBER(SEARCH($A1180,'算罪台'!$B$6))),1,0)</f>
        <v/>
      </c>
    </row>
    <row r="1182">
      <c r="A1182" s="34" t="inlineStr">
        <is>
          <t>大量囤货</t>
        </is>
      </c>
      <c r="B1182" s="34" t="inlineStr">
        <is>
          <t>非法持有大量管制物品罪</t>
        </is>
      </c>
      <c r="C1182" s="34">
        <f>IF(AND($A1181&lt;&gt;"",'算罪台'!$B$4&lt;&gt;"",ISNUMBER(SEARCH($A1181,'算罪台'!$B$4))),1,0)</f>
        <v/>
      </c>
      <c r="D1182" s="34">
        <f>IF(AND($A1181&lt;&gt;"",'算罪台'!$B$5&lt;&gt;"",ISNUMBER(SEARCH($A1181,'算罪台'!$B$5))),1,0)</f>
        <v/>
      </c>
      <c r="E1182" s="34">
        <f>IF(AND($A1181&lt;&gt;"",'算罪台'!$B$6&lt;&gt;"",ISNUMBER(SEARCH($A1181,'算罪台'!$B$6))),1,0)</f>
        <v/>
      </c>
    </row>
    <row r="1183">
      <c r="A1183" s="34" t="inlineStr">
        <is>
          <t>囤毒</t>
        </is>
      </c>
      <c r="B1183" s="34" t="inlineStr">
        <is>
          <t>非法持有大量管制物品罪</t>
        </is>
      </c>
      <c r="C1183" s="34">
        <f>IF(AND($A1182&lt;&gt;"",'算罪台'!$B$4&lt;&gt;"",ISNUMBER(SEARCH($A1182,'算罪台'!$B$4))),1,0)</f>
        <v/>
      </c>
      <c r="D1183" s="34">
        <f>IF(AND($A1182&lt;&gt;"",'算罪台'!$B$5&lt;&gt;"",ISNUMBER(SEARCH($A1182,'算罪台'!$B$5))),1,0)</f>
        <v/>
      </c>
      <c r="E1183" s="34">
        <f>IF(AND($A1182&lt;&gt;"",'算罪台'!$B$6&lt;&gt;"",ISNUMBER(SEARCH($A1182,'算罪台'!$B$6))),1,0)</f>
        <v/>
      </c>
    </row>
    <row r="1184">
      <c r="A1184" s="34" t="inlineStr">
        <is>
          <t>囤大麻</t>
        </is>
      </c>
      <c r="B1184" s="34" t="inlineStr">
        <is>
          <t>非法持有大量管制物品罪</t>
        </is>
      </c>
      <c r="C1184" s="34">
        <f>IF(AND($A1183&lt;&gt;"",'算罪台'!$B$4&lt;&gt;"",ISNUMBER(SEARCH($A1183,'算罪台'!$B$4))),1,0)</f>
        <v/>
      </c>
      <c r="D1184" s="34">
        <f>IF(AND($A1183&lt;&gt;"",'算罪台'!$B$5&lt;&gt;"",ISNUMBER(SEARCH($A1183,'算罪台'!$B$5))),1,0)</f>
        <v/>
      </c>
      <c r="E1184" s="34">
        <f>IF(AND($A1183&lt;&gt;"",'算罪台'!$B$6&lt;&gt;"",ISNUMBER(SEARCH($A1183,'算罪台'!$B$6))),1,0)</f>
        <v/>
      </c>
    </row>
    <row r="1185">
      <c r="A1185" s="34" t="inlineStr">
        <is>
          <t>大批货</t>
        </is>
      </c>
      <c r="B1185" s="34" t="inlineStr">
        <is>
          <t>非法持有大量管制物品罪</t>
        </is>
      </c>
      <c r="C1185" s="34">
        <f>IF(AND($A1184&lt;&gt;"",'算罪台'!$B$4&lt;&gt;"",ISNUMBER(SEARCH($A1184,'算罪台'!$B$4))),1,0)</f>
        <v/>
      </c>
      <c r="D1185" s="34">
        <f>IF(AND($A1184&lt;&gt;"",'算罪台'!$B$5&lt;&gt;"",ISNUMBER(SEARCH($A1184,'算罪台'!$B$5))),1,0)</f>
        <v/>
      </c>
      <c r="E1185" s="34">
        <f>IF(AND($A1184&lt;&gt;"",'算罪台'!$B$6&lt;&gt;"",ISNUMBER(SEARCH($A1184,'算罪台'!$B$6))),1,0)</f>
        <v/>
      </c>
    </row>
    <row r="1186">
      <c r="A1186" s="34" t="inlineStr">
        <is>
          <t>整包毒品</t>
        </is>
      </c>
      <c r="B1186" s="34" t="inlineStr">
        <is>
          <t>非法持有大量管制物品罪</t>
        </is>
      </c>
      <c r="C1186" s="34">
        <f>IF(AND($A1185&lt;&gt;"",'算罪台'!$B$4&lt;&gt;"",ISNUMBER(SEARCH($A1185,'算罪台'!$B$4))),1,0)</f>
        <v/>
      </c>
      <c r="D1186" s="34">
        <f>IF(AND($A1185&lt;&gt;"",'算罪台'!$B$5&lt;&gt;"",ISNUMBER(SEARCH($A1185,'算罪台'!$B$5))),1,0)</f>
        <v/>
      </c>
      <c r="E1186" s="34">
        <f>IF(AND($A1185&lt;&gt;"",'算罪台'!$B$6&lt;&gt;"",ISNUMBER(SEARCH($A1185,'算罪台'!$B$6))),1,0)</f>
        <v/>
      </c>
    </row>
    <row r="1187">
      <c r="A1187" s="34" t="inlineStr">
        <is>
          <t>成批囤毒</t>
        </is>
      </c>
      <c r="B1187" s="34" t="inlineStr">
        <is>
          <t>非法持有大量管制物品罪</t>
        </is>
      </c>
      <c r="C1187" s="34">
        <f>IF(AND($A1186&lt;&gt;"",'算罪台'!$B$4&lt;&gt;"",ISNUMBER(SEARCH($A1186,'算罪台'!$B$4))),1,0)</f>
        <v/>
      </c>
      <c r="D1187" s="34">
        <f>IF(AND($A1186&lt;&gt;"",'算罪台'!$B$5&lt;&gt;"",ISNUMBER(SEARCH($A1186,'算罪台'!$B$5))),1,0)</f>
        <v/>
      </c>
      <c r="E1187" s="34">
        <f>IF(AND($A1186&lt;&gt;"",'算罪台'!$B$6&lt;&gt;"",ISNUMBER(SEARCH($A1186,'算罪台'!$B$6))),1,0)</f>
        <v/>
      </c>
    </row>
    <row r="1188">
      <c r="A1188" s="34" t="inlineStr">
        <is>
          <t>大量持毒</t>
        </is>
      </c>
      <c r="B1188" s="34" t="inlineStr">
        <is>
          <t>非法持有大量管制物品罪</t>
        </is>
      </c>
      <c r="C1188" s="34">
        <f>IF(AND($A1187&lt;&gt;"",'算罪台'!$B$4&lt;&gt;"",ISNUMBER(SEARCH($A1187,'算罪台'!$B$4))),1,0)</f>
        <v/>
      </c>
      <c r="D1188" s="34">
        <f>IF(AND($A1187&lt;&gt;"",'算罪台'!$B$5&lt;&gt;"",ISNUMBER(SEARCH($A1187,'算罪台'!$B$5))),1,0)</f>
        <v/>
      </c>
      <c r="E1188" s="34">
        <f>IF(AND($A1187&lt;&gt;"",'算罪台'!$B$6&lt;&gt;"",ISNUMBER(SEARCH($A1187,'算罪台'!$B$6))),1,0)</f>
        <v/>
      </c>
    </row>
    <row r="1189">
      <c r="A1189" s="34" t="inlineStr">
        <is>
          <t>持有大批毒品</t>
        </is>
      </c>
      <c r="B1189" s="34" t="inlineStr">
        <is>
          <t>非法持有大量管制物品罪</t>
        </is>
      </c>
      <c r="C1189" s="34">
        <f>IF(AND($A1188&lt;&gt;"",'算罪台'!$B$4&lt;&gt;"",ISNUMBER(SEARCH($A1188,'算罪台'!$B$4))),1,0)</f>
        <v/>
      </c>
      <c r="D1189" s="34">
        <f>IF(AND($A1188&lt;&gt;"",'算罪台'!$B$5&lt;&gt;"",ISNUMBER(SEARCH($A1188,'算罪台'!$B$5))),1,0)</f>
        <v/>
      </c>
      <c r="E1189" s="34">
        <f>IF(AND($A1188&lt;&gt;"",'算罪台'!$B$6&lt;&gt;"",ISNUMBER(SEARCH($A1188,'算罪台'!$B$6))),1,0)</f>
        <v/>
      </c>
    </row>
    <row r="1190">
      <c r="A1190" s="34" t="inlineStr">
        <is>
          <t>囤积毒品</t>
        </is>
      </c>
      <c r="B1190" s="34" t="inlineStr">
        <is>
          <t>非法持有大量管制物品罪</t>
        </is>
      </c>
      <c r="C1190" s="34">
        <f>IF(AND($A1189&lt;&gt;"",'算罪台'!$B$4&lt;&gt;"",ISNUMBER(SEARCH($A1189,'算罪台'!$B$4))),1,0)</f>
        <v/>
      </c>
      <c r="D1190" s="34">
        <f>IF(AND($A1189&lt;&gt;"",'算罪台'!$B$5&lt;&gt;"",ISNUMBER(SEARCH($A1189,'算罪台'!$B$5))),1,0)</f>
        <v/>
      </c>
      <c r="E1190" s="34">
        <f>IF(AND($A1189&lt;&gt;"",'算罪台'!$B$6&lt;&gt;"",ISNUMBER(SEARCH($A1189,'算罪台'!$B$6))),1,0)</f>
        <v/>
      </c>
    </row>
    <row r="1191">
      <c r="A1191" s="34" t="inlineStr">
        <is>
          <t>大批管制物品</t>
        </is>
      </c>
      <c r="B1191" s="34" t="inlineStr">
        <is>
          <t>非法持有大量管制物品罪</t>
        </is>
      </c>
      <c r="C1191" s="34">
        <f>IF(AND($A1190&lt;&gt;"",'算罪台'!$B$4&lt;&gt;"",ISNUMBER(SEARCH($A1190,'算罪台'!$B$4))),1,0)</f>
        <v/>
      </c>
      <c r="D1191" s="34">
        <f>IF(AND($A1190&lt;&gt;"",'算罪台'!$B$5&lt;&gt;"",ISNUMBER(SEARCH($A1190,'算罪台'!$B$5))),1,0)</f>
        <v/>
      </c>
      <c r="E1191" s="34">
        <f>IF(AND($A1190&lt;&gt;"",'算罪台'!$B$6&lt;&gt;"",ISNUMBER(SEARCH($A1190,'算罪台'!$B$6))),1,0)</f>
        <v/>
      </c>
    </row>
    <row r="1192">
      <c r="A1192" s="34" t="inlineStr">
        <is>
          <t>经营管制物品</t>
        </is>
      </c>
      <c r="B1192" s="34" t="inlineStr">
        <is>
          <t>非法经营和分发管制物品罪</t>
        </is>
      </c>
      <c r="C1192" s="34">
        <f>IF(AND($A1191&lt;&gt;"",'算罪台'!$B$4&lt;&gt;"",ISNUMBER(SEARCH($A1191,'算罪台'!$B$4))),1,0)</f>
        <v/>
      </c>
      <c r="D1192" s="34">
        <f>IF(AND($A1191&lt;&gt;"",'算罪台'!$B$5&lt;&gt;"",ISNUMBER(SEARCH($A1191,'算罪台'!$B$5))),1,0)</f>
        <v/>
      </c>
      <c r="E1192" s="34">
        <f>IF(AND($A1191&lt;&gt;"",'算罪台'!$B$6&lt;&gt;"",ISNUMBER(SEARCH($A1191,'算罪台'!$B$6))),1,0)</f>
        <v/>
      </c>
    </row>
    <row r="1193">
      <c r="A1193" s="34" t="inlineStr">
        <is>
          <t>分发毒品</t>
        </is>
      </c>
      <c r="B1193" s="34" t="inlineStr">
        <is>
          <t>非法经营和分发管制物品罪</t>
        </is>
      </c>
      <c r="C1193" s="34">
        <f>IF(AND($A1192&lt;&gt;"",'算罪台'!$B$4&lt;&gt;"",ISNUMBER(SEARCH($A1192,'算罪台'!$B$4))),1,0)</f>
        <v/>
      </c>
      <c r="D1193" s="34">
        <f>IF(AND($A1192&lt;&gt;"",'算罪台'!$B$5&lt;&gt;"",ISNUMBER(SEARCH($A1192,'算罪台'!$B$5))),1,0)</f>
        <v/>
      </c>
      <c r="E1193" s="34">
        <f>IF(AND($A1192&lt;&gt;"",'算罪台'!$B$6&lt;&gt;"",ISNUMBER(SEARCH($A1192,'算罪台'!$B$6))),1,0)</f>
        <v/>
      </c>
    </row>
    <row r="1194">
      <c r="A1194" s="34" t="inlineStr">
        <is>
          <t>贩毒据点</t>
        </is>
      </c>
      <c r="B1194" s="34" t="inlineStr">
        <is>
          <t>非法经营和分发管制物品罪</t>
        </is>
      </c>
      <c r="C1194" s="34">
        <f>IF(AND($A1193&lt;&gt;"",'算罪台'!$B$4&lt;&gt;"",ISNUMBER(SEARCH($A1193,'算罪台'!$B$4))),1,0)</f>
        <v/>
      </c>
      <c r="D1194" s="34">
        <f>IF(AND($A1193&lt;&gt;"",'算罪台'!$B$5&lt;&gt;"",ISNUMBER(SEARCH($A1193,'算罪台'!$B$5))),1,0)</f>
        <v/>
      </c>
      <c r="E1194" s="34">
        <f>IF(AND($A1193&lt;&gt;"",'算罪台'!$B$6&lt;&gt;"",ISNUMBER(SEARCH($A1193,'算罪台'!$B$6))),1,0)</f>
        <v/>
      </c>
    </row>
    <row r="1195">
      <c r="A1195" s="34" t="inlineStr">
        <is>
          <t>毒品窝点</t>
        </is>
      </c>
      <c r="B1195" s="34" t="inlineStr">
        <is>
          <t>非法经营和分发管制物品罪</t>
        </is>
      </c>
      <c r="C1195" s="34">
        <f>IF(AND($A1194&lt;&gt;"",'算罪台'!$B$4&lt;&gt;"",ISNUMBER(SEARCH($A1194,'算罪台'!$B$4))),1,0)</f>
        <v/>
      </c>
      <c r="D1195" s="34">
        <f>IF(AND($A1194&lt;&gt;"",'算罪台'!$B$5&lt;&gt;"",ISNUMBER(SEARCH($A1194,'算罪台'!$B$5))),1,0)</f>
        <v/>
      </c>
      <c r="E1195" s="34">
        <f>IF(AND($A1194&lt;&gt;"",'算罪台'!$B$6&lt;&gt;"",ISNUMBER(SEARCH($A1194,'算罪台'!$B$6))),1,0)</f>
        <v/>
      </c>
    </row>
    <row r="1196">
      <c r="A1196" s="34" t="inlineStr">
        <is>
          <t>开设毒品区域</t>
        </is>
      </c>
      <c r="B1196" s="34" t="inlineStr">
        <is>
          <t>非法经营和分发管制物品罪</t>
        </is>
      </c>
      <c r="C1196" s="34">
        <f>IF(AND($A1195&lt;&gt;"",'算罪台'!$B$4&lt;&gt;"",ISNUMBER(SEARCH($A1195,'算罪台'!$B$4))),1,0)</f>
        <v/>
      </c>
      <c r="D1196" s="34">
        <f>IF(AND($A1195&lt;&gt;"",'算罪台'!$B$5&lt;&gt;"",ISNUMBER(SEARCH($A1195,'算罪台'!$B$5))),1,0)</f>
        <v/>
      </c>
      <c r="E1196" s="34">
        <f>IF(AND($A1195&lt;&gt;"",'算罪台'!$B$6&lt;&gt;"",ISNUMBER(SEARCH($A1195,'算罪台'!$B$6))),1,0)</f>
        <v/>
      </c>
    </row>
    <row r="1197">
      <c r="A1197" s="34" t="inlineStr">
        <is>
          <t>卖毒品的店</t>
        </is>
      </c>
      <c r="B1197" s="34" t="inlineStr">
        <is>
          <t>非法经营和分发管制物品罪</t>
        </is>
      </c>
      <c r="C1197" s="34">
        <f>IF(AND($A1196&lt;&gt;"",'算罪台'!$B$4&lt;&gt;"",ISNUMBER(SEARCH($A1196,'算罪台'!$B$4))),1,0)</f>
        <v/>
      </c>
      <c r="D1197" s="34">
        <f>IF(AND($A1196&lt;&gt;"",'算罪台'!$B$5&lt;&gt;"",ISNUMBER(SEARCH($A1196,'算罪台'!$B$5))),1,0)</f>
        <v/>
      </c>
      <c r="E1197" s="34">
        <f>IF(AND($A1196&lt;&gt;"",'算罪台'!$B$6&lt;&gt;"",ISNUMBER(SEARCH($A1196,'算罪台'!$B$6))),1,0)</f>
        <v/>
      </c>
    </row>
    <row r="1198">
      <c r="A1198" s="34" t="inlineStr">
        <is>
          <t>开毒窝</t>
        </is>
      </c>
      <c r="B1198" s="34" t="inlineStr">
        <is>
          <t>非法经营和分发管制物品罪</t>
        </is>
      </c>
      <c r="C1198" s="34">
        <f>IF(AND($A1197&lt;&gt;"",'算罪台'!$B$4&lt;&gt;"",ISNUMBER(SEARCH($A1197,'算罪台'!$B$4))),1,0)</f>
        <v/>
      </c>
      <c r="D1198" s="34">
        <f>IF(AND($A1197&lt;&gt;"",'算罪台'!$B$5&lt;&gt;"",ISNUMBER(SEARCH($A1197,'算罪台'!$B$5))),1,0)</f>
        <v/>
      </c>
      <c r="E1198" s="34">
        <f>IF(AND($A1197&lt;&gt;"",'算罪台'!$B$6&lt;&gt;"",ISNUMBER(SEARCH($A1197,'算罪台'!$B$6))),1,0)</f>
        <v/>
      </c>
    </row>
    <row r="1199">
      <c r="A1199" s="34" t="inlineStr">
        <is>
          <t>搞分销</t>
        </is>
      </c>
      <c r="B1199" s="34" t="inlineStr">
        <is>
          <t>非法经营和分发管制物品罪</t>
        </is>
      </c>
      <c r="C1199" s="34">
        <f>IF(AND($A1198&lt;&gt;"",'算罪台'!$B$4&lt;&gt;"",ISNUMBER(SEARCH($A1198,'算罪台'!$B$4))),1,0)</f>
        <v/>
      </c>
      <c r="D1199" s="34">
        <f>IF(AND($A1198&lt;&gt;"",'算罪台'!$B$5&lt;&gt;"",ISNUMBER(SEARCH($A1198,'算罪台'!$B$5))),1,0)</f>
        <v/>
      </c>
      <c r="E1199" s="34">
        <f>IF(AND($A1198&lt;&gt;"",'算罪台'!$B$6&lt;&gt;"",ISNUMBER(SEARCH($A1198,'算罪台'!$B$6))),1,0)</f>
        <v/>
      </c>
    </row>
    <row r="1200">
      <c r="A1200" s="34" t="inlineStr">
        <is>
          <t>毒品分销</t>
        </is>
      </c>
      <c r="B1200" s="34" t="inlineStr">
        <is>
          <t>非法经营和分发管制物品罪</t>
        </is>
      </c>
      <c r="C1200" s="34">
        <f>IF(AND($A1199&lt;&gt;"",'算罪台'!$B$4&lt;&gt;"",ISNUMBER(SEARCH($A1199,'算罪台'!$B$4))),1,0)</f>
        <v/>
      </c>
      <c r="D1200" s="34">
        <f>IF(AND($A1199&lt;&gt;"",'算罪台'!$B$5&lt;&gt;"",ISNUMBER(SEARCH($A1199,'算罪台'!$B$5))),1,0)</f>
        <v/>
      </c>
      <c r="E1200" s="34">
        <f>IF(AND($A1199&lt;&gt;"",'算罪台'!$B$6&lt;&gt;"",ISNUMBER(SEARCH($A1199,'算罪台'!$B$6))),1,0)</f>
        <v/>
      </c>
    </row>
    <row r="1201">
      <c r="A1201" s="34" t="inlineStr">
        <is>
          <t>经营毒品</t>
        </is>
      </c>
      <c r="B1201" s="34" t="inlineStr">
        <is>
          <t>非法经营和分发管制物品罪</t>
        </is>
      </c>
      <c r="C1201" s="34">
        <f>IF(AND($A1200&lt;&gt;"",'算罪台'!$B$4&lt;&gt;"",ISNUMBER(SEARCH($A1200,'算罪台'!$B$4))),1,0)</f>
        <v/>
      </c>
      <c r="D1201" s="34">
        <f>IF(AND($A1200&lt;&gt;"",'算罪台'!$B$5&lt;&gt;"",ISNUMBER(SEARCH($A1200,'算罪台'!$B$5))),1,0)</f>
        <v/>
      </c>
      <c r="E1201" s="34">
        <f>IF(AND($A1200&lt;&gt;"",'算罪台'!$B$6&lt;&gt;"",ISNUMBER(SEARCH($A1200,'算罪台'!$B$6))),1,0)</f>
        <v/>
      </c>
    </row>
    <row r="1202">
      <c r="A1202" s="34" t="inlineStr">
        <is>
          <t>开毒品店</t>
        </is>
      </c>
      <c r="B1202" s="34" t="inlineStr">
        <is>
          <t>非法经营和分发管制物品罪</t>
        </is>
      </c>
      <c r="C1202" s="34">
        <f>IF(AND($A1201&lt;&gt;"",'算罪台'!$B$4&lt;&gt;"",ISNUMBER(SEARCH($A1201,'算罪台'!$B$4))),1,0)</f>
        <v/>
      </c>
      <c r="D1202" s="34">
        <f>IF(AND($A1201&lt;&gt;"",'算罪台'!$B$5&lt;&gt;"",ISNUMBER(SEARCH($A1201,'算罪台'!$B$5))),1,0)</f>
        <v/>
      </c>
      <c r="E1202" s="34">
        <f>IF(AND($A1201&lt;&gt;"",'算罪台'!$B$6&lt;&gt;"",ISNUMBER(SEARCH($A1201,'算罪台'!$B$6))),1,0)</f>
        <v/>
      </c>
    </row>
    <row r="1203">
      <c r="A1203" s="34" t="inlineStr">
        <is>
          <t>经营毒品生意</t>
        </is>
      </c>
      <c r="B1203" s="34" t="inlineStr">
        <is>
          <t>非法经营和分发管制物品罪</t>
        </is>
      </c>
      <c r="C1203" s="34">
        <f>IF(AND($A1202&lt;&gt;"",'算罪台'!$B$4&lt;&gt;"",ISNUMBER(SEARCH($A1202,'算罪台'!$B$4))),1,0)</f>
        <v/>
      </c>
      <c r="D1203" s="34">
        <f>IF(AND($A1202&lt;&gt;"",'算罪台'!$B$5&lt;&gt;"",ISNUMBER(SEARCH($A1202,'算罪台'!$B$5))),1,0)</f>
        <v/>
      </c>
      <c r="E1203" s="34">
        <f>IF(AND($A1202&lt;&gt;"",'算罪台'!$B$6&lt;&gt;"",ISNUMBER(SEARCH($A1202,'算罪台'!$B$6))),1,0)</f>
        <v/>
      </c>
    </row>
    <row r="1204">
      <c r="A1204" s="34" t="inlineStr">
        <is>
          <t>分销毒品</t>
        </is>
      </c>
      <c r="B1204" s="34" t="inlineStr">
        <is>
          <t>非法经营和分发管制物品罪</t>
        </is>
      </c>
      <c r="C1204" s="34">
        <f>IF(AND($A1203&lt;&gt;"",'算罪台'!$B$4&lt;&gt;"",ISNUMBER(SEARCH($A1203,'算罪台'!$B$4))),1,0)</f>
        <v/>
      </c>
      <c r="D1204" s="34">
        <f>IF(AND($A1203&lt;&gt;"",'算罪台'!$B$5&lt;&gt;"",ISNUMBER(SEARCH($A1203,'算罪台'!$B$5))),1,0)</f>
        <v/>
      </c>
      <c r="E1204" s="34">
        <f>IF(AND($A1203&lt;&gt;"",'算罪台'!$B$6&lt;&gt;"",ISNUMBER(SEARCH($A1203,'算罪台'!$B$6))),1,0)</f>
        <v/>
      </c>
    </row>
    <row r="1205">
      <c r="A1205" s="34" t="inlineStr">
        <is>
          <t>开设毒品交易</t>
        </is>
      </c>
      <c r="B1205" s="34" t="inlineStr">
        <is>
          <t>非法经营和分发管制物品罪</t>
        </is>
      </c>
      <c r="C1205" s="34">
        <f>IF(AND($A1204&lt;&gt;"",'算罪台'!$B$4&lt;&gt;"",ISNUMBER(SEARCH($A1204,'算罪台'!$B$4))),1,0)</f>
        <v/>
      </c>
      <c r="D1205" s="34">
        <f>IF(AND($A1204&lt;&gt;"",'算罪台'!$B$5&lt;&gt;"",ISNUMBER(SEARCH($A1204,'算罪台'!$B$5))),1,0)</f>
        <v/>
      </c>
      <c r="E1205" s="34">
        <f>IF(AND($A1204&lt;&gt;"",'算罪台'!$B$6&lt;&gt;"",ISNUMBER(SEARCH($A1204,'算罪台'!$B$6))),1,0)</f>
        <v/>
      </c>
    </row>
    <row r="1206">
      <c r="A1206" s="34" t="inlineStr">
        <is>
          <t>储存毒品贩卖</t>
        </is>
      </c>
      <c r="B1206" s="34" t="inlineStr">
        <is>
          <t>非法经营和分发管制物品罪</t>
        </is>
      </c>
      <c r="C1206" s="34">
        <f>IF(AND($A1205&lt;&gt;"",'算罪台'!$B$4&lt;&gt;"",ISNUMBER(SEARCH($A1205,'算罪台'!$B$4))),1,0)</f>
        <v/>
      </c>
      <c r="D1206" s="34">
        <f>IF(AND($A1205&lt;&gt;"",'算罪台'!$B$5&lt;&gt;"",ISNUMBER(SEARCH($A1205,'算罪台'!$B$5))),1,0)</f>
        <v/>
      </c>
      <c r="E1206" s="34">
        <f>IF(AND($A1205&lt;&gt;"",'算罪台'!$B$6&lt;&gt;"",ISNUMBER(SEARCH($A1205,'算罪台'!$B$6))),1,0)</f>
        <v/>
      </c>
    </row>
    <row r="1207">
      <c r="A1207" s="34" t="inlineStr">
        <is>
          <t>制造管制物品</t>
        </is>
      </c>
      <c r="B1207" s="34" t="inlineStr">
        <is>
          <t>非法制造管制物品罪</t>
        </is>
      </c>
      <c r="C1207" s="34">
        <f>IF(AND($A1206&lt;&gt;"",'算罪台'!$B$4&lt;&gt;"",ISNUMBER(SEARCH($A1206,'算罪台'!$B$4))),1,0)</f>
        <v/>
      </c>
      <c r="D1207" s="34">
        <f>IF(AND($A1206&lt;&gt;"",'算罪台'!$B$5&lt;&gt;"",ISNUMBER(SEARCH($A1206,'算罪台'!$B$5))),1,0)</f>
        <v/>
      </c>
      <c r="E1207" s="34">
        <f>IF(AND($A1206&lt;&gt;"",'算罪台'!$B$6&lt;&gt;"",ISNUMBER(SEARCH($A1206,'算罪台'!$B$6))),1,0)</f>
        <v/>
      </c>
    </row>
    <row r="1208">
      <c r="A1208" s="34" t="inlineStr">
        <is>
          <t>制毒</t>
        </is>
      </c>
      <c r="B1208" s="34" t="inlineStr">
        <is>
          <t>非法制造管制物品罪</t>
        </is>
      </c>
      <c r="C1208" s="34">
        <f>IF(AND($A1207&lt;&gt;"",'算罪台'!$B$4&lt;&gt;"",ISNUMBER(SEARCH($A1207,'算罪台'!$B$4))),1,0)</f>
        <v/>
      </c>
      <c r="D1208" s="34">
        <f>IF(AND($A1207&lt;&gt;"",'算罪台'!$B$5&lt;&gt;"",ISNUMBER(SEARCH($A1207,'算罪台'!$B$5))),1,0)</f>
        <v/>
      </c>
      <c r="E1208" s="34">
        <f>IF(AND($A1207&lt;&gt;"",'算罪台'!$B$6&lt;&gt;"",ISNUMBER(SEARCH($A1207,'算罪台'!$B$6))),1,0)</f>
        <v/>
      </c>
    </row>
    <row r="1209">
      <c r="A1209" s="34" t="inlineStr">
        <is>
          <t>生产毒品</t>
        </is>
      </c>
      <c r="B1209" s="34" t="inlineStr">
        <is>
          <t>非法制造管制物品罪</t>
        </is>
      </c>
      <c r="C1209" s="34">
        <f>IF(AND($A1208&lt;&gt;"",'算罪台'!$B$4&lt;&gt;"",ISNUMBER(SEARCH($A1208,'算罪台'!$B$4))),1,0)</f>
        <v/>
      </c>
      <c r="D1209" s="34">
        <f>IF(AND($A1208&lt;&gt;"",'算罪台'!$B$5&lt;&gt;"",ISNUMBER(SEARCH($A1208,'算罪台'!$B$5))),1,0)</f>
        <v/>
      </c>
      <c r="E1209" s="34">
        <f>IF(AND($A1208&lt;&gt;"",'算罪台'!$B$6&lt;&gt;"",ISNUMBER(SEARCH($A1208,'算罪台'!$B$6))),1,0)</f>
        <v/>
      </c>
    </row>
    <row r="1210">
      <c r="A1210" s="34" t="inlineStr">
        <is>
          <t>种植大麻</t>
        </is>
      </c>
      <c r="B1210" s="34" t="inlineStr">
        <is>
          <t>非法制造管制物品罪</t>
        </is>
      </c>
      <c r="C1210" s="34">
        <f>IF(AND($A1209&lt;&gt;"",'算罪台'!$B$4&lt;&gt;"",ISNUMBER(SEARCH($A1209,'算罪台'!$B$4))),1,0)</f>
        <v/>
      </c>
      <c r="D1210" s="34">
        <f>IF(AND($A1209&lt;&gt;"",'算罪台'!$B$5&lt;&gt;"",ISNUMBER(SEARCH($A1209,'算罪台'!$B$5))),1,0)</f>
        <v/>
      </c>
      <c r="E1210" s="34">
        <f>IF(AND($A1209&lt;&gt;"",'算罪台'!$B$6&lt;&gt;"",ISNUMBER(SEARCH($A1209,'算罪台'!$B$6))),1,0)</f>
        <v/>
      </c>
    </row>
    <row r="1211">
      <c r="A1211" s="34" t="inlineStr">
        <is>
          <t>制造毒品</t>
        </is>
      </c>
      <c r="B1211" s="34" t="inlineStr">
        <is>
          <t>非法制造管制物品罪</t>
        </is>
      </c>
      <c r="C1211" s="34">
        <f>IF(AND($A1210&lt;&gt;"",'算罪台'!$B$4&lt;&gt;"",ISNUMBER(SEARCH($A1210,'算罪台'!$B$4))),1,0)</f>
        <v/>
      </c>
      <c r="D1211" s="34">
        <f>IF(AND($A1210&lt;&gt;"",'算罪台'!$B$5&lt;&gt;"",ISNUMBER(SEARCH($A1210,'算罪台'!$B$5))),1,0)</f>
        <v/>
      </c>
      <c r="E1211" s="34">
        <f>IF(AND($A1210&lt;&gt;"",'算罪台'!$B$6&lt;&gt;"",ISNUMBER(SEARCH($A1210,'算罪台'!$B$6))),1,0)</f>
        <v/>
      </c>
    </row>
    <row r="1212">
      <c r="A1212" s="34" t="inlineStr">
        <is>
          <t>种大麻</t>
        </is>
      </c>
      <c r="B1212" s="34" t="inlineStr">
        <is>
          <t>非法制造管制物品罪</t>
        </is>
      </c>
      <c r="C1212" s="34">
        <f>IF(AND($A1211&lt;&gt;"",'算罪台'!$B$4&lt;&gt;"",ISNUMBER(SEARCH($A1211,'算罪台'!$B$4))),1,0)</f>
        <v/>
      </c>
      <c r="D1212" s="34">
        <f>IF(AND($A1211&lt;&gt;"",'算罪台'!$B$5&lt;&gt;"",ISNUMBER(SEARCH($A1211,'算罪台'!$B$5))),1,0)</f>
        <v/>
      </c>
      <c r="E1212" s="34">
        <f>IF(AND($A1211&lt;&gt;"",'算罪台'!$B$6&lt;&gt;"",ISNUMBER(SEARCH($A1211,'算罪台'!$B$6))),1,0)</f>
        <v/>
      </c>
    </row>
    <row r="1213">
      <c r="A1213" s="34" t="inlineStr">
        <is>
          <t>煮毒</t>
        </is>
      </c>
      <c r="B1213" s="34" t="inlineStr">
        <is>
          <t>非法制造管制物品罪</t>
        </is>
      </c>
      <c r="C1213" s="34">
        <f>IF(AND($A1212&lt;&gt;"",'算罪台'!$B$4&lt;&gt;"",ISNUMBER(SEARCH($A1212,'算罪台'!$B$4))),1,0)</f>
        <v/>
      </c>
      <c r="D1213" s="34">
        <f>IF(AND($A1212&lt;&gt;"",'算罪台'!$B$5&lt;&gt;"",ISNUMBER(SEARCH($A1212,'算罪台'!$B$5))),1,0)</f>
        <v/>
      </c>
      <c r="E1213" s="34">
        <f>IF(AND($A1212&lt;&gt;"",'算罪台'!$B$6&lt;&gt;"",ISNUMBER(SEARCH($A1212,'算罪台'!$B$6))),1,0)</f>
        <v/>
      </c>
    </row>
    <row r="1214">
      <c r="A1214" s="34" t="inlineStr">
        <is>
          <t>炼毒</t>
        </is>
      </c>
      <c r="B1214" s="34" t="inlineStr">
        <is>
          <t>非法制造管制物品罪</t>
        </is>
      </c>
      <c r="C1214" s="34">
        <f>IF(AND($A1213&lt;&gt;"",'算罪台'!$B$4&lt;&gt;"",ISNUMBER(SEARCH($A1213,'算罪台'!$B$4))),1,0)</f>
        <v/>
      </c>
      <c r="D1214" s="34">
        <f>IF(AND($A1213&lt;&gt;"",'算罪台'!$B$5&lt;&gt;"",ISNUMBER(SEARCH($A1213,'算罪台'!$B$5))),1,0)</f>
        <v/>
      </c>
      <c r="E1214" s="34">
        <f>IF(AND($A1213&lt;&gt;"",'算罪台'!$B$6&lt;&gt;"",ISNUMBER(SEARCH($A1213,'算罪台'!$B$6))),1,0)</f>
        <v/>
      </c>
    </row>
    <row r="1215">
      <c r="A1215" s="34" t="inlineStr">
        <is>
          <t>熬制毒品</t>
        </is>
      </c>
      <c r="B1215" s="34" t="inlineStr">
        <is>
          <t>非法制造管制物品罪</t>
        </is>
      </c>
      <c r="C1215" s="34">
        <f>IF(AND($A1214&lt;&gt;"",'算罪台'!$B$4&lt;&gt;"",ISNUMBER(SEARCH($A1214,'算罪台'!$B$4))),1,0)</f>
        <v/>
      </c>
      <c r="D1215" s="34">
        <f>IF(AND($A1214&lt;&gt;"",'算罪台'!$B$5&lt;&gt;"",ISNUMBER(SEARCH($A1214,'算罪台'!$B$5))),1,0)</f>
        <v/>
      </c>
      <c r="E1215" s="34">
        <f>IF(AND($A1214&lt;&gt;"",'算罪台'!$B$6&lt;&gt;"",ISNUMBER(SEARCH($A1214,'算罪台'!$B$6))),1,0)</f>
        <v/>
      </c>
    </row>
    <row r="1216">
      <c r="A1216" s="34" t="inlineStr">
        <is>
          <t>自制毒品</t>
        </is>
      </c>
      <c r="B1216" s="34" t="inlineStr">
        <is>
          <t>非法制造管制物品罪</t>
        </is>
      </c>
      <c r="C1216" s="34">
        <f>IF(AND($A1215&lt;&gt;"",'算罪台'!$B$4&lt;&gt;"",ISNUMBER(SEARCH($A1215,'算罪台'!$B$4))),1,0)</f>
        <v/>
      </c>
      <c r="D1216" s="34">
        <f>IF(AND($A1215&lt;&gt;"",'算罪台'!$B$5&lt;&gt;"",ISNUMBER(SEARCH($A1215,'算罪台'!$B$5))),1,0)</f>
        <v/>
      </c>
      <c r="E1216" s="34">
        <f>IF(AND($A1215&lt;&gt;"",'算罪台'!$B$6&lt;&gt;"",ISNUMBER(SEARCH($A1215,'算罪台'!$B$6))),1,0)</f>
        <v/>
      </c>
    </row>
    <row r="1217">
      <c r="A1217" s="34" t="inlineStr">
        <is>
          <t>加工毒品</t>
        </is>
      </c>
      <c r="B1217" s="34" t="inlineStr">
        <is>
          <t>非法制造管制物品罪</t>
        </is>
      </c>
      <c r="C1217" s="34">
        <f>IF(AND($A1216&lt;&gt;"",'算罪台'!$B$4&lt;&gt;"",ISNUMBER(SEARCH($A1216,'算罪台'!$B$4))),1,0)</f>
        <v/>
      </c>
      <c r="D1217" s="34">
        <f>IF(AND($A1216&lt;&gt;"",'算罪台'!$B$5&lt;&gt;"",ISNUMBER(SEARCH($A1216,'算罪台'!$B$5))),1,0)</f>
        <v/>
      </c>
      <c r="E1217" s="34">
        <f>IF(AND($A1216&lt;&gt;"",'算罪台'!$B$6&lt;&gt;"",ISNUMBER(SEARCH($A1216,'算罪台'!$B$6))),1,0)</f>
        <v/>
      </c>
    </row>
    <row r="1218">
      <c r="A1218" s="34" t="inlineStr">
        <is>
          <t>种植毒品</t>
        </is>
      </c>
      <c r="B1218" s="34" t="inlineStr">
        <is>
          <t>非法制造管制物品罪</t>
        </is>
      </c>
      <c r="C1218" s="34">
        <f>IF(AND($A1217&lt;&gt;"",'算罪台'!$B$4&lt;&gt;"",ISNUMBER(SEARCH($A1217,'算罪台'!$B$4))),1,0)</f>
        <v/>
      </c>
      <c r="D1218" s="34">
        <f>IF(AND($A1217&lt;&gt;"",'算罪台'!$B$5&lt;&gt;"",ISNUMBER(SEARCH($A1217,'算罪台'!$B$5))),1,0)</f>
        <v/>
      </c>
      <c r="E1218" s="34">
        <f>IF(AND($A1217&lt;&gt;"",'算罪台'!$B$6&lt;&gt;"",ISNUMBER(SEARCH($A1217,'算罪台'!$B$6))),1,0)</f>
        <v/>
      </c>
    </row>
    <row r="1219">
      <c r="A1219" s="34" t="inlineStr">
        <is>
          <t>提炼毒品</t>
        </is>
      </c>
      <c r="B1219" s="34" t="inlineStr">
        <is>
          <t>非法制造管制物品罪</t>
        </is>
      </c>
      <c r="C1219" s="34">
        <f>IF(AND($A1218&lt;&gt;"",'算罪台'!$B$4&lt;&gt;"",ISNUMBER(SEARCH($A1218,'算罪台'!$B$4))),1,0)</f>
        <v/>
      </c>
      <c r="D1219" s="34">
        <f>IF(AND($A1218&lt;&gt;"",'算罪台'!$B$5&lt;&gt;"",ISNUMBER(SEARCH($A1218,'算罪台'!$B$5))),1,0)</f>
        <v/>
      </c>
      <c r="E1219" s="34">
        <f>IF(AND($A1218&lt;&gt;"",'算罪台'!$B$6&lt;&gt;"",ISNUMBER(SEARCH($A1218,'算罪台'!$B$6))),1,0)</f>
        <v/>
      </c>
    </row>
    <row r="1220">
      <c r="A1220" s="34" t="inlineStr">
        <is>
          <t>贩卖管制物品</t>
        </is>
      </c>
      <c r="B1220" s="34" t="inlineStr">
        <is>
          <t>非法贩卖管制物品罪</t>
        </is>
      </c>
      <c r="C1220" s="34">
        <f>IF(AND($A1219&lt;&gt;"",'算罪台'!$B$4&lt;&gt;"",ISNUMBER(SEARCH($A1219,'算罪台'!$B$4))),1,0)</f>
        <v/>
      </c>
      <c r="D1220" s="34">
        <f>IF(AND($A1219&lt;&gt;"",'算罪台'!$B$5&lt;&gt;"",ISNUMBER(SEARCH($A1219,'算罪台'!$B$5))),1,0)</f>
        <v/>
      </c>
      <c r="E1220" s="34">
        <f>IF(AND($A1219&lt;&gt;"",'算罪台'!$B$6&lt;&gt;"",ISNUMBER(SEARCH($A1219,'算罪台'!$B$6))),1,0)</f>
        <v/>
      </c>
    </row>
    <row r="1221">
      <c r="A1221" s="34" t="inlineStr">
        <is>
          <t>贩毒</t>
        </is>
      </c>
      <c r="B1221" s="34" t="inlineStr">
        <is>
          <t>非法贩卖管制物品罪</t>
        </is>
      </c>
      <c r="C1221" s="34">
        <f>IF(AND($A1220&lt;&gt;"",'算罪台'!$B$4&lt;&gt;"",ISNUMBER(SEARCH($A1220,'算罪台'!$B$4))),1,0)</f>
        <v/>
      </c>
      <c r="D1221" s="34">
        <f>IF(AND($A1220&lt;&gt;"",'算罪台'!$B$5&lt;&gt;"",ISNUMBER(SEARCH($A1220,'算罪台'!$B$5))),1,0)</f>
        <v/>
      </c>
      <c r="E1221" s="34">
        <f>IF(AND($A1220&lt;&gt;"",'算罪台'!$B$6&lt;&gt;"",ISNUMBER(SEARCH($A1220,'算罪台'!$B$6))),1,0)</f>
        <v/>
      </c>
    </row>
    <row r="1222">
      <c r="A1222" s="34" t="inlineStr">
        <is>
          <t>卖毒品</t>
        </is>
      </c>
      <c r="B1222" s="34" t="inlineStr">
        <is>
          <t>非法贩卖管制物品罪</t>
        </is>
      </c>
      <c r="C1222" s="34">
        <f>IF(AND($A1221&lt;&gt;"",'算罪台'!$B$4&lt;&gt;"",ISNUMBER(SEARCH($A1221,'算罪台'!$B$4))),1,0)</f>
        <v/>
      </c>
      <c r="D1222" s="34">
        <f>IF(AND($A1221&lt;&gt;"",'算罪台'!$B$5&lt;&gt;"",ISNUMBER(SEARCH($A1221,'算罪台'!$B$5))),1,0)</f>
        <v/>
      </c>
      <c r="E1222" s="34">
        <f>IF(AND($A1221&lt;&gt;"",'算罪台'!$B$6&lt;&gt;"",ISNUMBER(SEARCH($A1221,'算罪台'!$B$6))),1,0)</f>
        <v/>
      </c>
    </row>
    <row r="1223">
      <c r="A1223" s="34" t="inlineStr">
        <is>
          <t>运输毒品</t>
        </is>
      </c>
      <c r="B1223" s="34" t="inlineStr">
        <is>
          <t>非法贩卖管制物品罪</t>
        </is>
      </c>
      <c r="C1223" s="34">
        <f>IF(AND($A1222&lt;&gt;"",'算罪台'!$B$4&lt;&gt;"",ISNUMBER(SEARCH($A1222,'算罪台'!$B$4))),1,0)</f>
        <v/>
      </c>
      <c r="D1223" s="34">
        <f>IF(AND($A1222&lt;&gt;"",'算罪台'!$B$5&lt;&gt;"",ISNUMBER(SEARCH($A1222,'算罪台'!$B$5))),1,0)</f>
        <v/>
      </c>
      <c r="E1223" s="34">
        <f>IF(AND($A1222&lt;&gt;"",'算罪台'!$B$6&lt;&gt;"",ISNUMBER(SEARCH($A1222,'算罪台'!$B$6))),1,0)</f>
        <v/>
      </c>
    </row>
    <row r="1224">
      <c r="A1224" s="34" t="inlineStr">
        <is>
          <t>贩卖毒品</t>
        </is>
      </c>
      <c r="B1224" s="34" t="inlineStr">
        <is>
          <t>非法贩卖管制物品罪</t>
        </is>
      </c>
      <c r="C1224" s="34">
        <f>IF(AND($A1223&lt;&gt;"",'算罪台'!$B$4&lt;&gt;"",ISNUMBER(SEARCH($A1223,'算罪台'!$B$4))),1,0)</f>
        <v/>
      </c>
      <c r="D1224" s="34">
        <f>IF(AND($A1223&lt;&gt;"",'算罪台'!$B$5&lt;&gt;"",ISNUMBER(SEARCH($A1223,'算罪台'!$B$5))),1,0)</f>
        <v/>
      </c>
      <c r="E1224" s="34">
        <f>IF(AND($A1223&lt;&gt;"",'算罪台'!$B$6&lt;&gt;"",ISNUMBER(SEARCH($A1223,'算罪台'!$B$6))),1,0)</f>
        <v/>
      </c>
    </row>
    <row r="1225">
      <c r="A1225" s="34" t="inlineStr">
        <is>
          <t>运毒</t>
        </is>
      </c>
      <c r="B1225" s="34" t="inlineStr">
        <is>
          <t>非法贩卖管制物品罪</t>
        </is>
      </c>
      <c r="C1225" s="34">
        <f>IF(AND($A1224&lt;&gt;"",'算罪台'!$B$4&lt;&gt;"",ISNUMBER(SEARCH($A1224,'算罪台'!$B$4))),1,0)</f>
        <v/>
      </c>
      <c r="D1225" s="34">
        <f>IF(AND($A1224&lt;&gt;"",'算罪台'!$B$5&lt;&gt;"",ISNUMBER(SEARCH($A1224,'算罪台'!$B$5))),1,0)</f>
        <v/>
      </c>
      <c r="E1225" s="34">
        <f>IF(AND($A1224&lt;&gt;"",'算罪台'!$B$6&lt;&gt;"",ISNUMBER(SEARCH($A1224,'算罪台'!$B$6))),1,0)</f>
        <v/>
      </c>
    </row>
    <row r="1226">
      <c r="A1226" s="34" t="inlineStr">
        <is>
          <t>送毒品</t>
        </is>
      </c>
      <c r="B1226" s="34" t="inlineStr">
        <is>
          <t>非法贩卖管制物品罪</t>
        </is>
      </c>
      <c r="C1226" s="34">
        <f>IF(AND($A1225&lt;&gt;"",'算罪台'!$B$4&lt;&gt;"",ISNUMBER(SEARCH($A1225,'算罪台'!$B$4))),1,0)</f>
        <v/>
      </c>
      <c r="D1226" s="34">
        <f>IF(AND($A1225&lt;&gt;"",'算罪台'!$B$5&lt;&gt;"",ISNUMBER(SEARCH($A1225,'算罪台'!$B$5))),1,0)</f>
        <v/>
      </c>
      <c r="E1226" s="34">
        <f>IF(AND($A1225&lt;&gt;"",'算罪台'!$B$6&lt;&gt;"",ISNUMBER(SEARCH($A1225,'算罪台'!$B$6))),1,0)</f>
        <v/>
      </c>
    </row>
    <row r="1227">
      <c r="A1227" s="34" t="inlineStr">
        <is>
          <t>倒卖毒品</t>
        </is>
      </c>
      <c r="B1227" s="34" t="inlineStr">
        <is>
          <t>非法贩卖管制物品罪</t>
        </is>
      </c>
      <c r="C1227" s="34">
        <f>IF(AND($A1226&lt;&gt;"",'算罪台'!$B$4&lt;&gt;"",ISNUMBER(SEARCH($A1226,'算罪台'!$B$4))),1,0)</f>
        <v/>
      </c>
      <c r="D1227" s="34">
        <f>IF(AND($A1226&lt;&gt;"",'算罪台'!$B$5&lt;&gt;"",ISNUMBER(SEARCH($A1226,'算罪台'!$B$5))),1,0)</f>
        <v/>
      </c>
      <c r="E1227" s="34">
        <f>IF(AND($A1226&lt;&gt;"",'算罪台'!$B$6&lt;&gt;"",ISNUMBER(SEARCH($A1226,'算罪台'!$B$6))),1,0)</f>
        <v/>
      </c>
    </row>
    <row r="1228">
      <c r="A1228" s="34" t="inlineStr">
        <is>
          <t>卖白粉</t>
        </is>
      </c>
      <c r="B1228" s="34" t="inlineStr">
        <is>
          <t>非法贩卖管制物品罪</t>
        </is>
      </c>
      <c r="C1228" s="34">
        <f>IF(AND($A1227&lt;&gt;"",'算罪台'!$B$4&lt;&gt;"",ISNUMBER(SEARCH($A1227,'算罪台'!$B$4))),1,0)</f>
        <v/>
      </c>
      <c r="D1228" s="34">
        <f>IF(AND($A1227&lt;&gt;"",'算罪台'!$B$5&lt;&gt;"",ISNUMBER(SEARCH($A1227,'算罪台'!$B$5))),1,0)</f>
        <v/>
      </c>
      <c r="E1228" s="34">
        <f>IF(AND($A1227&lt;&gt;"",'算罪台'!$B$6&lt;&gt;"",ISNUMBER(SEARCH($A1227,'算罪台'!$B$6))),1,0)</f>
        <v/>
      </c>
    </row>
    <row r="1229">
      <c r="A1229" s="34" t="inlineStr">
        <is>
          <t>卖大麻</t>
        </is>
      </c>
      <c r="B1229" s="34" t="inlineStr">
        <is>
          <t>非法贩卖管制物品罪</t>
        </is>
      </c>
      <c r="C1229" s="34">
        <f>IF(AND($A1228&lt;&gt;"",'算罪台'!$B$4&lt;&gt;"",ISNUMBER(SEARCH($A1228,'算罪台'!$B$4))),1,0)</f>
        <v/>
      </c>
      <c r="D1229" s="34">
        <f>IF(AND($A1228&lt;&gt;"",'算罪台'!$B$5&lt;&gt;"",ISNUMBER(SEARCH($A1228,'算罪台'!$B$5))),1,0)</f>
        <v/>
      </c>
      <c r="E1229" s="34">
        <f>IF(AND($A1228&lt;&gt;"",'算罪台'!$B$6&lt;&gt;"",ISNUMBER(SEARCH($A1228,'算罪台'!$B$6))),1,0)</f>
        <v/>
      </c>
    </row>
    <row r="1230">
      <c r="A1230" s="34" t="inlineStr">
        <is>
          <t>倒卖毒</t>
        </is>
      </c>
      <c r="B1230" s="34" t="inlineStr">
        <is>
          <t>非法贩卖管制物品罪</t>
        </is>
      </c>
      <c r="C1230" s="34">
        <f>IF(AND($A1229&lt;&gt;"",'算罪台'!$B$4&lt;&gt;"",ISNUMBER(SEARCH($A1229,'算罪台'!$B$4))),1,0)</f>
        <v/>
      </c>
      <c r="D1230" s="34">
        <f>IF(AND($A1229&lt;&gt;"",'算罪台'!$B$5&lt;&gt;"",ISNUMBER(SEARCH($A1229,'算罪台'!$B$5))),1,0)</f>
        <v/>
      </c>
      <c r="E1230" s="34">
        <f>IF(AND($A1229&lt;&gt;"",'算罪台'!$B$6&lt;&gt;"",ISNUMBER(SEARCH($A1229,'算罪台'!$B$6))),1,0)</f>
        <v/>
      </c>
    </row>
    <row r="1231">
      <c r="A1231" s="34" t="inlineStr">
        <is>
          <t>卖毒</t>
        </is>
      </c>
      <c r="B1231" s="34" t="inlineStr">
        <is>
          <t>非法贩卖管制物品罪</t>
        </is>
      </c>
      <c r="C1231" s="34">
        <f>IF(AND($A1230&lt;&gt;"",'算罪台'!$B$4&lt;&gt;"",ISNUMBER(SEARCH($A1230,'算罪台'!$B$4))),1,0)</f>
        <v/>
      </c>
      <c r="D1231" s="34">
        <f>IF(AND($A1230&lt;&gt;"",'算罪台'!$B$5&lt;&gt;"",ISNUMBER(SEARCH($A1230,'算罪台'!$B$5))),1,0)</f>
        <v/>
      </c>
      <c r="E1231" s="34">
        <f>IF(AND($A1230&lt;&gt;"",'算罪台'!$B$6&lt;&gt;"",ISNUMBER(SEARCH($A1230,'算罪台'!$B$6))),1,0)</f>
        <v/>
      </c>
    </row>
    <row r="1232">
      <c r="A1232" s="34" t="inlineStr">
        <is>
          <t>贩货卖毒</t>
        </is>
      </c>
      <c r="B1232" s="34" t="inlineStr">
        <is>
          <t>非法贩卖管制物品罪</t>
        </is>
      </c>
      <c r="C1232" s="34">
        <f>IF(AND($A1231&lt;&gt;"",'算罪台'!$B$4&lt;&gt;"",ISNUMBER(SEARCH($A1231,'算罪台'!$B$4))),1,0)</f>
        <v/>
      </c>
      <c r="D1232" s="34">
        <f>IF(AND($A1231&lt;&gt;"",'算罪台'!$B$5&lt;&gt;"",ISNUMBER(SEARCH($A1231,'算罪台'!$B$5))),1,0)</f>
        <v/>
      </c>
      <c r="E1232" s="34">
        <f>IF(AND($A1231&lt;&gt;"",'算罪台'!$B$6&lt;&gt;"",ISNUMBER(SEARCH($A1231,'算罪台'!$B$6))),1,0)</f>
        <v/>
      </c>
    </row>
    <row r="1233">
      <c r="A1233" s="34" t="inlineStr">
        <is>
          <t>贩卖白粉</t>
        </is>
      </c>
      <c r="B1233" s="34" t="inlineStr">
        <is>
          <t>非法贩卖管制物品罪</t>
        </is>
      </c>
      <c r="C1233" s="34">
        <f>IF(AND($A1232&lt;&gt;"",'算罪台'!$B$4&lt;&gt;"",ISNUMBER(SEARCH($A1232,'算罪台'!$B$4))),1,0)</f>
        <v/>
      </c>
      <c r="D1233" s="34">
        <f>IF(AND($A1232&lt;&gt;"",'算罪台'!$B$5&lt;&gt;"",ISNUMBER(SEARCH($A1232,'算罪台'!$B$5))),1,0)</f>
        <v/>
      </c>
      <c r="E1233" s="34">
        <f>IF(AND($A1232&lt;&gt;"",'算罪台'!$B$6&lt;&gt;"",ISNUMBER(SEARCH($A1232,'算罪台'!$B$6))),1,0)</f>
        <v/>
      </c>
    </row>
    <row r="1234">
      <c r="A1234" s="34" t="inlineStr">
        <is>
          <t>出售毒品</t>
        </is>
      </c>
      <c r="B1234" s="34" t="inlineStr">
        <is>
          <t>非法贩卖管制物品罪</t>
        </is>
      </c>
      <c r="C1234" s="34">
        <f>IF(AND($A1233&lt;&gt;"",'算罪台'!$B$4&lt;&gt;"",ISNUMBER(SEARCH($A1233,'算罪台'!$B$4))),1,0)</f>
        <v/>
      </c>
      <c r="D1234" s="34">
        <f>IF(AND($A1233&lt;&gt;"",'算罪台'!$B$5&lt;&gt;"",ISNUMBER(SEARCH($A1233,'算罪台'!$B$5))),1,0)</f>
        <v/>
      </c>
      <c r="E1234" s="34">
        <f>IF(AND($A1233&lt;&gt;"",'算罪台'!$B$6&lt;&gt;"",ISNUMBER(SEARCH($A1233,'算罪台'!$B$6))),1,0)</f>
        <v/>
      </c>
    </row>
    <row r="1235">
      <c r="A1235" s="34" t="inlineStr">
        <is>
          <t>非法卖毒</t>
        </is>
      </c>
      <c r="B1235" s="34" t="inlineStr">
        <is>
          <t>非法贩卖管制物品罪</t>
        </is>
      </c>
      <c r="C1235" s="34">
        <f>IF(AND($A1234&lt;&gt;"",'算罪台'!$B$4&lt;&gt;"",ISNUMBER(SEARCH($A1234,'算罪台'!$B$4))),1,0)</f>
        <v/>
      </c>
      <c r="D1235" s="34">
        <f>IF(AND($A1234&lt;&gt;"",'算罪台'!$B$5&lt;&gt;"",ISNUMBER(SEARCH($A1234,'算罪台'!$B$5))),1,0)</f>
        <v/>
      </c>
      <c r="E1235" s="34">
        <f>IF(AND($A1234&lt;&gt;"",'算罪台'!$B$6&lt;&gt;"",ISNUMBER(SEARCH($A1234,'算罪台'!$B$6))),1,0)</f>
        <v/>
      </c>
    </row>
    <row r="1236">
      <c r="A1236" s="34" t="inlineStr">
        <is>
          <t>毒品交易</t>
        </is>
      </c>
      <c r="B1236" s="34" t="inlineStr">
        <is>
          <t>非法贩卖管制物品罪</t>
        </is>
      </c>
      <c r="C1236" s="34">
        <f>IF(AND($A1235&lt;&gt;"",'算罪台'!$B$4&lt;&gt;"",ISNUMBER(SEARCH($A1235,'算罪台'!$B$4))),1,0)</f>
        <v/>
      </c>
      <c r="D1236" s="34">
        <f>IF(AND($A1235&lt;&gt;"",'算罪台'!$B$5&lt;&gt;"",ISNUMBER(SEARCH($A1235,'算罪台'!$B$5))),1,0)</f>
        <v/>
      </c>
      <c r="E1236" s="34">
        <f>IF(AND($A1235&lt;&gt;"",'算罪台'!$B$6&lt;&gt;"",ISNUMBER(SEARCH($A1235,'算罪台'!$B$6))),1,0)</f>
        <v/>
      </c>
    </row>
    <row r="1237">
      <c r="A1237" s="34" t="inlineStr">
        <is>
          <t>卖出毒品</t>
        </is>
      </c>
      <c r="B1237" s="34" t="inlineStr">
        <is>
          <t>非法贩卖管制物品罪</t>
        </is>
      </c>
      <c r="C1237" s="34">
        <f>IF(AND($A1236&lt;&gt;"",'算罪台'!$B$4&lt;&gt;"",ISNUMBER(SEARCH($A1236,'算罪台'!$B$4))),1,0)</f>
        <v/>
      </c>
      <c r="D1237" s="34">
        <f>IF(AND($A1236&lt;&gt;"",'算罪台'!$B$5&lt;&gt;"",ISNUMBER(SEARCH($A1236,'算罪台'!$B$5))),1,0)</f>
        <v/>
      </c>
      <c r="E1237" s="34">
        <f>IF(AND($A1236&lt;&gt;"",'算罪台'!$B$6&lt;&gt;"",ISNUMBER(SEARCH($A1236,'算罪台'!$B$6))),1,0)</f>
        <v/>
      </c>
    </row>
    <row r="1238">
      <c r="A1238" s="34" t="inlineStr">
        <is>
          <t>有组织犯罪</t>
        </is>
      </c>
      <c r="B1238" s="34" t="inlineStr">
        <is>
          <t>有组织犯罪</t>
        </is>
      </c>
      <c r="C1238" s="34">
        <f>IF(AND($A1237&lt;&gt;"",'算罪台'!$B$4&lt;&gt;"",ISNUMBER(SEARCH($A1237,'算罪台'!$B$4))),1,0)</f>
        <v/>
      </c>
      <c r="D1238" s="34">
        <f>IF(AND($A1237&lt;&gt;"",'算罪台'!$B$5&lt;&gt;"",ISNUMBER(SEARCH($A1237,'算罪台'!$B$5))),1,0)</f>
        <v/>
      </c>
      <c r="E1238" s="34">
        <f>IF(AND($A1237&lt;&gt;"",'算罪台'!$B$6&lt;&gt;"",ISNUMBER(SEARCH($A1237,'算罪台'!$B$6))),1,0)</f>
        <v/>
      </c>
    </row>
    <row r="1239">
      <c r="A1239" s="34" t="inlineStr">
        <is>
          <t>团伙犯罪</t>
        </is>
      </c>
      <c r="B1239" s="34" t="inlineStr">
        <is>
          <t>有组织犯罪</t>
        </is>
      </c>
      <c r="C1239" s="34">
        <f>IF(AND($A1238&lt;&gt;"",'算罪台'!$B$4&lt;&gt;"",ISNUMBER(SEARCH($A1238,'算罪台'!$B$4))),1,0)</f>
        <v/>
      </c>
      <c r="D1239" s="34">
        <f>IF(AND($A1238&lt;&gt;"",'算罪台'!$B$5&lt;&gt;"",ISNUMBER(SEARCH($A1238,'算罪台'!$B$5))),1,0)</f>
        <v/>
      </c>
      <c r="E1239" s="34">
        <f>IF(AND($A1238&lt;&gt;"",'算罪台'!$B$6&lt;&gt;"",ISNUMBER(SEARCH($A1238,'算罪台'!$B$6))),1,0)</f>
        <v/>
      </c>
    </row>
    <row r="1240">
      <c r="A1240" s="34" t="inlineStr">
        <is>
          <t>黑帮犯罪</t>
        </is>
      </c>
      <c r="B1240" s="34" t="inlineStr">
        <is>
          <t>有组织犯罪</t>
        </is>
      </c>
      <c r="C1240" s="34">
        <f>IF(AND($A1239&lt;&gt;"",'算罪台'!$B$4&lt;&gt;"",ISNUMBER(SEARCH($A1239,'算罪台'!$B$4))),1,0)</f>
        <v/>
      </c>
      <c r="D1240" s="34">
        <f>IF(AND($A1239&lt;&gt;"",'算罪台'!$B$5&lt;&gt;"",ISNUMBER(SEARCH($A1239,'算罪台'!$B$5))),1,0)</f>
        <v/>
      </c>
      <c r="E1240" s="34">
        <f>IF(AND($A1239&lt;&gt;"",'算罪台'!$B$6&lt;&gt;"",ISNUMBER(SEARCH($A1239,'算罪台'!$B$6))),1,0)</f>
        <v/>
      </c>
    </row>
    <row r="1241">
      <c r="A1241" s="34" t="inlineStr">
        <is>
          <t>犯罪集团</t>
        </is>
      </c>
      <c r="B1241" s="34" t="inlineStr">
        <is>
          <t>有组织犯罪</t>
        </is>
      </c>
      <c r="C1241" s="34">
        <f>IF(AND($A1240&lt;&gt;"",'算罪台'!$B$4&lt;&gt;"",ISNUMBER(SEARCH($A1240,'算罪台'!$B$4))),1,0)</f>
        <v/>
      </c>
      <c r="D1241" s="34">
        <f>IF(AND($A1240&lt;&gt;"",'算罪台'!$B$5&lt;&gt;"",ISNUMBER(SEARCH($A1240,'算罪台'!$B$5))),1,0)</f>
        <v/>
      </c>
      <c r="E1241" s="34">
        <f>IF(AND($A1240&lt;&gt;"",'算罪台'!$B$6&lt;&gt;"",ISNUMBER(SEARCH($A1240,'算罪台'!$B$6))),1,0)</f>
        <v/>
      </c>
    </row>
    <row r="1242">
      <c r="A1242" s="34" t="inlineStr">
        <is>
          <t>帮派作案</t>
        </is>
      </c>
      <c r="B1242" s="34" t="inlineStr">
        <is>
          <t>有组织犯罪</t>
        </is>
      </c>
      <c r="C1242" s="34">
        <f>IF(AND($A1241&lt;&gt;"",'算罪台'!$B$4&lt;&gt;"",ISNUMBER(SEARCH($A1241,'算罪台'!$B$4))),1,0)</f>
        <v/>
      </c>
      <c r="D1242" s="34">
        <f>IF(AND($A1241&lt;&gt;"",'算罪台'!$B$5&lt;&gt;"",ISNUMBER(SEARCH($A1241,'算罪台'!$B$5))),1,0)</f>
        <v/>
      </c>
      <c r="E1242" s="34">
        <f>IF(AND($A1241&lt;&gt;"",'算罪台'!$B$6&lt;&gt;"",ISNUMBER(SEARCH($A1241,'算罪台'!$B$6))),1,0)</f>
        <v/>
      </c>
    </row>
    <row r="1243">
      <c r="A1243" s="34" t="inlineStr">
        <is>
          <t>团伙作案</t>
        </is>
      </c>
      <c r="B1243" s="34" t="inlineStr">
        <is>
          <t>有组织犯罪</t>
        </is>
      </c>
      <c r="C1243" s="34">
        <f>IF(AND($A1242&lt;&gt;"",'算罪台'!$B$4&lt;&gt;"",ISNUMBER(SEARCH($A1242,'算罪台'!$B$4))),1,0)</f>
        <v/>
      </c>
      <c r="D1243" s="34">
        <f>IF(AND($A1242&lt;&gt;"",'算罪台'!$B$5&lt;&gt;"",ISNUMBER(SEARCH($A1242,'算罪台'!$B$5))),1,0)</f>
        <v/>
      </c>
      <c r="E1243" s="34">
        <f>IF(AND($A1242&lt;&gt;"",'算罪台'!$B$6&lt;&gt;"",ISNUMBER(SEARCH($A1242,'算罪台'!$B$6))),1,0)</f>
        <v/>
      </c>
    </row>
    <row r="1244">
      <c r="A1244" s="34" t="inlineStr">
        <is>
          <t>黑帮干的</t>
        </is>
      </c>
      <c r="B1244" s="34" t="inlineStr">
        <is>
          <t>有组织犯罪</t>
        </is>
      </c>
      <c r="C1244" s="34">
        <f>IF(AND($A1243&lt;&gt;"",'算罪台'!$B$4&lt;&gt;"",ISNUMBER(SEARCH($A1243,'算罪台'!$B$4))),1,0)</f>
        <v/>
      </c>
      <c r="D1244" s="34">
        <f>IF(AND($A1243&lt;&gt;"",'算罪台'!$B$5&lt;&gt;"",ISNUMBER(SEARCH($A1243,'算罪台'!$B$5))),1,0)</f>
        <v/>
      </c>
      <c r="E1244" s="34">
        <f>IF(AND($A1243&lt;&gt;"",'算罪台'!$B$6&lt;&gt;"",ISNUMBER(SEARCH($A1243,'算罪台'!$B$6))),1,0)</f>
        <v/>
      </c>
    </row>
    <row r="1245">
      <c r="A1245" s="34" t="inlineStr">
        <is>
          <t>集团作案</t>
        </is>
      </c>
      <c r="B1245" s="34" t="inlineStr">
        <is>
          <t>有组织犯罪</t>
        </is>
      </c>
      <c r="C1245" s="34">
        <f>IF(AND($A1244&lt;&gt;"",'算罪台'!$B$4&lt;&gt;"",ISNUMBER(SEARCH($A1244,'算罪台'!$B$4))),1,0)</f>
        <v/>
      </c>
      <c r="D1245" s="34">
        <f>IF(AND($A1244&lt;&gt;"",'算罪台'!$B$5&lt;&gt;"",ISNUMBER(SEARCH($A1244,'算罪台'!$B$5))),1,0)</f>
        <v/>
      </c>
      <c r="E1245" s="34">
        <f>IF(AND($A1244&lt;&gt;"",'算罪台'!$B$6&lt;&gt;"",ISNUMBER(SEARCH($A1244,'算罪台'!$B$6))),1,0)</f>
        <v/>
      </c>
    </row>
    <row r="1246">
      <c r="A1246" s="34" t="inlineStr">
        <is>
          <t>有组织地</t>
        </is>
      </c>
      <c r="B1246" s="34" t="inlineStr">
        <is>
          <t>有组织犯罪</t>
        </is>
      </c>
      <c r="C1246" s="34">
        <f>IF(AND($A1245&lt;&gt;"",'算罪台'!$B$4&lt;&gt;"",ISNUMBER(SEARCH($A1245,'算罪台'!$B$4))),1,0)</f>
        <v/>
      </c>
      <c r="D1246" s="34">
        <f>IF(AND($A1245&lt;&gt;"",'算罪台'!$B$5&lt;&gt;"",ISNUMBER(SEARCH($A1245,'算罪台'!$B$5))),1,0)</f>
        <v/>
      </c>
      <c r="E1246" s="34">
        <f>IF(AND($A1245&lt;&gt;"",'算罪台'!$B$6&lt;&gt;"",ISNUMBER(SEARCH($A1245,'算罪台'!$B$6))),1,0)</f>
        <v/>
      </c>
    </row>
    <row r="1247">
      <c r="A1247" s="34" t="inlineStr">
        <is>
          <t>有组织犯罪集团</t>
        </is>
      </c>
      <c r="B1247" s="34" t="inlineStr">
        <is>
          <t>有组织犯罪</t>
        </is>
      </c>
      <c r="C1247" s="34">
        <f>IF(AND($A1246&lt;&gt;"",'算罪台'!$B$4&lt;&gt;"",ISNUMBER(SEARCH($A1246,'算罪台'!$B$4))),1,0)</f>
        <v/>
      </c>
      <c r="D1247" s="34">
        <f>IF(AND($A1246&lt;&gt;"",'算罪台'!$B$5&lt;&gt;"",ISNUMBER(SEARCH($A1246,'算罪台'!$B$5))),1,0)</f>
        <v/>
      </c>
      <c r="E1247" s="34">
        <f>IF(AND($A1246&lt;&gt;"",'算罪台'!$B$6&lt;&gt;"",ISNUMBER(SEARCH($A1246,'算罪台'!$B$6))),1,0)</f>
        <v/>
      </c>
    </row>
    <row r="1248">
      <c r="A1248" s="34" t="inlineStr">
        <is>
          <t>黑社会性质</t>
        </is>
      </c>
      <c r="B1248" s="34" t="inlineStr">
        <is>
          <t>有组织犯罪</t>
        </is>
      </c>
      <c r="C1248" s="34">
        <f>IF(AND($A1247&lt;&gt;"",'算罪台'!$B$4&lt;&gt;"",ISNUMBER(SEARCH($A1247,'算罪台'!$B$4))),1,0)</f>
        <v/>
      </c>
      <c r="D1248" s="34">
        <f>IF(AND($A1247&lt;&gt;"",'算罪台'!$B$5&lt;&gt;"",ISNUMBER(SEARCH($A1247,'算罪台'!$B$5))),1,0)</f>
        <v/>
      </c>
      <c r="E1248" s="34">
        <f>IF(AND($A1247&lt;&gt;"",'算罪台'!$B$6&lt;&gt;"",ISNUMBER(SEARCH($A1247,'算罪台'!$B$6))),1,0)</f>
        <v/>
      </c>
    </row>
    <row r="1249">
      <c r="A1249" s="34" t="inlineStr">
        <is>
          <t>帮派犯罪</t>
        </is>
      </c>
      <c r="B1249" s="34" t="inlineStr">
        <is>
          <t>有组织犯罪</t>
        </is>
      </c>
      <c r="C1249" s="34">
        <f>IF(AND($A1248&lt;&gt;"",'算罪台'!$B$4&lt;&gt;"",ISNUMBER(SEARCH($A1248,'算罪台'!$B$4))),1,0)</f>
        <v/>
      </c>
      <c r="D1249" s="34">
        <f>IF(AND($A1248&lt;&gt;"",'算罪台'!$B$5&lt;&gt;"",ISNUMBER(SEARCH($A1248,'算罪台'!$B$5))),1,0)</f>
        <v/>
      </c>
      <c r="E1249" s="34">
        <f>IF(AND($A1248&lt;&gt;"",'算罪台'!$B$6&lt;&gt;"",ISNUMBER(SEARCH($A1248,'算罪台'!$B$6))),1,0)</f>
        <v/>
      </c>
    </row>
    <row r="1250">
      <c r="A1250" s="34" t="inlineStr">
        <is>
          <t>团伙犯罪活动</t>
        </is>
      </c>
      <c r="B1250" s="34" t="inlineStr">
        <is>
          <t>有组织犯罪</t>
        </is>
      </c>
      <c r="C1250" s="34">
        <f>IF(AND($A1249&lt;&gt;"",'算罪台'!$B$4&lt;&gt;"",ISNUMBER(SEARCH($A1249,'算罪台'!$B$4))),1,0)</f>
        <v/>
      </c>
      <c r="D1250" s="34">
        <f>IF(AND($A1249&lt;&gt;"",'算罪台'!$B$5&lt;&gt;"",ISNUMBER(SEARCH($A1249,'算罪台'!$B$5))),1,0)</f>
        <v/>
      </c>
      <c r="E1250" s="34">
        <f>IF(AND($A1249&lt;&gt;"",'算罪台'!$B$6&lt;&gt;"",ISNUMBER(SEARCH($A1249,'算罪台'!$B$6))),1,0)</f>
        <v/>
      </c>
    </row>
    <row r="1251">
      <c r="A1251" s="34" t="inlineStr">
        <is>
          <t>犯罪团伙作案</t>
        </is>
      </c>
      <c r="B1251" s="34" t="inlineStr">
        <is>
          <t>有组织犯罪</t>
        </is>
      </c>
      <c r="C1251" s="34">
        <f>IF(AND($A1250&lt;&gt;"",'算罪台'!$B$4&lt;&gt;"",ISNUMBER(SEARCH($A1250,'算罪台'!$B$4))),1,0)</f>
        <v/>
      </c>
      <c r="D1251" s="34">
        <f>IF(AND($A1250&lt;&gt;"",'算罪台'!$B$5&lt;&gt;"",ISNUMBER(SEARCH($A1250,'算罪台'!$B$5))),1,0)</f>
        <v/>
      </c>
      <c r="E1251" s="34">
        <f>IF(AND($A1250&lt;&gt;"",'算罪台'!$B$6&lt;&gt;"",ISNUMBER(SEARCH($A1250,'算罪台'!$B$6))),1,0)</f>
        <v/>
      </c>
    </row>
    <row r="1252">
      <c r="A1252" s="34" t="inlineStr">
        <is>
          <t>洗钱</t>
        </is>
      </c>
      <c r="B1252" s="34" t="inlineStr">
        <is>
          <t>洗钱罪</t>
        </is>
      </c>
      <c r="C1252" s="34">
        <f>IF(AND($A1251&lt;&gt;"",'算罪台'!$B$4&lt;&gt;"",ISNUMBER(SEARCH($A1251,'算罪台'!$B$4))),1,0)</f>
        <v/>
      </c>
      <c r="D1252" s="34">
        <f>IF(AND($A1251&lt;&gt;"",'算罪台'!$B$5&lt;&gt;"",ISNUMBER(SEARCH($A1251,'算罪台'!$B$5))),1,0)</f>
        <v/>
      </c>
      <c r="E1252" s="34">
        <f>IF(AND($A1251&lt;&gt;"",'算罪台'!$B$6&lt;&gt;"",ISNUMBER(SEARCH($A1251,'算罪台'!$B$6))),1,0)</f>
        <v/>
      </c>
    </row>
    <row r="1253">
      <c r="A1253" s="34" t="inlineStr">
        <is>
          <t>转移赃款</t>
        </is>
      </c>
      <c r="B1253" s="34" t="inlineStr">
        <is>
          <t>洗钱罪</t>
        </is>
      </c>
      <c r="C1253" s="34">
        <f>IF(AND($A1252&lt;&gt;"",'算罪台'!$B$4&lt;&gt;"",ISNUMBER(SEARCH($A1252,'算罪台'!$B$4))),1,0)</f>
        <v/>
      </c>
      <c r="D1253" s="34">
        <f>IF(AND($A1252&lt;&gt;"",'算罪台'!$B$5&lt;&gt;"",ISNUMBER(SEARCH($A1252,'算罪台'!$B$5))),1,0)</f>
        <v/>
      </c>
      <c r="E1253" s="34">
        <f>IF(AND($A1252&lt;&gt;"",'算罪台'!$B$6&lt;&gt;"",ISNUMBER(SEARCH($A1252,'算罪台'!$B$6))),1,0)</f>
        <v/>
      </c>
    </row>
    <row r="1254">
      <c r="A1254" s="34" t="inlineStr">
        <is>
          <t>清洗黑钱</t>
        </is>
      </c>
      <c r="B1254" s="34" t="inlineStr">
        <is>
          <t>洗钱罪</t>
        </is>
      </c>
      <c r="C1254" s="34">
        <f>IF(AND($A1253&lt;&gt;"",'算罪台'!$B$4&lt;&gt;"",ISNUMBER(SEARCH($A1253,'算罪台'!$B$4))),1,0)</f>
        <v/>
      </c>
      <c r="D1254" s="34">
        <f>IF(AND($A1253&lt;&gt;"",'算罪台'!$B$5&lt;&gt;"",ISNUMBER(SEARCH($A1253,'算罪台'!$B$5))),1,0)</f>
        <v/>
      </c>
      <c r="E1254" s="34">
        <f>IF(AND($A1253&lt;&gt;"",'算罪台'!$B$6&lt;&gt;"",ISNUMBER(SEARCH($A1253,'算罪台'!$B$6))),1,0)</f>
        <v/>
      </c>
    </row>
    <row r="1255">
      <c r="A1255" s="34" t="inlineStr">
        <is>
          <t>标记钞票</t>
        </is>
      </c>
      <c r="B1255" s="34" t="inlineStr">
        <is>
          <t>洗钱罪</t>
        </is>
      </c>
      <c r="C1255" s="34">
        <f>IF(AND($A1254&lt;&gt;"",'算罪台'!$B$4&lt;&gt;"",ISNUMBER(SEARCH($A1254,'算罪台'!$B$4))),1,0)</f>
        <v/>
      </c>
      <c r="D1255" s="34">
        <f>IF(AND($A1254&lt;&gt;"",'算罪台'!$B$5&lt;&gt;"",ISNUMBER(SEARCH($A1254,'算罪台'!$B$5))),1,0)</f>
        <v/>
      </c>
      <c r="E1255" s="34">
        <f>IF(AND($A1254&lt;&gt;"",'算罪台'!$B$6&lt;&gt;"",ISNUMBER(SEARCH($A1254,'算罪台'!$B$6))),1,0)</f>
        <v/>
      </c>
    </row>
    <row r="1256">
      <c r="A1256" s="34" t="inlineStr">
        <is>
          <t>漂白黑钱</t>
        </is>
      </c>
      <c r="B1256" s="34" t="inlineStr">
        <is>
          <t>洗钱罪</t>
        </is>
      </c>
      <c r="C1256" s="34">
        <f>IF(AND($A1255&lt;&gt;"",'算罪台'!$B$4&lt;&gt;"",ISNUMBER(SEARCH($A1255,'算罪台'!$B$4))),1,0)</f>
        <v/>
      </c>
      <c r="D1256" s="34">
        <f>IF(AND($A1255&lt;&gt;"",'算罪台'!$B$5&lt;&gt;"",ISNUMBER(SEARCH($A1255,'算罪台'!$B$5))),1,0)</f>
        <v/>
      </c>
      <c r="E1256" s="34">
        <f>IF(AND($A1255&lt;&gt;"",'算罪台'!$B$6&lt;&gt;"",ISNUMBER(SEARCH($A1255,'算罪台'!$B$6))),1,0)</f>
        <v/>
      </c>
    </row>
    <row r="1257">
      <c r="A1257" s="34" t="inlineStr">
        <is>
          <t>洗黑钱</t>
        </is>
      </c>
      <c r="B1257" s="34" t="inlineStr">
        <is>
          <t>洗钱罪</t>
        </is>
      </c>
      <c r="C1257" s="34">
        <f>IF(AND($A1256&lt;&gt;"",'算罪台'!$B$4&lt;&gt;"",ISNUMBER(SEARCH($A1256,'算罪台'!$B$4))),1,0)</f>
        <v/>
      </c>
      <c r="D1257" s="34">
        <f>IF(AND($A1256&lt;&gt;"",'算罪台'!$B$5&lt;&gt;"",ISNUMBER(SEARCH($A1256,'算罪台'!$B$5))),1,0)</f>
        <v/>
      </c>
      <c r="E1257" s="34">
        <f>IF(AND($A1256&lt;&gt;"",'算罪台'!$B$6&lt;&gt;"",ISNUMBER(SEARCH($A1256,'算罪台'!$B$6))),1,0)</f>
        <v/>
      </c>
    </row>
    <row r="1258">
      <c r="A1258" s="34" t="inlineStr">
        <is>
          <t>洗白黑钱</t>
        </is>
      </c>
      <c r="B1258" s="34" t="inlineStr">
        <is>
          <t>洗钱罪</t>
        </is>
      </c>
      <c r="C1258" s="34">
        <f>IF(AND($A1257&lt;&gt;"",'算罪台'!$B$4&lt;&gt;"",ISNUMBER(SEARCH($A1257,'算罪台'!$B$4))),1,0)</f>
        <v/>
      </c>
      <c r="D1258" s="34">
        <f>IF(AND($A1257&lt;&gt;"",'算罪台'!$B$5&lt;&gt;"",ISNUMBER(SEARCH($A1257,'算罪台'!$B$5))),1,0)</f>
        <v/>
      </c>
      <c r="E1258" s="34">
        <f>IF(AND($A1257&lt;&gt;"",'算罪台'!$B$6&lt;&gt;"",ISNUMBER(SEARCH($A1257,'算罪台'!$B$6))),1,0)</f>
        <v/>
      </c>
    </row>
    <row r="1259">
      <c r="A1259" s="34" t="inlineStr">
        <is>
          <t>过账洗钱</t>
        </is>
      </c>
      <c r="B1259" s="34" t="inlineStr">
        <is>
          <t>洗钱罪</t>
        </is>
      </c>
      <c r="C1259" s="34">
        <f>IF(AND($A1258&lt;&gt;"",'算罪台'!$B$4&lt;&gt;"",ISNUMBER(SEARCH($A1258,'算罪台'!$B$4))),1,0)</f>
        <v/>
      </c>
      <c r="D1259" s="34">
        <f>IF(AND($A1258&lt;&gt;"",'算罪台'!$B$5&lt;&gt;"",ISNUMBER(SEARCH($A1258,'算罪台'!$B$5))),1,0)</f>
        <v/>
      </c>
      <c r="E1259" s="34">
        <f>IF(AND($A1258&lt;&gt;"",'算罪台'!$B$6&lt;&gt;"",ISNUMBER(SEARCH($A1258,'算罪台'!$B$6))),1,0)</f>
        <v/>
      </c>
    </row>
    <row r="1260">
      <c r="A1260" s="34" t="inlineStr">
        <is>
          <t>漂钱</t>
        </is>
      </c>
      <c r="B1260" s="34" t="inlineStr">
        <is>
          <t>洗钱罪</t>
        </is>
      </c>
      <c r="C1260" s="34">
        <f>IF(AND($A1259&lt;&gt;"",'算罪台'!$B$4&lt;&gt;"",ISNUMBER(SEARCH($A1259,'算罪台'!$B$4))),1,0)</f>
        <v/>
      </c>
      <c r="D1260" s="34">
        <f>IF(AND($A1259&lt;&gt;"",'算罪台'!$B$5&lt;&gt;"",ISNUMBER(SEARCH($A1259,'算罪台'!$B$5))),1,0)</f>
        <v/>
      </c>
      <c r="E1260" s="34">
        <f>IF(AND($A1259&lt;&gt;"",'算罪台'!$B$6&lt;&gt;"",ISNUMBER(SEARCH($A1259,'算罪台'!$B$6))),1,0)</f>
        <v/>
      </c>
    </row>
    <row r="1261">
      <c r="A1261" s="34" t="inlineStr">
        <is>
          <t>黑钱洗白</t>
        </is>
      </c>
      <c r="B1261" s="34" t="inlineStr">
        <is>
          <t>洗钱罪</t>
        </is>
      </c>
      <c r="C1261" s="34">
        <f>IF(AND($A1260&lt;&gt;"",'算罪台'!$B$4&lt;&gt;"",ISNUMBER(SEARCH($A1260,'算罪台'!$B$4))),1,0)</f>
        <v/>
      </c>
      <c r="D1261" s="34">
        <f>IF(AND($A1260&lt;&gt;"",'算罪台'!$B$5&lt;&gt;"",ISNUMBER(SEARCH($A1260,'算罪台'!$B$5))),1,0)</f>
        <v/>
      </c>
      <c r="E1261" s="34">
        <f>IF(AND($A1260&lt;&gt;"",'算罪台'!$B$6&lt;&gt;"",ISNUMBER(SEARCH($A1260,'算罪台'!$B$6))),1,0)</f>
        <v/>
      </c>
    </row>
    <row r="1262">
      <c r="A1262" s="34" t="inlineStr">
        <is>
          <t>资金洗白</t>
        </is>
      </c>
      <c r="B1262" s="34" t="inlineStr">
        <is>
          <t>洗钱罪</t>
        </is>
      </c>
      <c r="C1262" s="34">
        <f>IF(AND($A1261&lt;&gt;"",'算罪台'!$B$4&lt;&gt;"",ISNUMBER(SEARCH($A1261,'算罪台'!$B$4))),1,0)</f>
        <v/>
      </c>
      <c r="D1262" s="34">
        <f>IF(AND($A1261&lt;&gt;"",'算罪台'!$B$5&lt;&gt;"",ISNUMBER(SEARCH($A1261,'算罪台'!$B$5))),1,0)</f>
        <v/>
      </c>
      <c r="E1262" s="34">
        <f>IF(AND($A1261&lt;&gt;"",'算罪台'!$B$6&lt;&gt;"",ISNUMBER(SEARCH($A1261,'算罪台'!$B$6))),1,0)</f>
        <v/>
      </c>
    </row>
    <row r="1263">
      <c r="A1263" s="34" t="inlineStr">
        <is>
          <t>洗钱活动</t>
        </is>
      </c>
      <c r="B1263" s="34" t="inlineStr">
        <is>
          <t>洗钱罪</t>
        </is>
      </c>
      <c r="C1263" s="34">
        <f>IF(AND($A1262&lt;&gt;"",'算罪台'!$B$4&lt;&gt;"",ISNUMBER(SEARCH($A1262,'算罪台'!$B$4))),1,0)</f>
        <v/>
      </c>
      <c r="D1263" s="34">
        <f>IF(AND($A1262&lt;&gt;"",'算罪台'!$B$5&lt;&gt;"",ISNUMBER(SEARCH($A1262,'算罪台'!$B$5))),1,0)</f>
        <v/>
      </c>
      <c r="E1263" s="34">
        <f>IF(AND($A1262&lt;&gt;"",'算罪台'!$B$6&lt;&gt;"",ISNUMBER(SEARCH($A1262,'算罪台'!$B$6))),1,0)</f>
        <v/>
      </c>
    </row>
    <row r="1264">
      <c r="A1264" s="34" t="inlineStr">
        <is>
          <t>清洗资金</t>
        </is>
      </c>
      <c r="B1264" s="34" t="inlineStr">
        <is>
          <t>洗钱罪</t>
        </is>
      </c>
      <c r="C1264" s="34">
        <f>IF(AND($A1263&lt;&gt;"",'算罪台'!$B$4&lt;&gt;"",ISNUMBER(SEARCH($A1263,'算罪台'!$B$4))),1,0)</f>
        <v/>
      </c>
      <c r="D1264" s="34">
        <f>IF(AND($A1263&lt;&gt;"",'算罪台'!$B$5&lt;&gt;"",ISNUMBER(SEARCH($A1263,'算罪台'!$B$5))),1,0)</f>
        <v/>
      </c>
      <c r="E1264" s="34">
        <f>IF(AND($A1263&lt;&gt;"",'算罪台'!$B$6&lt;&gt;"",ISNUMBER(SEARCH($A1263,'算罪台'!$B$6))),1,0)</f>
        <v/>
      </c>
    </row>
    <row r="1265">
      <c r="A1265" s="34" t="inlineStr">
        <is>
          <t>转移非法所得</t>
        </is>
      </c>
      <c r="B1265" s="34" t="inlineStr">
        <is>
          <t>洗钱罪</t>
        </is>
      </c>
      <c r="C1265" s="34">
        <f>IF(AND($A1264&lt;&gt;"",'算罪台'!$B$4&lt;&gt;"",ISNUMBER(SEARCH($A1264,'算罪台'!$B$4))),1,0)</f>
        <v/>
      </c>
      <c r="D1265" s="34">
        <f>IF(AND($A1264&lt;&gt;"",'算罪台'!$B$5&lt;&gt;"",ISNUMBER(SEARCH($A1264,'算罪台'!$B$5))),1,0)</f>
        <v/>
      </c>
      <c r="E1265" s="34">
        <f>IF(AND($A1264&lt;&gt;"",'算罪台'!$B$6&lt;&gt;"",ISNUMBER(SEARCH($A1264,'算罪台'!$B$6))),1,0)</f>
        <v/>
      </c>
    </row>
    <row r="1266">
      <c r="A1266" s="34" t="inlineStr">
        <is>
          <t>资金漂白</t>
        </is>
      </c>
      <c r="B1266" s="34" t="inlineStr">
        <is>
          <t>洗钱罪</t>
        </is>
      </c>
      <c r="C1266" s="34">
        <f>IF(AND($A1265&lt;&gt;"",'算罪台'!$B$4&lt;&gt;"",ISNUMBER(SEARCH($A1265,'算罪台'!$B$4))),1,0)</f>
        <v/>
      </c>
      <c r="D1266" s="34">
        <f>IF(AND($A1265&lt;&gt;"",'算罪台'!$B$5&lt;&gt;"",ISNUMBER(SEARCH($A1265,'算罪台'!$B$5))),1,0)</f>
        <v/>
      </c>
      <c r="E1266" s="34">
        <f>IF(AND($A1265&lt;&gt;"",'算罪台'!$B$6&lt;&gt;"",ISNUMBER(SEARCH($A1265,'算罪台'!$B$6))),1,0)</f>
        <v/>
      </c>
    </row>
    <row r="1267">
      <c r="A1267" s="34" t="inlineStr">
        <is>
          <t>黑钱转移</t>
        </is>
      </c>
      <c r="B1267" s="34" t="inlineStr">
        <is>
          <t>洗钱罪</t>
        </is>
      </c>
      <c r="C1267" s="34">
        <f>IF(AND($A1266&lt;&gt;"",'算罪台'!$B$4&lt;&gt;"",ISNUMBER(SEARCH($A1266,'算罪台'!$B$4))),1,0)</f>
        <v/>
      </c>
      <c r="D1267" s="34">
        <f>IF(AND($A1266&lt;&gt;"",'算罪台'!$B$5&lt;&gt;"",ISNUMBER(SEARCH($A1266,'算罪台'!$B$5))),1,0)</f>
        <v/>
      </c>
      <c r="E1267" s="34">
        <f>IF(AND($A1266&lt;&gt;"",'算罪台'!$B$6&lt;&gt;"",ISNUMBER(SEARCH($A1266,'算罪台'!$B$6))),1,0)</f>
        <v/>
      </c>
    </row>
    <row r="1268">
      <c r="A1268" s="34" t="inlineStr">
        <is>
          <t>身份盗用</t>
        </is>
      </c>
      <c r="B1268" s="34" t="inlineStr">
        <is>
          <t>身份盗用罪</t>
        </is>
      </c>
      <c r="C1268" s="34">
        <f>IF(AND($A1267&lt;&gt;"",'算罪台'!$B$4&lt;&gt;"",ISNUMBER(SEARCH($A1267,'算罪台'!$B$4))),1,0)</f>
        <v/>
      </c>
      <c r="D1268" s="34">
        <f>IF(AND($A1267&lt;&gt;"",'算罪台'!$B$5&lt;&gt;"",ISNUMBER(SEARCH($A1267,'算罪台'!$B$5))),1,0)</f>
        <v/>
      </c>
      <c r="E1268" s="34">
        <f>IF(AND($A1267&lt;&gt;"",'算罪台'!$B$6&lt;&gt;"",ISNUMBER(SEARCH($A1267,'算罪台'!$B$6))),1,0)</f>
        <v/>
      </c>
    </row>
    <row r="1269">
      <c r="A1269" s="34" t="inlineStr">
        <is>
          <t>盗用身份</t>
        </is>
      </c>
      <c r="B1269" s="34" t="inlineStr">
        <is>
          <t>身份盗用罪</t>
        </is>
      </c>
      <c r="C1269" s="34">
        <f>IF(AND($A1268&lt;&gt;"",'算罪台'!$B$4&lt;&gt;"",ISNUMBER(SEARCH($A1268,'算罪台'!$B$4))),1,0)</f>
        <v/>
      </c>
      <c r="D1269" s="34">
        <f>IF(AND($A1268&lt;&gt;"",'算罪台'!$B$5&lt;&gt;"",ISNUMBER(SEARCH($A1268,'算罪台'!$B$5))),1,0)</f>
        <v/>
      </c>
      <c r="E1269" s="34">
        <f>IF(AND($A1268&lt;&gt;"",'算罪台'!$B$6&lt;&gt;"",ISNUMBER(SEARCH($A1268,'算罪台'!$B$6))),1,0)</f>
        <v/>
      </c>
    </row>
    <row r="1270">
      <c r="A1270" s="34" t="inlineStr">
        <is>
          <t>冒用身份</t>
        </is>
      </c>
      <c r="B1270" s="34" t="inlineStr">
        <is>
          <t>身份盗用罪</t>
        </is>
      </c>
      <c r="C1270" s="34">
        <f>IF(AND($A1269&lt;&gt;"",'算罪台'!$B$4&lt;&gt;"",ISNUMBER(SEARCH($A1269,'算罪台'!$B$4))),1,0)</f>
        <v/>
      </c>
      <c r="D1270" s="34">
        <f>IF(AND($A1269&lt;&gt;"",'算罪台'!$B$5&lt;&gt;"",ISNUMBER(SEARCH($A1269,'算罪台'!$B$5))),1,0)</f>
        <v/>
      </c>
      <c r="E1270" s="34">
        <f>IF(AND($A1269&lt;&gt;"",'算罪台'!$B$6&lt;&gt;"",ISNUMBER(SEARCH($A1269,'算罪台'!$B$6))),1,0)</f>
        <v/>
      </c>
    </row>
    <row r="1271">
      <c r="A1271" s="34" t="inlineStr">
        <is>
          <t>盗用个人信息</t>
        </is>
      </c>
      <c r="B1271" s="34" t="inlineStr">
        <is>
          <t>身份盗用罪</t>
        </is>
      </c>
      <c r="C1271" s="34">
        <f>IF(AND($A1270&lt;&gt;"",'算罪台'!$B$4&lt;&gt;"",ISNUMBER(SEARCH($A1270,'算罪台'!$B$4))),1,0)</f>
        <v/>
      </c>
      <c r="D1271" s="34">
        <f>IF(AND($A1270&lt;&gt;"",'算罪台'!$B$5&lt;&gt;"",ISNUMBER(SEARCH($A1270,'算罪台'!$B$5))),1,0)</f>
        <v/>
      </c>
      <c r="E1271" s="34">
        <f>IF(AND($A1270&lt;&gt;"",'算罪台'!$B$6&lt;&gt;"",ISNUMBER(SEARCH($A1270,'算罪台'!$B$6))),1,0)</f>
        <v/>
      </c>
    </row>
    <row r="1272">
      <c r="A1272" s="34" t="inlineStr">
        <is>
          <t>盗用银行账号</t>
        </is>
      </c>
      <c r="B1272" s="34" t="inlineStr">
        <is>
          <t>身份盗用罪</t>
        </is>
      </c>
      <c r="C1272" s="34">
        <f>IF(AND($A1271&lt;&gt;"",'算罪台'!$B$4&lt;&gt;"",ISNUMBER(SEARCH($A1271,'算罪台'!$B$4))),1,0)</f>
        <v/>
      </c>
      <c r="D1272" s="34">
        <f>IF(AND($A1271&lt;&gt;"",'算罪台'!$B$5&lt;&gt;"",ISNUMBER(SEARCH($A1271,'算罪台'!$B$5))),1,0)</f>
        <v/>
      </c>
      <c r="E1272" s="34">
        <f>IF(AND($A1271&lt;&gt;"",'算罪台'!$B$6&lt;&gt;"",ISNUMBER(SEARCH($A1271,'算罪台'!$B$6))),1,0)</f>
        <v/>
      </c>
    </row>
    <row r="1273">
      <c r="A1273" s="34" t="inlineStr">
        <is>
          <t>冒用他人信息</t>
        </is>
      </c>
      <c r="B1273" s="34" t="inlineStr">
        <is>
          <t>身份盗用罪</t>
        </is>
      </c>
      <c r="C1273" s="34">
        <f>IF(AND($A1272&lt;&gt;"",'算罪台'!$B$4&lt;&gt;"",ISNUMBER(SEARCH($A1272,'算罪台'!$B$4))),1,0)</f>
        <v/>
      </c>
      <c r="D1273" s="34">
        <f>IF(AND($A1272&lt;&gt;"",'算罪台'!$B$5&lt;&gt;"",ISNUMBER(SEARCH($A1272,'算罪台'!$B$5))),1,0)</f>
        <v/>
      </c>
      <c r="E1273" s="34">
        <f>IF(AND($A1272&lt;&gt;"",'算罪台'!$B$6&lt;&gt;"",ISNUMBER(SEARCH($A1272,'算罪台'!$B$6))),1,0)</f>
        <v/>
      </c>
    </row>
    <row r="1274">
      <c r="A1274" s="34" t="inlineStr">
        <is>
          <t>盗用证件</t>
        </is>
      </c>
      <c r="B1274" s="34" t="inlineStr">
        <is>
          <t>身份盗用罪</t>
        </is>
      </c>
      <c r="C1274" s="34">
        <f>IF(AND($A1273&lt;&gt;"",'算罪台'!$B$4&lt;&gt;"",ISNUMBER(SEARCH($A1273,'算罪台'!$B$4))),1,0)</f>
        <v/>
      </c>
      <c r="D1274" s="34">
        <f>IF(AND($A1273&lt;&gt;"",'算罪台'!$B$5&lt;&gt;"",ISNUMBER(SEARCH($A1273,'算罪台'!$B$5))),1,0)</f>
        <v/>
      </c>
      <c r="E1274" s="34">
        <f>IF(AND($A1273&lt;&gt;"",'算罪台'!$B$6&lt;&gt;"",ISNUMBER(SEARCH($A1273,'算罪台'!$B$6))),1,0)</f>
        <v/>
      </c>
    </row>
    <row r="1275">
      <c r="A1275" s="34" t="inlineStr">
        <is>
          <t>冒用别人身份</t>
        </is>
      </c>
      <c r="B1275" s="34" t="inlineStr">
        <is>
          <t>身份盗用罪</t>
        </is>
      </c>
      <c r="C1275" s="34">
        <f>IF(AND($A1274&lt;&gt;"",'算罪台'!$B$4&lt;&gt;"",ISNUMBER(SEARCH($A1274,'算罪台'!$B$4))),1,0)</f>
        <v/>
      </c>
      <c r="D1275" s="34">
        <f>IF(AND($A1274&lt;&gt;"",'算罪台'!$B$5&lt;&gt;"",ISNUMBER(SEARCH($A1274,'算罪台'!$B$5))),1,0)</f>
        <v/>
      </c>
      <c r="E1275" s="34">
        <f>IF(AND($A1274&lt;&gt;"",'算罪台'!$B$6&lt;&gt;"",ISNUMBER(SEARCH($A1274,'算罪台'!$B$6))),1,0)</f>
        <v/>
      </c>
    </row>
    <row r="1276">
      <c r="A1276" s="34" t="inlineStr">
        <is>
          <t>用别人身份证</t>
        </is>
      </c>
      <c r="B1276" s="34" t="inlineStr">
        <is>
          <t>身份盗用罪</t>
        </is>
      </c>
      <c r="C1276" s="34">
        <f>IF(AND($A1275&lt;&gt;"",'算罪台'!$B$4&lt;&gt;"",ISNUMBER(SEARCH($A1275,'算罪台'!$B$4))),1,0)</f>
        <v/>
      </c>
      <c r="D1276" s="34">
        <f>IF(AND($A1275&lt;&gt;"",'算罪台'!$B$5&lt;&gt;"",ISNUMBER(SEARCH($A1275,'算罪台'!$B$5))),1,0)</f>
        <v/>
      </c>
      <c r="E1276" s="34">
        <f>IF(AND($A1275&lt;&gt;"",'算罪台'!$B$6&lt;&gt;"",ISNUMBER(SEARCH($A1275,'算罪台'!$B$6))),1,0)</f>
        <v/>
      </c>
    </row>
    <row r="1277">
      <c r="A1277" s="34" t="inlineStr">
        <is>
          <t>顶替身份</t>
        </is>
      </c>
      <c r="B1277" s="34" t="inlineStr">
        <is>
          <t>身份盗用罪</t>
        </is>
      </c>
      <c r="C1277" s="34">
        <f>IF(AND($A1276&lt;&gt;"",'算罪台'!$B$4&lt;&gt;"",ISNUMBER(SEARCH($A1276,'算罪台'!$B$4))),1,0)</f>
        <v/>
      </c>
      <c r="D1277" s="34">
        <f>IF(AND($A1276&lt;&gt;"",'算罪台'!$B$5&lt;&gt;"",ISNUMBER(SEARCH($A1276,'算罪台'!$B$5))),1,0)</f>
        <v/>
      </c>
      <c r="E1277" s="34">
        <f>IF(AND($A1276&lt;&gt;"",'算罪台'!$B$6&lt;&gt;"",ISNUMBER(SEARCH($A1276,'算罪台'!$B$6))),1,0)</f>
        <v/>
      </c>
    </row>
    <row r="1278">
      <c r="A1278" s="34" t="inlineStr">
        <is>
          <t>盗刷他人</t>
        </is>
      </c>
      <c r="B1278" s="34" t="inlineStr">
        <is>
          <t>身份盗用罪</t>
        </is>
      </c>
      <c r="C1278" s="34">
        <f>IF(AND($A1277&lt;&gt;"",'算罪台'!$B$4&lt;&gt;"",ISNUMBER(SEARCH($A1277,'算罪台'!$B$4))),1,0)</f>
        <v/>
      </c>
      <c r="D1278" s="34">
        <f>IF(AND($A1277&lt;&gt;"",'算罪台'!$B$5&lt;&gt;"",ISNUMBER(SEARCH($A1277,'算罪台'!$B$5))),1,0)</f>
        <v/>
      </c>
      <c r="E1278" s="34">
        <f>IF(AND($A1277&lt;&gt;"",'算罪台'!$B$6&lt;&gt;"",ISNUMBER(SEARCH($A1277,'算罪台'!$B$6))),1,0)</f>
        <v/>
      </c>
    </row>
    <row r="1279">
      <c r="A1279" s="34" t="inlineStr">
        <is>
          <t>盗用他人身份</t>
        </is>
      </c>
      <c r="B1279" s="34" t="inlineStr">
        <is>
          <t>身份盗用罪</t>
        </is>
      </c>
      <c r="C1279" s="34">
        <f>IF(AND($A1278&lt;&gt;"",'算罪台'!$B$4&lt;&gt;"",ISNUMBER(SEARCH($A1278,'算罪台'!$B$4))),1,0)</f>
        <v/>
      </c>
      <c r="D1279" s="34">
        <f>IF(AND($A1278&lt;&gt;"",'算罪台'!$B$5&lt;&gt;"",ISNUMBER(SEARCH($A1278,'算罪台'!$B$5))),1,0)</f>
        <v/>
      </c>
      <c r="E1279" s="34">
        <f>IF(AND($A1278&lt;&gt;"",'算罪台'!$B$6&lt;&gt;"",ISNUMBER(SEARCH($A1278,'算罪台'!$B$6))),1,0)</f>
        <v/>
      </c>
    </row>
    <row r="1280">
      <c r="A1280" s="34" t="inlineStr">
        <is>
          <t>窃取个人信息</t>
        </is>
      </c>
      <c r="B1280" s="34" t="inlineStr">
        <is>
          <t>身份盗用罪</t>
        </is>
      </c>
      <c r="C1280" s="34">
        <f>IF(AND($A1279&lt;&gt;"",'算罪台'!$B$4&lt;&gt;"",ISNUMBER(SEARCH($A1279,'算罪台'!$B$4))),1,0)</f>
        <v/>
      </c>
      <c r="D1280" s="34">
        <f>IF(AND($A1279&lt;&gt;"",'算罪台'!$B$5&lt;&gt;"",ISNUMBER(SEARCH($A1279,'算罪台'!$B$5))),1,0)</f>
        <v/>
      </c>
      <c r="E1280" s="34">
        <f>IF(AND($A1279&lt;&gt;"",'算罪台'!$B$6&lt;&gt;"",ISNUMBER(SEARCH($A1279,'算罪台'!$B$6))),1,0)</f>
        <v/>
      </c>
    </row>
    <row r="1281">
      <c r="A1281" s="34" t="inlineStr">
        <is>
          <t>假冒他人身份</t>
        </is>
      </c>
      <c r="B1281" s="34" t="inlineStr">
        <is>
          <t>身份盗用罪</t>
        </is>
      </c>
      <c r="C1281" s="34">
        <f>IF(AND($A1280&lt;&gt;"",'算罪台'!$B$4&lt;&gt;"",ISNUMBER(SEARCH($A1280,'算罪台'!$B$4))),1,0)</f>
        <v/>
      </c>
      <c r="D1281" s="34">
        <f>IF(AND($A1280&lt;&gt;"",'算罪台'!$B$5&lt;&gt;"",ISNUMBER(SEARCH($A1280,'算罪台'!$B$5))),1,0)</f>
        <v/>
      </c>
      <c r="E1281" s="34">
        <f>IF(AND($A1280&lt;&gt;"",'算罪台'!$B$6&lt;&gt;"",ISNUMBER(SEARCH($A1280,'算罪台'!$B$6))),1,0)</f>
        <v/>
      </c>
    </row>
    <row r="1282">
      <c r="A1282" s="34" t="inlineStr">
        <is>
          <t>盗用他人信息</t>
        </is>
      </c>
      <c r="B1282" s="34" t="inlineStr">
        <is>
          <t>身份盗用罪</t>
        </is>
      </c>
      <c r="C1282" s="34">
        <f>IF(AND($A1281&lt;&gt;"",'算罪台'!$B$4&lt;&gt;"",ISNUMBER(SEARCH($A1281,'算罪台'!$B$4))),1,0)</f>
        <v/>
      </c>
      <c r="D1282" s="34">
        <f>IF(AND($A1281&lt;&gt;"",'算罪台'!$B$5&lt;&gt;"",ISNUMBER(SEARCH($A1281,'算罪台'!$B$5))),1,0)</f>
        <v/>
      </c>
      <c r="E1282" s="34">
        <f>IF(AND($A1281&lt;&gt;"",'算罪台'!$B$6&lt;&gt;"",ISNUMBER(SEARCH($A1281,'算罪台'!$B$6))),1,0)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袁尘</dc:creator>
  <dc:title>圣安地列斯州 · 案件罪名分析器</dc:title>
  <dc:description>原创制作：袁尘</dc:description>
  <dc:subject>FiveM RP 案件罪名分析</dc:subject>
  <dcterms:created xsi:type="dcterms:W3CDTF">2026-06-26T22:48:22Z</dcterms:created>
  <dcterms:modified xsi:type="dcterms:W3CDTF">2026-06-26T22:48:23Z</dcterms:modified>
  <cp:lastModifiedBy>袁尘</cp:lastModifiedBy>
  <cp:keywords>袁尘 原创</cp:keywords>
</cp:coreProperties>
</file>