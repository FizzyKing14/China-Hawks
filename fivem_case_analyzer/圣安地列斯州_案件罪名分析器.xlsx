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i val="1"/>
      <color rgb="006B7280"/>
      <sz val="9"/>
    </font>
    <font>
      <b val="1"/>
      <color rgb="00FFFFFF"/>
      <sz val="15"/>
    </font>
    <font>
      <b val="1"/>
      <color rgb="001F3A5F"/>
      <sz val="11"/>
    </font>
  </fonts>
  <fills count="1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5" fillId="7" borderId="0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left" vertical="center" wrapText="1"/>
    </xf>
    <xf numFmtId="0" fontId="0" fillId="5" borderId="0" pivotButton="0" quotePrefix="0" xfId="0"/>
    <xf numFmtId="0" fontId="7" fillId="8" borderId="0" applyAlignment="1" pivotButton="0" quotePrefix="0" xfId="0">
      <alignment horizontal="center" vertical="center" wrapText="1"/>
    </xf>
    <xf numFmtId="0" fontId="8" fillId="9" borderId="1" applyAlignment="1" pivotButton="0" quotePrefix="0" xfId="0">
      <alignment vertical="top" wrapText="1"/>
    </xf>
    <xf numFmtId="0" fontId="0" fillId="9" borderId="1" pivotButton="0" quotePrefix="0" xfId="0"/>
    <xf numFmtId="0" fontId="7" fillId="10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9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3" fontId="9" fillId="13" borderId="1" applyAlignment="1" pivotButton="0" quotePrefix="0" xfId="0">
      <alignment horizontal="center" vertical="center" wrapText="1"/>
    </xf>
    <xf numFmtId="3" fontId="10" fillId="13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center" vertical="center" wrapText="1"/>
    </xf>
    <xf numFmtId="0" fontId="0" fillId="7" borderId="4" pivotButton="0" quotePrefix="0" xfId="0"/>
    <xf numFmtId="0" fontId="12" fillId="6" borderId="0" applyAlignment="1" pivotButton="0" quotePrefix="0" xfId="0">
      <alignment vertical="top" wrapText="1"/>
    </xf>
    <xf numFmtId="0" fontId="3" fillId="6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IF('罪名表'!$J$62="","（这句话没识别到罪名，请补充细节或去「关键词库」加词）",'罪名表'!$J$62)</f>
        <v/>
      </c>
      <c r="C10" s="19">
        <f>SUM('罪名表'!$G$2:$G$62)</f>
        <v/>
      </c>
      <c r="D10" s="20">
        <f>MIN(60,SUMIF('罪名表'!$G$2:$G$62,1,'罪名表'!$D$2:$D$62))</f>
        <v/>
      </c>
      <c r="E10" s="21">
        <f>SUMIF('罪名表'!$G$2:$G$62,1,'罪名表'!$E$2:$E$62)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IF('罪名表'!$K$62="","（这句话没识别到罪名，请补充细节或去「关键词库」加词）",'罪名表'!$K$62)</f>
        <v/>
      </c>
      <c r="C11" s="19">
        <f>SUM('罪名表'!$H$2:$H$62)</f>
        <v/>
      </c>
      <c r="D11" s="20">
        <f>MIN(60,SUMIF('罪名表'!$H$2:$H$62,1,'罪名表'!$D$2:$D$62))</f>
        <v/>
      </c>
      <c r="E11" s="21">
        <f>SUMIF('罪名表'!$H$2:$H$62,1,'罪名表'!$E$2:$E$62)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IF('罪名表'!$L$62="","（这句话没识别到罪名，请补充细节或去「关键词库」加词）",'罪名表'!$L$62)</f>
        <v/>
      </c>
      <c r="C12" s="19">
        <f>SUM('罪名表'!$I$2:$I$62)</f>
        <v/>
      </c>
      <c r="D12" s="20">
        <f>MIN(60,SUMIF('罪名表'!$I$2:$I$62,1,'罪名表'!$D$2:$D$62))</f>
        <v/>
      </c>
      <c r="E12" s="21">
        <f>SUMIF('罪名表'!$I$2:$I$62,1,'罪名表'!$E$2:$E$62)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32" customHeight="1">
      <c r="A16" s="27" t="inlineStr">
        <is>
          <t>提示 · 写得越具体识别越准（如「持枪、拒捕、开枪、逃跑、贩毒」这些词）；保释金 = 刑期(月)×罚款÷6；识别不到的说法，去「关键词库」加一行即可。</t>
        </is>
      </c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28" t="inlineStr">
        <is>
          <t xml:space="preserve">原创制作：袁尘　</t>
        </is>
      </c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</sheetData>
  <mergeCells count="13">
    <mergeCell ref="B4:F4"/>
    <mergeCell ref="A2:F2"/>
    <mergeCell ref="A16:F16"/>
    <mergeCell ref="A6"/>
    <mergeCell ref="B6:F6"/>
    <mergeCell ref="A4"/>
    <mergeCell ref="A14:F14"/>
    <mergeCell ref="A1:F1"/>
    <mergeCell ref="B5:F5"/>
    <mergeCell ref="A8:F8"/>
    <mergeCell ref="A18:F18"/>
    <mergeCell ref="A3:F3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甲累积</t>
        </is>
      </c>
      <c r="K1" s="16" t="inlineStr">
        <is>
          <t>乙累积</t>
        </is>
      </c>
      <c r="L1" s="16" t="inlineStr">
        <is>
          <t>丙累积</t>
        </is>
      </c>
    </row>
    <row r="2" ht="26" customHeight="1">
      <c r="A2" s="29" t="inlineStr">
        <is>
          <t>二·人身</t>
        </is>
      </c>
      <c r="B2" s="30" t="inlineStr">
        <is>
          <t>威胁罪</t>
        </is>
      </c>
      <c r="C2" s="31" t="inlineStr">
        <is>
          <t>轻罪</t>
        </is>
      </c>
      <c r="D2" s="29" t="n">
        <v>12</v>
      </c>
      <c r="E2" s="32" t="n">
        <v>8000</v>
      </c>
      <c r="F2" s="33" t="inlineStr">
        <is>
          <t>口头/书面/网络威胁他人或其亲友</t>
        </is>
      </c>
      <c r="G2" s="34">
        <f>IF(SUMIFS('关键词库'!$C$2:$C$486,'关键词库'!$B$2:$B$486,$B2)&gt;0,1,0)</f>
        <v/>
      </c>
      <c r="H2" s="34">
        <f>IF(SUMIFS('关键词库'!$D$2:$D$486,'关键词库'!$B$2:$B$486,$B2)&gt;0,1,0)</f>
        <v/>
      </c>
      <c r="I2" s="34">
        <f>IF(SUMIFS('关键词库'!$E$2:$E$486,'关键词库'!$B$2:$B$486,$B2)&gt;0,1,0)</f>
        <v/>
      </c>
      <c r="J2" s="34">
        <f>IF($G2=1,$B2,"")</f>
        <v/>
      </c>
      <c r="K2" s="34">
        <f>IF($H2=1,$B2,"")</f>
        <v/>
      </c>
      <c r="L2" s="34">
        <f>IF($I2=1,$B2,"")</f>
        <v/>
      </c>
    </row>
    <row r="3" ht="26" customHeight="1">
      <c r="A3" s="29" t="inlineStr">
        <is>
          <t>二·人身</t>
        </is>
      </c>
      <c r="B3" s="30" t="inlineStr">
        <is>
          <t>持有危险武器人身攻击罪</t>
        </is>
      </c>
      <c r="C3" s="35" t="inlineStr">
        <is>
          <t>重罪</t>
        </is>
      </c>
      <c r="D3" s="29" t="n">
        <v>48</v>
      </c>
      <c r="E3" s="32" t="n">
        <v>20000</v>
      </c>
      <c r="F3" s="33" t="inlineStr">
        <is>
          <t>用武器/工具威胁或伤害他人</t>
        </is>
      </c>
      <c r="G3" s="34">
        <f>IF(SUMIFS('关键词库'!$C$2:$C$486,'关键词库'!$B$2:$B$486,$B3)&gt;0,1,0)</f>
        <v/>
      </c>
      <c r="H3" s="34">
        <f>IF(SUMIFS('关键词库'!$D$2:$D$486,'关键词库'!$B$2:$B$486,$B3)&gt;0,1,0)</f>
        <v/>
      </c>
      <c r="I3" s="34">
        <f>IF(SUMIFS('关键词库'!$E$2:$E$486,'关键词库'!$B$2:$B$486,$B3)&gt;0,1,0)</f>
        <v/>
      </c>
      <c r="J3" s="34">
        <f>IF($G3=1,IF($J2="",$B3,$J2&amp;"、"&amp;$B3),$J2)</f>
        <v/>
      </c>
      <c r="K3" s="34">
        <f>IF($H3=1,IF($K2="",$B3,$K2&amp;"、"&amp;$B3),$K2)</f>
        <v/>
      </c>
      <c r="L3" s="34">
        <f>IF($I3=1,IF($L2="",$B3,$L2&amp;"、"&amp;$B3),$L2)</f>
        <v/>
      </c>
    </row>
    <row r="4" ht="26" customHeight="1">
      <c r="A4" s="29" t="inlineStr">
        <is>
          <t>二·人身</t>
        </is>
      </c>
      <c r="B4" s="30" t="inlineStr">
        <is>
          <t>一级谋杀罪</t>
        </is>
      </c>
      <c r="C4" s="35" t="inlineStr">
        <is>
          <t>重罪</t>
        </is>
      </c>
      <c r="D4" s="29" t="n">
        <v>60</v>
      </c>
      <c r="E4" s="32" t="n">
        <v>30000</v>
      </c>
      <c r="F4" s="33" t="inlineStr">
        <is>
          <t>预谋故意杀人 / 重罪过程中杀人</t>
        </is>
      </c>
      <c r="G4" s="34">
        <f>IF(SUMIFS('关键词库'!$C$2:$C$486,'关键词库'!$B$2:$B$486,$B4)&gt;0,1,0)</f>
        <v/>
      </c>
      <c r="H4" s="34">
        <f>IF(SUMIFS('关键词库'!$D$2:$D$486,'关键词库'!$B$2:$B$486,$B4)&gt;0,1,0)</f>
        <v/>
      </c>
      <c r="I4" s="34">
        <f>IF(SUMIFS('关键词库'!$E$2:$E$486,'关键词库'!$B$2:$B$486,$B4)&gt;0,1,0)</f>
        <v/>
      </c>
      <c r="J4" s="34">
        <f>IF($G4=1,IF($J3="",$B4,$J3&amp;"、"&amp;$B4),$J3)</f>
        <v/>
      </c>
      <c r="K4" s="34">
        <f>IF($H4=1,IF($K3="",$B4,$K3&amp;"、"&amp;$B4),$K3)</f>
        <v/>
      </c>
      <c r="L4" s="34">
        <f>IF($I4=1,IF($L3="",$B4,$L3&amp;"、"&amp;$B4),$L3)</f>
        <v/>
      </c>
    </row>
    <row r="5" ht="26" customHeight="1">
      <c r="A5" s="29" t="inlineStr">
        <is>
          <t>二·人身</t>
        </is>
      </c>
      <c r="B5" s="30" t="inlineStr">
        <is>
          <t>二级谋杀罪</t>
        </is>
      </c>
      <c r="C5" s="35" t="inlineStr">
        <is>
          <t>重罪</t>
        </is>
      </c>
      <c r="D5" s="29" t="n">
        <v>60</v>
      </c>
      <c r="E5" s="32" t="n">
        <v>20000</v>
      </c>
      <c r="F5" s="33" t="inlineStr">
        <is>
          <t>非预谋的故意杀人 (3至5年)</t>
        </is>
      </c>
      <c r="G5" s="34">
        <f>IF(SUMIFS('关键词库'!$C$2:$C$486,'关键词库'!$B$2:$B$486,$B5)&gt;0,1,0)</f>
        <v/>
      </c>
      <c r="H5" s="34">
        <f>IF(SUMIFS('关键词库'!$D$2:$D$486,'关键词库'!$B$2:$B$486,$B5)&gt;0,1,0)</f>
        <v/>
      </c>
      <c r="I5" s="34">
        <f>IF(SUMIFS('关键词库'!$E$2:$E$486,'关键词库'!$B$2:$B$486,$B5)&gt;0,1,0)</f>
        <v/>
      </c>
      <c r="J5" s="34">
        <f>IF($G5=1,IF($J4="",$B5,$J4&amp;"、"&amp;$B5),$J4)</f>
        <v/>
      </c>
      <c r="K5" s="34">
        <f>IF($H5=1,IF($K4="",$B5,$K4&amp;"、"&amp;$B5),$K4)</f>
        <v/>
      </c>
      <c r="L5" s="34">
        <f>IF($I5=1,IF($L4="",$B5,$L4&amp;"、"&amp;$B5),$L4)</f>
        <v/>
      </c>
    </row>
    <row r="6" ht="26" customHeight="1">
      <c r="A6" s="29" t="inlineStr">
        <is>
          <t>二·人身</t>
        </is>
      </c>
      <c r="B6" s="30" t="inlineStr">
        <is>
          <t>三级谋杀罪</t>
        </is>
      </c>
      <c r="C6" s="35" t="inlineStr">
        <is>
          <t>重罪</t>
        </is>
      </c>
      <c r="D6" s="29" t="n">
        <v>60</v>
      </c>
      <c r="E6" s="32" t="n">
        <v>15000</v>
      </c>
      <c r="F6" s="33" t="inlineStr">
        <is>
          <t>无意致死/鲁莽过失致死 (3至5年, 不含正当防卫)</t>
        </is>
      </c>
      <c r="G6" s="34">
        <f>IF(SUMIFS('关键词库'!$C$2:$C$486,'关键词库'!$B$2:$B$486,$B6)&gt;0,1,0)</f>
        <v/>
      </c>
      <c r="H6" s="34">
        <f>IF(SUMIFS('关键词库'!$D$2:$D$486,'关键词库'!$B$2:$B$486,$B6)&gt;0,1,0)</f>
        <v/>
      </c>
      <c r="I6" s="34">
        <f>IF(SUMIFS('关键词库'!$E$2:$E$486,'关键词库'!$B$2:$B$486,$B6)&gt;0,1,0)</f>
        <v/>
      </c>
      <c r="J6" s="34">
        <f>IF($G6=1,IF($J5="",$B6,$J5&amp;"、"&amp;$B6),$J5)</f>
        <v/>
      </c>
      <c r="K6" s="34">
        <f>IF($H6=1,IF($K5="",$B6,$K5&amp;"、"&amp;$B6),$K5)</f>
        <v/>
      </c>
      <c r="L6" s="34">
        <f>IF($I6=1,IF($L5="",$B6,$L5&amp;"、"&amp;$B6),$L5)</f>
        <v/>
      </c>
    </row>
    <row r="7" ht="26" customHeight="1">
      <c r="A7" s="29" t="inlineStr">
        <is>
          <t>二·人身</t>
        </is>
      </c>
      <c r="B7" s="30" t="inlineStr">
        <is>
          <t>非法拘禁罪</t>
        </is>
      </c>
      <c r="C7" s="35" t="inlineStr">
        <is>
          <t>重罪</t>
        </is>
      </c>
      <c r="D7" s="29" t="n">
        <v>36</v>
      </c>
      <c r="E7" s="32" t="n">
        <v>15000</v>
      </c>
      <c r="F7" s="33" t="inlineStr">
        <is>
          <t>违背意愿约束/扣押/拘禁他人</t>
        </is>
      </c>
      <c r="G7" s="34">
        <f>IF(SUMIFS('关键词库'!$C$2:$C$486,'关键词库'!$B$2:$B$486,$B7)&gt;0,1,0)</f>
        <v/>
      </c>
      <c r="H7" s="34">
        <f>IF(SUMIFS('关键词库'!$D$2:$D$486,'关键词库'!$B$2:$B$486,$B7)&gt;0,1,0)</f>
        <v/>
      </c>
      <c r="I7" s="34">
        <f>IF(SUMIFS('关键词库'!$E$2:$E$486,'关键词库'!$B$2:$B$486,$B7)&gt;0,1,0)</f>
        <v/>
      </c>
      <c r="J7" s="34">
        <f>IF($G7=1,IF($J6="",$B7,$J6&amp;"、"&amp;$B7),$J6)</f>
        <v/>
      </c>
      <c r="K7" s="34">
        <f>IF($H7=1,IF($K6="",$B7,$K6&amp;"、"&amp;$B7),$K6)</f>
        <v/>
      </c>
      <c r="L7" s="34">
        <f>IF($I7=1,IF($L6="",$B7,$L6&amp;"、"&amp;$B7),$L6)</f>
        <v/>
      </c>
    </row>
    <row r="8" ht="26" customHeight="1">
      <c r="A8" s="29" t="inlineStr">
        <is>
          <t>二·人身</t>
        </is>
      </c>
      <c r="B8" s="30" t="inlineStr">
        <is>
          <t>故意袭击罪</t>
        </is>
      </c>
      <c r="C8" s="35" t="inlineStr">
        <is>
          <t>重罪</t>
        </is>
      </c>
      <c r="D8" s="29" t="n">
        <v>36</v>
      </c>
      <c r="E8" s="32" t="n">
        <v>15000</v>
      </c>
      <c r="F8" s="33" t="inlineStr">
        <is>
          <t>蓄意暴力致他人身体受伤</t>
        </is>
      </c>
      <c r="G8" s="34">
        <f>IF(SUMIFS('关键词库'!$C$2:$C$486,'关键词库'!$B$2:$B$486,$B8)&gt;0,1,0)</f>
        <v/>
      </c>
      <c r="H8" s="34">
        <f>IF(SUMIFS('关键词库'!$D$2:$D$486,'关键词库'!$B$2:$B$486,$B8)&gt;0,1,0)</f>
        <v/>
      </c>
      <c r="I8" s="34">
        <f>IF(SUMIFS('关键词库'!$E$2:$E$486,'关键词库'!$B$2:$B$486,$B8)&gt;0,1,0)</f>
        <v/>
      </c>
      <c r="J8" s="34">
        <f>IF($G8=1,IF($J7="",$B8,$J7&amp;"、"&amp;$B8),$J7)</f>
        <v/>
      </c>
      <c r="K8" s="34">
        <f>IF($H8=1,IF($K7="",$B8,$K7&amp;"、"&amp;$B8),$K7)</f>
        <v/>
      </c>
      <c r="L8" s="34">
        <f>IF($I8=1,IF($L7="",$B8,$L7&amp;"、"&amp;$B8),$L7)</f>
        <v/>
      </c>
    </row>
    <row r="9" ht="26" customHeight="1">
      <c r="A9" s="29" t="inlineStr">
        <is>
          <t>二·人身</t>
        </is>
      </c>
      <c r="B9" s="30" t="inlineStr">
        <is>
          <t>绑架罪</t>
        </is>
      </c>
      <c r="C9" s="35" t="inlineStr">
        <is>
          <t>重罪</t>
        </is>
      </c>
      <c r="D9" s="29" t="n">
        <v>60</v>
      </c>
      <c r="E9" s="32" t="n">
        <v>25000</v>
      </c>
      <c r="F9" s="33" t="inlineStr">
        <is>
          <t>侵占/羁押/控制他人意图恐吓</t>
        </is>
      </c>
      <c r="G9" s="34">
        <f>IF(SUMIFS('关键词库'!$C$2:$C$486,'关键词库'!$B$2:$B$486,$B9)&gt;0,1,0)</f>
        <v/>
      </c>
      <c r="H9" s="34">
        <f>IF(SUMIFS('关键词库'!$D$2:$D$486,'关键词库'!$B$2:$B$486,$B9)&gt;0,1,0)</f>
        <v/>
      </c>
      <c r="I9" s="34">
        <f>IF(SUMIFS('关键词库'!$E$2:$E$486,'关键词库'!$B$2:$B$486,$B9)&gt;0,1,0)</f>
        <v/>
      </c>
      <c r="J9" s="34">
        <f>IF($G9=1,IF($J8="",$B9,$J8&amp;"、"&amp;$B9),$J8)</f>
        <v/>
      </c>
      <c r="K9" s="34">
        <f>IF($H9=1,IF($K8="",$B9,$K8&amp;"、"&amp;$B9),$K8)</f>
        <v/>
      </c>
      <c r="L9" s="34">
        <f>IF($I9=1,IF($L8="",$B9,$L8&amp;"、"&amp;$B9),$L8)</f>
        <v/>
      </c>
    </row>
    <row r="10" ht="26" customHeight="1">
      <c r="A10" s="29" t="inlineStr">
        <is>
          <t>二·人身</t>
        </is>
      </c>
      <c r="B10" s="30" t="inlineStr">
        <is>
          <t>亵渎尸体罪</t>
        </is>
      </c>
      <c r="C10" s="35" t="inlineStr">
        <is>
          <t>重罪</t>
        </is>
      </c>
      <c r="D10" s="29" t="n">
        <v>24</v>
      </c>
      <c r="E10" s="32" t="n">
        <v>20000</v>
      </c>
      <c r="F10" s="33" t="inlineStr">
        <is>
          <t>毁损/处置尸体掩盖犯罪</t>
        </is>
      </c>
      <c r="G10" s="34">
        <f>IF(SUMIFS('关键词库'!$C$2:$C$486,'关键词库'!$B$2:$B$486,$B10)&gt;0,1,0)</f>
        <v/>
      </c>
      <c r="H10" s="34">
        <f>IF(SUMIFS('关键词库'!$D$2:$D$486,'关键词库'!$B$2:$B$486,$B10)&gt;0,1,0)</f>
        <v/>
      </c>
      <c r="I10" s="34">
        <f>IF(SUMIFS('关键词库'!$E$2:$E$486,'关键词库'!$B$2:$B$486,$B10)&gt;0,1,0)</f>
        <v/>
      </c>
      <c r="J10" s="34">
        <f>IF($G10=1,IF($J9="",$B10,$J9&amp;"、"&amp;$B10),$J9)</f>
        <v/>
      </c>
      <c r="K10" s="34">
        <f>IF($H10=1,IF($K9="",$B10,$K9&amp;"、"&amp;$B10),$K9)</f>
        <v/>
      </c>
      <c r="L10" s="34">
        <f>IF($I10=1,IF($L9="",$B10,$L9&amp;"、"&amp;$B10),$L9)</f>
        <v/>
      </c>
    </row>
    <row r="11" ht="26" customHeight="1">
      <c r="A11" s="29" t="inlineStr">
        <is>
          <t>二·人身</t>
        </is>
      </c>
      <c r="B11" s="30" t="inlineStr">
        <is>
          <t>诈骗罪</t>
        </is>
      </c>
      <c r="C11" s="35" t="inlineStr">
        <is>
          <t>重罪</t>
        </is>
      </c>
      <c r="D11" s="29" t="n">
        <v>60</v>
      </c>
      <c r="E11" s="32" t="n">
        <v>5000</v>
      </c>
      <c r="F11" s="33" t="inlineStr">
        <is>
          <t>以欺诈欺瞒获取他人财物 (1-5年)</t>
        </is>
      </c>
      <c r="G11" s="34">
        <f>IF(SUMIFS('关键词库'!$C$2:$C$486,'关键词库'!$B$2:$B$486,$B11)&gt;0,1,0)</f>
        <v/>
      </c>
      <c r="H11" s="34">
        <f>IF(SUMIFS('关键词库'!$D$2:$D$486,'关键词库'!$B$2:$B$486,$B11)&gt;0,1,0)</f>
        <v/>
      </c>
      <c r="I11" s="34">
        <f>IF(SUMIFS('关键词库'!$E$2:$E$486,'关键词库'!$B$2:$B$486,$B11)&gt;0,1,0)</f>
        <v/>
      </c>
      <c r="J11" s="34">
        <f>IF($G11=1,IF($J10="",$B11,$J10&amp;"、"&amp;$B11),$J10)</f>
        <v/>
      </c>
      <c r="K11" s="34">
        <f>IF($H11=1,IF($K10="",$B11,$K10&amp;"、"&amp;$B11),$K10)</f>
        <v/>
      </c>
      <c r="L11" s="34">
        <f>IF($I11=1,IF($L10="",$B11,$L10&amp;"、"&amp;$B11),$L10)</f>
        <v/>
      </c>
    </row>
    <row r="12" ht="26" customHeight="1">
      <c r="A12" s="29" t="inlineStr">
        <is>
          <t>三·财产</t>
        </is>
      </c>
      <c r="B12" s="30" t="inlineStr">
        <is>
          <t>非法入侵罪</t>
        </is>
      </c>
      <c r="C12" s="31" t="inlineStr">
        <is>
          <t>轻罪</t>
        </is>
      </c>
      <c r="D12" s="29" t="n">
        <v>24</v>
      </c>
      <c r="E12" s="32" t="n">
        <v>8000</v>
      </c>
      <c r="F12" s="33" t="inlineStr">
        <is>
          <t>被要求离开后仍拒绝离开</t>
        </is>
      </c>
      <c r="G12" s="34">
        <f>IF(SUMIFS('关键词库'!$C$2:$C$486,'关键词库'!$B$2:$B$486,$B12)&gt;0,1,0)</f>
        <v/>
      </c>
      <c r="H12" s="34">
        <f>IF(SUMIFS('关键词库'!$D$2:$D$486,'关键词库'!$B$2:$B$486,$B12)&gt;0,1,0)</f>
        <v/>
      </c>
      <c r="I12" s="34">
        <f>IF(SUMIFS('关键词库'!$E$2:$E$486,'关键词库'!$B$2:$B$486,$B12)&gt;0,1,0)</f>
        <v/>
      </c>
      <c r="J12" s="34">
        <f>IF($G12=1,IF($J11="",$B12,$J11&amp;"、"&amp;$B12),$J11)</f>
        <v/>
      </c>
      <c r="K12" s="34">
        <f>IF($H12=1,IF($K11="",$B12,$K11&amp;"、"&amp;$B12),$K11)</f>
        <v/>
      </c>
      <c r="L12" s="34">
        <f>IF($I12=1,IF($L11="",$B12,$L11&amp;"、"&amp;$B12),$L11)</f>
        <v/>
      </c>
    </row>
    <row r="13" ht="26" customHeight="1">
      <c r="A13" s="29" t="inlineStr">
        <is>
          <t>三·财产</t>
        </is>
      </c>
      <c r="B13" s="30" t="inlineStr">
        <is>
          <t>非法入侵禁区罪</t>
        </is>
      </c>
      <c r="C13" s="31" t="inlineStr">
        <is>
          <t>轻罪</t>
        </is>
      </c>
      <c r="D13" s="29" t="n">
        <v>36</v>
      </c>
      <c r="E13" s="32" t="n">
        <v>10000</v>
      </c>
      <c r="F13" s="33" t="inlineStr">
        <is>
          <t>未经授权进入警局/机场/军事基地等限制区</t>
        </is>
      </c>
      <c r="G13" s="34">
        <f>IF(SUMIFS('关键词库'!$C$2:$C$486,'关键词库'!$B$2:$B$486,$B13)&gt;0,1,0)</f>
        <v/>
      </c>
      <c r="H13" s="34">
        <f>IF(SUMIFS('关键词库'!$D$2:$D$486,'关键词库'!$B$2:$B$486,$B13)&gt;0,1,0)</f>
        <v/>
      </c>
      <c r="I13" s="34">
        <f>IF(SUMIFS('关键词库'!$E$2:$E$486,'关键词库'!$B$2:$B$486,$B13)&gt;0,1,0)</f>
        <v/>
      </c>
      <c r="J13" s="34">
        <f>IF($G13=1,IF($J12="",$B13,$J12&amp;"、"&amp;$B13),$J12)</f>
        <v/>
      </c>
      <c r="K13" s="34">
        <f>IF($H13=1,IF($K12="",$B13,$K12&amp;"、"&amp;$B13),$K12)</f>
        <v/>
      </c>
      <c r="L13" s="34">
        <f>IF($I13=1,IF($L12="",$B13,$L12&amp;"、"&amp;$B13),$L12)</f>
        <v/>
      </c>
    </row>
    <row r="14" ht="26" customHeight="1">
      <c r="A14" s="29" t="inlineStr">
        <is>
          <t>三·财产</t>
        </is>
      </c>
      <c r="B14" s="30" t="inlineStr">
        <is>
          <t>入室盗窃罪</t>
        </is>
      </c>
      <c r="C14" s="35" t="inlineStr">
        <is>
          <t>重罪</t>
        </is>
      </c>
      <c r="D14" s="29" t="n">
        <v>36</v>
      </c>
      <c r="E14" s="32" t="n">
        <v>25000</v>
      </c>
      <c r="F14" s="33" t="inlineStr">
        <is>
          <t>擅入住宅/办公室/仓库盗窃, 另需赔偿</t>
        </is>
      </c>
      <c r="G14" s="34">
        <f>IF(SUMIFS('关键词库'!$C$2:$C$486,'关键词库'!$B$2:$B$486,$B14)&gt;0,1,0)</f>
        <v/>
      </c>
      <c r="H14" s="34">
        <f>IF(SUMIFS('关键词库'!$D$2:$D$486,'关键词库'!$B$2:$B$486,$B14)&gt;0,1,0)</f>
        <v/>
      </c>
      <c r="I14" s="34">
        <f>IF(SUMIFS('关键词库'!$E$2:$E$486,'关键词库'!$B$2:$B$486,$B14)&gt;0,1,0)</f>
        <v/>
      </c>
      <c r="J14" s="34">
        <f>IF($G14=1,IF($J13="",$B14,$J13&amp;"、"&amp;$B14),$J13)</f>
        <v/>
      </c>
      <c r="K14" s="34">
        <f>IF($H14=1,IF($K13="",$B14,$K13&amp;"、"&amp;$B14),$K13)</f>
        <v/>
      </c>
      <c r="L14" s="34">
        <f>IF($I14=1,IF($L13="",$B14,$L13&amp;"、"&amp;$B14),$L13)</f>
        <v/>
      </c>
    </row>
    <row r="15" ht="26" customHeight="1">
      <c r="A15" s="29" t="inlineStr">
        <is>
          <t>三·财产</t>
        </is>
      </c>
      <c r="B15" s="30" t="inlineStr">
        <is>
          <t>抢劫罪</t>
        </is>
      </c>
      <c r="C15" s="35" t="inlineStr">
        <is>
          <t>重罪</t>
        </is>
      </c>
      <c r="D15" s="29" t="n">
        <v>60</v>
      </c>
      <c r="E15" s="32" t="n">
        <v>20000</v>
      </c>
      <c r="F15" s="33" t="inlineStr">
        <is>
          <t>以武力/威胁强夺他人财产, 另需赔偿</t>
        </is>
      </c>
      <c r="G15" s="34">
        <f>IF(SUMIFS('关键词库'!$C$2:$C$486,'关键词库'!$B$2:$B$486,$B15)&gt;0,1,0)</f>
        <v/>
      </c>
      <c r="H15" s="34">
        <f>IF(SUMIFS('关键词库'!$D$2:$D$486,'关键词库'!$B$2:$B$486,$B15)&gt;0,1,0)</f>
        <v/>
      </c>
      <c r="I15" s="34">
        <f>IF(SUMIFS('关键词库'!$E$2:$E$486,'关键词库'!$B$2:$B$486,$B15)&gt;0,1,0)</f>
        <v/>
      </c>
      <c r="J15" s="34">
        <f>IF($G15=1,IF($J14="",$B15,$J14&amp;"、"&amp;$B15),$J14)</f>
        <v/>
      </c>
      <c r="K15" s="34">
        <f>IF($H15=1,IF($K14="",$B15,$K14&amp;"、"&amp;$B15),$K14)</f>
        <v/>
      </c>
      <c r="L15" s="34">
        <f>IF($I15=1,IF($L14="",$B15,$L14&amp;"、"&amp;$B15),$L14)</f>
        <v/>
      </c>
    </row>
    <row r="16" ht="26" customHeight="1">
      <c r="A16" s="29" t="inlineStr">
        <is>
          <t>三·财产</t>
        </is>
      </c>
      <c r="B16" s="30" t="inlineStr">
        <is>
          <t>盗窃罪</t>
        </is>
      </c>
      <c r="C16" s="35" t="inlineStr">
        <is>
          <t>重罪</t>
        </is>
      </c>
      <c r="D16" s="29" t="n">
        <v>48</v>
      </c>
      <c r="E16" s="32" t="n">
        <v>20000</v>
      </c>
      <c r="F16" s="33" t="inlineStr">
        <is>
          <t>盗窃/占用他人财物, 另需赔偿</t>
        </is>
      </c>
      <c r="G16" s="34">
        <f>IF(SUMIFS('关键词库'!$C$2:$C$486,'关键词库'!$B$2:$B$486,$B16)&gt;0,1,0)</f>
        <v/>
      </c>
      <c r="H16" s="34">
        <f>IF(SUMIFS('关键词库'!$D$2:$D$486,'关键词库'!$B$2:$B$486,$B16)&gt;0,1,0)</f>
        <v/>
      </c>
      <c r="I16" s="34">
        <f>IF(SUMIFS('关键词库'!$E$2:$E$486,'关键词库'!$B$2:$B$486,$B16)&gt;0,1,0)</f>
        <v/>
      </c>
      <c r="J16" s="34">
        <f>IF($G16=1,IF($J15="",$B16,$J15&amp;"、"&amp;$B16),$J15)</f>
        <v/>
      </c>
      <c r="K16" s="34">
        <f>IF($H16=1,IF($K15="",$B16,$K15&amp;"、"&amp;$B16),$K15)</f>
        <v/>
      </c>
      <c r="L16" s="34">
        <f>IF($I16=1,IF($L15="",$B16,$L15&amp;"、"&amp;$B16),$L15)</f>
        <v/>
      </c>
    </row>
    <row r="17" ht="26" customHeight="1">
      <c r="A17" s="29" t="inlineStr">
        <is>
          <t>三·财产</t>
        </is>
      </c>
      <c r="B17" s="30" t="inlineStr">
        <is>
          <t>盗窃车辆罪</t>
        </is>
      </c>
      <c r="C17" s="31" t="inlineStr">
        <is>
          <t>轻罪</t>
        </is>
      </c>
      <c r="D17" s="29" t="n">
        <v>12</v>
      </c>
      <c r="E17" s="32" t="n">
        <v>5000</v>
      </c>
      <c r="F17" s="33" t="inlineStr">
        <is>
          <t>默认未造成严重后果(轻罪1年$5000); 严重后果=重罪4年$15000, 均赔偿</t>
        </is>
      </c>
      <c r="G17" s="34">
        <f>IF(SUMIFS('关键词库'!$C$2:$C$486,'关键词库'!$B$2:$B$486,$B17)&gt;0,1,0)</f>
        <v/>
      </c>
      <c r="H17" s="34">
        <f>IF(SUMIFS('关键词库'!$D$2:$D$486,'关键词库'!$B$2:$B$486,$B17)&gt;0,1,0)</f>
        <v/>
      </c>
      <c r="I17" s="34">
        <f>IF(SUMIFS('关键词库'!$E$2:$E$486,'关键词库'!$B$2:$B$486,$B17)&gt;0,1,0)</f>
        <v/>
      </c>
      <c r="J17" s="34">
        <f>IF($G17=1,IF($J16="",$B17,$J16&amp;"、"&amp;$B17),$J16)</f>
        <v/>
      </c>
      <c r="K17" s="34">
        <f>IF($H17=1,IF($K16="",$B17,$K16&amp;"、"&amp;$B17),$K16)</f>
        <v/>
      </c>
      <c r="L17" s="34">
        <f>IF($I17=1,IF($L16="",$B17,$L16&amp;"、"&amp;$B17),$L16)</f>
        <v/>
      </c>
    </row>
    <row r="18" ht="26" customHeight="1">
      <c r="A18" s="29" t="inlineStr">
        <is>
          <t>三·财产</t>
        </is>
      </c>
      <c r="B18" s="30" t="inlineStr">
        <is>
          <t>收受赃物罪</t>
        </is>
      </c>
      <c r="C18" s="31" t="inlineStr">
        <is>
          <t>轻罪</t>
        </is>
      </c>
      <c r="D18" s="29" t="n">
        <v>24</v>
      </c>
      <c r="E18" s="32" t="n">
        <v>10000</v>
      </c>
      <c r="F18" s="33" t="inlineStr">
        <is>
          <t>默认赃值&lt;$5000(轻罪2年$10000); ≥$5000=重罪4年$20000</t>
        </is>
      </c>
      <c r="G18" s="34">
        <f>IF(SUMIFS('关键词库'!$C$2:$C$486,'关键词库'!$B$2:$B$486,$B18)&gt;0,1,0)</f>
        <v/>
      </c>
      <c r="H18" s="34">
        <f>IF(SUMIFS('关键词库'!$D$2:$D$486,'关键词库'!$B$2:$B$486,$B18)&gt;0,1,0)</f>
        <v/>
      </c>
      <c r="I18" s="34">
        <f>IF(SUMIFS('关键词库'!$E$2:$E$486,'关键词库'!$B$2:$B$486,$B18)&gt;0,1,0)</f>
        <v/>
      </c>
      <c r="J18" s="34">
        <f>IF($G18=1,IF($J17="",$B18,$J17&amp;"、"&amp;$B18),$J17)</f>
        <v/>
      </c>
      <c r="K18" s="34">
        <f>IF($H18=1,IF($K17="",$B18,$K17&amp;"、"&amp;$B18),$K17)</f>
        <v/>
      </c>
      <c r="L18" s="34">
        <f>IF($I18=1,IF($L17="",$B18,$L17&amp;"、"&amp;$B18),$L17)</f>
        <v/>
      </c>
    </row>
    <row r="19" ht="26" customHeight="1">
      <c r="A19" s="29" t="inlineStr">
        <is>
          <t>三·财产</t>
        </is>
      </c>
      <c r="B19" s="30" t="inlineStr">
        <is>
          <t>敲诈勒索罪</t>
        </is>
      </c>
      <c r="C19" s="35" t="inlineStr">
        <is>
          <t>重罪</t>
        </is>
      </c>
      <c r="D19" s="29" t="n">
        <v>24</v>
      </c>
      <c r="E19" s="32" t="n">
        <v>20000</v>
      </c>
      <c r="F19" s="33" t="inlineStr">
        <is>
          <t>以威胁/恐吓/滥权强迫他人交付财物</t>
        </is>
      </c>
      <c r="G19" s="34">
        <f>IF(SUMIFS('关键词库'!$C$2:$C$486,'关键词库'!$B$2:$B$486,$B19)&gt;0,1,0)</f>
        <v/>
      </c>
      <c r="H19" s="34">
        <f>IF(SUMIFS('关键词库'!$D$2:$D$486,'关键词库'!$B$2:$B$486,$B19)&gt;0,1,0)</f>
        <v/>
      </c>
      <c r="I19" s="34">
        <f>IF(SUMIFS('关键词库'!$E$2:$E$486,'关键词库'!$B$2:$B$486,$B19)&gt;0,1,0)</f>
        <v/>
      </c>
      <c r="J19" s="34">
        <f>IF($G19=1,IF($J18="",$B19,$J18&amp;"、"&amp;$B19),$J18)</f>
        <v/>
      </c>
      <c r="K19" s="34">
        <f>IF($H19=1,IF($K18="",$B19,$K18&amp;"、"&amp;$B19),$K18)</f>
        <v/>
      </c>
      <c r="L19" s="34">
        <f>IF($I19=1,IF($L18="",$B19,$L18&amp;"、"&amp;$B19),$L18)</f>
        <v/>
      </c>
    </row>
    <row r="20" ht="26" customHeight="1">
      <c r="A20" s="29" t="inlineStr">
        <is>
          <t>三·财产</t>
        </is>
      </c>
      <c r="B20" s="30" t="inlineStr">
        <is>
          <t>蓄意破坏罪</t>
        </is>
      </c>
      <c r="C20" s="31" t="inlineStr">
        <is>
          <t>轻罪</t>
        </is>
      </c>
      <c r="D20" s="29" t="n">
        <v>24</v>
      </c>
      <c r="E20" s="32" t="n">
        <v>25000</v>
      </c>
      <c r="F20" s="33" t="inlineStr">
        <is>
          <t>蓄意破坏他人财产/车辆, 另需赔偿</t>
        </is>
      </c>
      <c r="G20" s="34">
        <f>IF(SUMIFS('关键词库'!$C$2:$C$486,'关键词库'!$B$2:$B$486,$B20)&gt;0,1,0)</f>
        <v/>
      </c>
      <c r="H20" s="34">
        <f>IF(SUMIFS('关键词库'!$D$2:$D$486,'关键词库'!$B$2:$B$486,$B20)&gt;0,1,0)</f>
        <v/>
      </c>
      <c r="I20" s="34">
        <f>IF(SUMIFS('关键词库'!$E$2:$E$486,'关键词库'!$B$2:$B$486,$B20)&gt;0,1,0)</f>
        <v/>
      </c>
      <c r="J20" s="34">
        <f>IF($G20=1,IF($J19="",$B20,$J19&amp;"、"&amp;$B20),$J19)</f>
        <v/>
      </c>
      <c r="K20" s="34">
        <f>IF($H20=1,IF($K19="",$B20,$K19&amp;"、"&amp;$B20),$K19)</f>
        <v/>
      </c>
      <c r="L20" s="34">
        <f>IF($I20=1,IF($L19="",$B20,$L19&amp;"、"&amp;$B20),$L19)</f>
        <v/>
      </c>
    </row>
    <row r="21" ht="26" customHeight="1">
      <c r="A21" s="29" t="inlineStr">
        <is>
          <t>三·财产</t>
        </is>
      </c>
      <c r="B21" s="30" t="inlineStr">
        <is>
          <t>挪用公款公物罪</t>
        </is>
      </c>
      <c r="C21" s="31" t="inlineStr">
        <is>
          <t>轻罪</t>
        </is>
      </c>
      <c r="D21" s="29" t="n">
        <v>48</v>
      </c>
      <c r="E21" s="32" t="n">
        <v>80000</v>
      </c>
      <c r="F21" s="33" t="inlineStr">
        <is>
          <t>擅自挪用受托管理的财物, 另需赔偿</t>
        </is>
      </c>
      <c r="G21" s="34">
        <f>IF(SUMIFS('关键词库'!$C$2:$C$486,'关键词库'!$B$2:$B$486,$B21)&gt;0,1,0)</f>
        <v/>
      </c>
      <c r="H21" s="34">
        <f>IF(SUMIFS('关键词库'!$D$2:$D$486,'关键词库'!$B$2:$B$486,$B21)&gt;0,1,0)</f>
        <v/>
      </c>
      <c r="I21" s="34">
        <f>IF(SUMIFS('关键词库'!$E$2:$E$486,'关键词库'!$B$2:$B$486,$B21)&gt;0,1,0)</f>
        <v/>
      </c>
      <c r="J21" s="34">
        <f>IF($G21=1,IF($J20="",$B21,$J20&amp;"、"&amp;$B21),$J20)</f>
        <v/>
      </c>
      <c r="K21" s="34">
        <f>IF($H21=1,IF($K20="",$B21,$K20&amp;"、"&amp;$B21),$K20)</f>
        <v/>
      </c>
      <c r="L21" s="34">
        <f>IF($I21=1,IF($L20="",$B21,$L20&amp;"、"&amp;$B21),$L20)</f>
        <v/>
      </c>
    </row>
    <row r="22" ht="26" customHeight="1">
      <c r="A22" s="29" t="inlineStr">
        <is>
          <t>三·财产</t>
        </is>
      </c>
      <c r="B22" s="30" t="inlineStr">
        <is>
          <t>持有失窃物品罪</t>
        </is>
      </c>
      <c r="C22" s="31" t="inlineStr">
        <is>
          <t>轻罪</t>
        </is>
      </c>
      <c r="D22" s="29" t="n">
        <v>24</v>
      </c>
      <c r="E22" s="32" t="n">
        <v>2000</v>
      </c>
      <c r="F22" s="33" t="inlineStr">
        <is>
          <t>非法占有他人遗失/失窃财物 (1-2年), 另需赔偿</t>
        </is>
      </c>
      <c r="G22" s="34">
        <f>IF(SUMIFS('关键词库'!$C$2:$C$486,'关键词库'!$B$2:$B$486,$B22)&gt;0,1,0)</f>
        <v/>
      </c>
      <c r="H22" s="34">
        <f>IF(SUMIFS('关键词库'!$D$2:$D$486,'关键词库'!$B$2:$B$486,$B22)&gt;0,1,0)</f>
        <v/>
      </c>
      <c r="I22" s="34">
        <f>IF(SUMIFS('关键词库'!$E$2:$E$486,'关键词库'!$B$2:$B$486,$B22)&gt;0,1,0)</f>
        <v/>
      </c>
      <c r="J22" s="34">
        <f>IF($G22=1,IF($J21="",$B22,$J21&amp;"、"&amp;$B22),$J21)</f>
        <v/>
      </c>
      <c r="K22" s="34">
        <f>IF($H22=1,IF($K21="",$B22,$K21&amp;"、"&amp;$B22),$K21)</f>
        <v/>
      </c>
      <c r="L22" s="34">
        <f>IF($I22=1,IF($L21="",$B22,$L21&amp;"、"&amp;$B22),$L21)</f>
        <v/>
      </c>
    </row>
    <row r="23" ht="26" customHeight="1">
      <c r="A23" s="29" t="inlineStr">
        <is>
          <t>四·公德</t>
        </is>
      </c>
      <c r="B23" s="30" t="inlineStr">
        <is>
          <t>在公共场合从事淫秽行为罪</t>
        </is>
      </c>
      <c r="C23" s="31" t="inlineStr">
        <is>
          <t>轻罪</t>
        </is>
      </c>
      <c r="D23" s="29" t="n">
        <v>24</v>
      </c>
      <c r="E23" s="32" t="n">
        <v>10000</v>
      </c>
      <c r="F23" s="33" t="inlineStr">
        <is>
          <t>公开场所性行为/猥亵/招嫖 (1-2年)</t>
        </is>
      </c>
      <c r="G23" s="34">
        <f>IF(SUMIFS('关键词库'!$C$2:$C$486,'关键词库'!$B$2:$B$486,$B23)&gt;0,1,0)</f>
        <v/>
      </c>
      <c r="H23" s="34">
        <f>IF(SUMIFS('关键词库'!$D$2:$D$486,'关键词库'!$B$2:$B$486,$B23)&gt;0,1,0)</f>
        <v/>
      </c>
      <c r="I23" s="34">
        <f>IF(SUMIFS('关键词库'!$E$2:$E$486,'关键词库'!$B$2:$B$486,$B23)&gt;0,1,0)</f>
        <v/>
      </c>
      <c r="J23" s="34">
        <f>IF($G23=1,IF($J22="",$B23,$J22&amp;"、"&amp;$B23),$J22)</f>
        <v/>
      </c>
      <c r="K23" s="34">
        <f>IF($H23=1,IF($K22="",$B23,$K22&amp;"、"&amp;$B23),$K22)</f>
        <v/>
      </c>
      <c r="L23" s="34">
        <f>IF($I23=1,IF($L22="",$B23,$L22&amp;"、"&amp;$B23),$L22)</f>
        <v/>
      </c>
    </row>
    <row r="24" ht="26" customHeight="1">
      <c r="A24" s="29" t="inlineStr">
        <is>
          <t>四·公德</t>
        </is>
      </c>
      <c r="B24" s="30" t="inlineStr">
        <is>
          <t>组织卖淫罪</t>
        </is>
      </c>
      <c r="C24" s="35" t="inlineStr">
        <is>
          <t>重罪</t>
        </is>
      </c>
      <c r="D24" s="29" t="n">
        <v>36</v>
      </c>
      <c r="E24" s="32" t="n">
        <v>15000</v>
      </c>
      <c r="F24" s="33" t="inlineStr">
        <is>
          <t>支持/介绍/强迫他人卖淫牟利</t>
        </is>
      </c>
      <c r="G24" s="34">
        <f>IF(SUMIFS('关键词库'!$C$2:$C$486,'关键词库'!$B$2:$B$486,$B24)&gt;0,1,0)</f>
        <v/>
      </c>
      <c r="H24" s="34">
        <f>IF(SUMIFS('关键词库'!$D$2:$D$486,'关键词库'!$B$2:$B$486,$B24)&gt;0,1,0)</f>
        <v/>
      </c>
      <c r="I24" s="34">
        <f>IF(SUMIFS('关键词库'!$E$2:$E$486,'关键词库'!$B$2:$B$486,$B24)&gt;0,1,0)</f>
        <v/>
      </c>
      <c r="J24" s="34">
        <f>IF($G24=1,IF($J23="",$B24,$J23&amp;"、"&amp;$B24),$J23)</f>
        <v/>
      </c>
      <c r="K24" s="34">
        <f>IF($H24=1,IF($K23="",$B24,$K23&amp;"、"&amp;$B24),$K23)</f>
        <v/>
      </c>
      <c r="L24" s="34">
        <f>IF($I24=1,IF($L23="",$B24,$L23&amp;"、"&amp;$B24),$L23)</f>
        <v/>
      </c>
    </row>
    <row r="25" ht="26" customHeight="1">
      <c r="A25" s="29" t="inlineStr">
        <is>
          <t>四·公德</t>
        </is>
      </c>
      <c r="B25" s="30" t="inlineStr">
        <is>
          <t>卖淫罪</t>
        </is>
      </c>
      <c r="C25" s="31" t="inlineStr">
        <is>
          <t>轻罪</t>
        </is>
      </c>
      <c r="D25" s="29" t="n">
        <v>24</v>
      </c>
      <c r="E25" s="32" t="n">
        <v>15000</v>
      </c>
      <c r="F25" s="33" t="inlineStr">
        <is>
          <t>以性服务换取财物</t>
        </is>
      </c>
      <c r="G25" s="34">
        <f>IF(SUMIFS('关键词库'!$C$2:$C$486,'关键词库'!$B$2:$B$486,$B25)&gt;0,1,0)</f>
        <v/>
      </c>
      <c r="H25" s="34">
        <f>IF(SUMIFS('关键词库'!$D$2:$D$486,'关键词库'!$B$2:$B$486,$B25)&gt;0,1,0)</f>
        <v/>
      </c>
      <c r="I25" s="34">
        <f>IF(SUMIFS('关键词库'!$E$2:$E$486,'关键词库'!$B$2:$B$486,$B25)&gt;0,1,0)</f>
        <v/>
      </c>
      <c r="J25" s="34">
        <f>IF($G25=1,IF($J24="",$B25,$J24&amp;"、"&amp;$B25),$J24)</f>
        <v/>
      </c>
      <c r="K25" s="34">
        <f>IF($H25=1,IF($K24="",$B25,$K24&amp;"、"&amp;$B25),$K24)</f>
        <v/>
      </c>
      <c r="L25" s="34">
        <f>IF($I25=1,IF($L24="",$B25,$L24&amp;"、"&amp;$B25),$L24)</f>
        <v/>
      </c>
    </row>
    <row r="26" ht="26" customHeight="1">
      <c r="A26" s="29" t="inlineStr">
        <is>
          <t>四·公德</t>
        </is>
      </c>
      <c r="B26" s="30" t="inlineStr">
        <is>
          <t>强奸罪</t>
        </is>
      </c>
      <c r="C26" s="35" t="inlineStr">
        <is>
          <t>重罪</t>
        </is>
      </c>
      <c r="D26" s="29" t="n">
        <v>60</v>
      </c>
      <c r="E26" s="32" t="n">
        <v>30000</v>
      </c>
      <c r="F26" s="33" t="inlineStr">
        <is>
          <t>违背意愿强迫性行为 / 与未满18岁者发生关系</t>
        </is>
      </c>
      <c r="G26" s="34">
        <f>IF(SUMIFS('关键词库'!$C$2:$C$486,'关键词库'!$B$2:$B$486,$B26)&gt;0,1,0)</f>
        <v/>
      </c>
      <c r="H26" s="34">
        <f>IF(SUMIFS('关键词库'!$D$2:$D$486,'关键词库'!$B$2:$B$486,$B26)&gt;0,1,0)</f>
        <v/>
      </c>
      <c r="I26" s="34">
        <f>IF(SUMIFS('关键词库'!$E$2:$E$486,'关键词库'!$B$2:$B$486,$B26)&gt;0,1,0)</f>
        <v/>
      </c>
      <c r="J26" s="34">
        <f>IF($G26=1,IF($J25="",$B26,$J25&amp;"、"&amp;$B26),$J25)</f>
        <v/>
      </c>
      <c r="K26" s="34">
        <f>IF($H26=1,IF($K25="",$B26,$K25&amp;"、"&amp;$B26),$K25)</f>
        <v/>
      </c>
      <c r="L26" s="34">
        <f>IF($I26=1,IF($L25="",$B26,$L25&amp;"、"&amp;$B26),$L25)</f>
        <v/>
      </c>
    </row>
    <row r="27" ht="26" customHeight="1">
      <c r="A27" s="29" t="inlineStr">
        <is>
          <t>四·公德</t>
        </is>
      </c>
      <c r="B27" s="30" t="inlineStr">
        <is>
          <t>传播淫秽色情罪</t>
        </is>
      </c>
      <c r="C27" s="31" t="inlineStr">
        <is>
          <t>轻罪</t>
        </is>
      </c>
      <c r="D27" s="29" t="n">
        <v>12</v>
      </c>
      <c r="E27" s="32" t="n">
        <v>8000</v>
      </c>
      <c r="F27" s="33" t="inlineStr">
        <is>
          <t>制作/传播/贩卖淫秽色情内容</t>
        </is>
      </c>
      <c r="G27" s="34">
        <f>IF(SUMIFS('关键词库'!$C$2:$C$486,'关键词库'!$B$2:$B$486,$B27)&gt;0,1,0)</f>
        <v/>
      </c>
      <c r="H27" s="34">
        <f>IF(SUMIFS('关键词库'!$D$2:$D$486,'关键词库'!$B$2:$B$486,$B27)&gt;0,1,0)</f>
        <v/>
      </c>
      <c r="I27" s="34">
        <f>IF(SUMIFS('关键词库'!$E$2:$E$486,'关键词库'!$B$2:$B$486,$B27)&gt;0,1,0)</f>
        <v/>
      </c>
      <c r="J27" s="34">
        <f>IF($G27=1,IF($J26="",$B27,$J26&amp;"、"&amp;$B27),$J26)</f>
        <v/>
      </c>
      <c r="K27" s="34">
        <f>IF($H27=1,IF($K26="",$B27,$K26&amp;"、"&amp;$B27),$K26)</f>
        <v/>
      </c>
      <c r="L27" s="34">
        <f>IF($I27=1,IF($L26="",$B27,$L26&amp;"、"&amp;$B27),$L26)</f>
        <v/>
      </c>
    </row>
    <row r="28" ht="26" customHeight="1">
      <c r="A28" s="29" t="inlineStr">
        <is>
          <t>四·公德</t>
        </is>
      </c>
      <c r="B28" s="30" t="inlineStr">
        <is>
          <t>歧视罪</t>
        </is>
      </c>
      <c r="C28" s="31" t="inlineStr">
        <is>
          <t>轻罪</t>
        </is>
      </c>
      <c r="D28" s="29" t="n">
        <v>36</v>
      </c>
      <c r="E28" s="32" t="n">
        <v>30000</v>
      </c>
      <c r="F28" s="33" t="inlineStr">
        <is>
          <t>因受保护特征贬低/辱骂/歧视他人</t>
        </is>
      </c>
      <c r="G28" s="34">
        <f>IF(SUMIFS('关键词库'!$C$2:$C$486,'关键词库'!$B$2:$B$486,$B28)&gt;0,1,0)</f>
        <v/>
      </c>
      <c r="H28" s="34">
        <f>IF(SUMIFS('关键词库'!$D$2:$D$486,'关键词库'!$B$2:$B$486,$B28)&gt;0,1,0)</f>
        <v/>
      </c>
      <c r="I28" s="34">
        <f>IF(SUMIFS('关键词库'!$E$2:$E$486,'关键词库'!$B$2:$B$486,$B28)&gt;0,1,0)</f>
        <v/>
      </c>
      <c r="J28" s="34">
        <f>IF($G28=1,IF($J27="",$B28,$J27&amp;"、"&amp;$B28),$J27)</f>
        <v/>
      </c>
      <c r="K28" s="34">
        <f>IF($H28=1,IF($K27="",$B28,$K27&amp;"、"&amp;$B28),$K27)</f>
        <v/>
      </c>
      <c r="L28" s="34">
        <f>IF($I28=1,IF($L27="",$B28,$L27&amp;"、"&amp;$B28),$L27)</f>
        <v/>
      </c>
    </row>
    <row r="29" ht="26" customHeight="1">
      <c r="A29" s="29" t="inlineStr">
        <is>
          <t>四·公德</t>
        </is>
      </c>
      <c r="B29" s="30" t="inlineStr">
        <is>
          <t>诽谤罪</t>
        </is>
      </c>
      <c r="C29" s="31" t="inlineStr">
        <is>
          <t>轻罪</t>
        </is>
      </c>
      <c r="D29" s="29" t="n">
        <v>24</v>
      </c>
      <c r="E29" s="32" t="n">
        <v>15000</v>
      </c>
      <c r="F29" s="33" t="inlineStr">
        <is>
          <t>捏造/传播虚假信息损害名誉</t>
        </is>
      </c>
      <c r="G29" s="34">
        <f>IF(SUMIFS('关键词库'!$C$2:$C$486,'关键词库'!$B$2:$B$486,$B29)&gt;0,1,0)</f>
        <v/>
      </c>
      <c r="H29" s="34">
        <f>IF(SUMIFS('关键词库'!$D$2:$D$486,'关键词库'!$B$2:$B$486,$B29)&gt;0,1,0)</f>
        <v/>
      </c>
      <c r="I29" s="34">
        <f>IF(SUMIFS('关键词库'!$E$2:$E$486,'关键词库'!$B$2:$B$486,$B29)&gt;0,1,0)</f>
        <v/>
      </c>
      <c r="J29" s="34">
        <f>IF($G29=1,IF($J28="",$B29,$J28&amp;"、"&amp;$B29),$J28)</f>
        <v/>
      </c>
      <c r="K29" s="34">
        <f>IF($H29=1,IF($K28="",$B29,$K28&amp;"、"&amp;$B29),$K28)</f>
        <v/>
      </c>
      <c r="L29" s="34">
        <f>IF($I29=1,IF($L28="",$B29,$L28&amp;"、"&amp;$B29),$L28)</f>
        <v/>
      </c>
    </row>
    <row r="30" ht="26" customHeight="1">
      <c r="A30" s="29" t="inlineStr">
        <is>
          <t>五·司法</t>
        </is>
      </c>
      <c r="B30" s="30" t="inlineStr">
        <is>
          <t>行贿罪</t>
        </is>
      </c>
      <c r="C30" s="35" t="inlineStr">
        <is>
          <t>重罪</t>
        </is>
      </c>
      <c r="D30" s="29" t="n">
        <v>24</v>
      </c>
      <c r="E30" s="32" t="n">
        <v>20000</v>
      </c>
      <c r="F30" s="33" t="inlineStr">
        <is>
          <t>向政府雇员提供财物/利益以影响其职责</t>
        </is>
      </c>
      <c r="G30" s="34">
        <f>IF(SUMIFS('关键词库'!$C$2:$C$486,'关键词库'!$B$2:$B$486,$B30)&gt;0,1,0)</f>
        <v/>
      </c>
      <c r="H30" s="34">
        <f>IF(SUMIFS('关键词库'!$D$2:$D$486,'关键词库'!$B$2:$B$486,$B30)&gt;0,1,0)</f>
        <v/>
      </c>
      <c r="I30" s="34">
        <f>IF(SUMIFS('关键词库'!$E$2:$E$486,'关键词库'!$B$2:$B$486,$B30)&gt;0,1,0)</f>
        <v/>
      </c>
      <c r="J30" s="34">
        <f>IF($G30=1,IF($J29="",$B30,$J29&amp;"、"&amp;$B30),$J29)</f>
        <v/>
      </c>
      <c r="K30" s="34">
        <f>IF($H30=1,IF($K29="",$B30,$K29&amp;"、"&amp;$B30),$K29)</f>
        <v/>
      </c>
      <c r="L30" s="34">
        <f>IF($I30=1,IF($L29="",$B30,$L29&amp;"、"&amp;$B30),$L29)</f>
        <v/>
      </c>
    </row>
    <row r="31" ht="26" customHeight="1">
      <c r="A31" s="29" t="inlineStr">
        <is>
          <t>五·司法</t>
        </is>
      </c>
      <c r="B31" s="30" t="inlineStr">
        <is>
          <t>妨碍司法罪</t>
        </is>
      </c>
      <c r="C31" s="35" t="inlineStr">
        <is>
          <t>重罪</t>
        </is>
      </c>
      <c r="D31" s="29" t="n">
        <v>36</v>
      </c>
      <c r="E31" s="32" t="n">
        <v>15000</v>
      </c>
      <c r="F31" s="33" t="inlineStr">
        <is>
          <t>阻碍法律文书签署/分发/执行</t>
        </is>
      </c>
      <c r="G31" s="34">
        <f>IF(SUMIFS('关键词库'!$C$2:$C$486,'关键词库'!$B$2:$B$486,$B31)&gt;0,1,0)</f>
        <v/>
      </c>
      <c r="H31" s="34">
        <f>IF(SUMIFS('关键词库'!$D$2:$D$486,'关键词库'!$B$2:$B$486,$B31)&gt;0,1,0)</f>
        <v/>
      </c>
      <c r="I31" s="34">
        <f>IF(SUMIFS('关键词库'!$E$2:$E$486,'关键词库'!$B$2:$B$486,$B31)&gt;0,1,0)</f>
        <v/>
      </c>
      <c r="J31" s="34">
        <f>IF($G31=1,IF($J30="",$B31,$J30&amp;"、"&amp;$B31),$J30)</f>
        <v/>
      </c>
      <c r="K31" s="34">
        <f>IF($H31=1,IF($K30="",$B31,$K30&amp;"、"&amp;$B31),$K30)</f>
        <v/>
      </c>
      <c r="L31" s="34">
        <f>IF($I31=1,IF($L30="",$B31,$L30&amp;"、"&amp;$B31),$L30)</f>
        <v/>
      </c>
    </row>
    <row r="32" ht="26" customHeight="1">
      <c r="A32" s="29" t="inlineStr">
        <is>
          <t>五·司法</t>
        </is>
      </c>
      <c r="B32" s="30" t="inlineStr">
        <is>
          <t>拒绝听从执法人员命令与检查罪</t>
        </is>
      </c>
      <c r="C32" s="31" t="inlineStr">
        <is>
          <t>轻罪</t>
        </is>
      </c>
      <c r="D32" s="29" t="n">
        <v>36</v>
      </c>
      <c r="E32" s="32" t="n">
        <v>15000</v>
      </c>
      <c r="F32" s="33" t="inlineStr">
        <is>
          <t>拒绝执法人员合法命令/检查</t>
        </is>
      </c>
      <c r="G32" s="34">
        <f>IF(SUMIFS('关键词库'!$C$2:$C$486,'关键词库'!$B$2:$B$486,$B32)&gt;0,1,0)</f>
        <v/>
      </c>
      <c r="H32" s="34">
        <f>IF(SUMIFS('关键词库'!$D$2:$D$486,'关键词库'!$B$2:$B$486,$B32)&gt;0,1,0)</f>
        <v/>
      </c>
      <c r="I32" s="34">
        <f>IF(SUMIFS('关键词库'!$E$2:$E$486,'关键词库'!$B$2:$B$486,$B32)&gt;0,1,0)</f>
        <v/>
      </c>
      <c r="J32" s="34">
        <f>IF($G32=1,IF($J31="",$B32,$J31&amp;"、"&amp;$B32),$J31)</f>
        <v/>
      </c>
      <c r="K32" s="34">
        <f>IF($H32=1,IF($K31="",$B32,$K31&amp;"、"&amp;$B32),$K31)</f>
        <v/>
      </c>
      <c r="L32" s="34">
        <f>IF($I32=1,IF($L31="",$B32,$L31&amp;"、"&amp;$B32),$L31)</f>
        <v/>
      </c>
    </row>
    <row r="33" ht="26" customHeight="1">
      <c r="A33" s="29" t="inlineStr">
        <is>
          <t>五·司法</t>
        </is>
      </c>
      <c r="B33" s="30" t="inlineStr">
        <is>
          <t>拒绝提供身份罪</t>
        </is>
      </c>
      <c r="C33" s="31" t="inlineStr">
        <is>
          <t>轻罪</t>
        </is>
      </c>
      <c r="D33" s="29" t="n">
        <v>12</v>
      </c>
      <c r="E33" s="32" t="n">
        <v>10000</v>
      </c>
      <c r="F33" s="33" t="inlineStr">
        <is>
          <t>被扣留/逮捕后拒绝提供身份信息</t>
        </is>
      </c>
      <c r="G33" s="34">
        <f>IF(SUMIFS('关键词库'!$C$2:$C$486,'关键词库'!$B$2:$B$486,$B33)&gt;0,1,0)</f>
        <v/>
      </c>
      <c r="H33" s="34">
        <f>IF(SUMIFS('关键词库'!$D$2:$D$486,'关键词库'!$B$2:$B$486,$B33)&gt;0,1,0)</f>
        <v/>
      </c>
      <c r="I33" s="34">
        <f>IF(SUMIFS('关键词库'!$E$2:$E$486,'关键词库'!$B$2:$B$486,$B33)&gt;0,1,0)</f>
        <v/>
      </c>
      <c r="J33" s="34">
        <f>IF($G33=1,IF($J32="",$B33,$J32&amp;"、"&amp;$B33),$J32)</f>
        <v/>
      </c>
      <c r="K33" s="34">
        <f>IF($H33=1,IF($K32="",$B33,$K32&amp;"、"&amp;$B33),$K32)</f>
        <v/>
      </c>
      <c r="L33" s="34">
        <f>IF($I33=1,IF($L32="",$B33,$L32&amp;"、"&amp;$B33),$L32)</f>
        <v/>
      </c>
    </row>
    <row r="34" ht="26" customHeight="1">
      <c r="A34" s="29" t="inlineStr">
        <is>
          <t>五·司法</t>
        </is>
      </c>
      <c r="B34" s="30" t="inlineStr">
        <is>
          <t>破坏证据罪</t>
        </is>
      </c>
      <c r="C34" s="31" t="inlineStr">
        <is>
          <t>轻罪</t>
        </is>
      </c>
      <c r="D34" s="29" t="n">
        <v>36</v>
      </c>
      <c r="E34" s="32" t="n">
        <v>20000</v>
      </c>
      <c r="F34" s="33" t="inlineStr">
        <is>
          <t>隐瞒/销毁/篡改/伪造证据</t>
        </is>
      </c>
      <c r="G34" s="34">
        <f>IF(SUMIFS('关键词库'!$C$2:$C$486,'关键词库'!$B$2:$B$486,$B34)&gt;0,1,0)</f>
        <v/>
      </c>
      <c r="H34" s="34">
        <f>IF(SUMIFS('关键词库'!$D$2:$D$486,'关键词库'!$B$2:$B$486,$B34)&gt;0,1,0)</f>
        <v/>
      </c>
      <c r="I34" s="34">
        <f>IF(SUMIFS('关键词库'!$E$2:$E$486,'关键词库'!$B$2:$B$486,$B34)&gt;0,1,0)</f>
        <v/>
      </c>
      <c r="J34" s="34">
        <f>IF($G34=1,IF($J33="",$B34,$J33&amp;"、"&amp;$B34),$J33)</f>
        <v/>
      </c>
      <c r="K34" s="34">
        <f>IF($H34=1,IF($K33="",$B34,$K33&amp;"、"&amp;$B34),$K33)</f>
        <v/>
      </c>
      <c r="L34" s="34">
        <f>IF($I34=1,IF($L33="",$B34,$L33&amp;"、"&amp;$B34),$L33)</f>
        <v/>
      </c>
    </row>
    <row r="35" ht="26" customHeight="1">
      <c r="A35" s="29" t="inlineStr">
        <is>
          <t>五·司法</t>
        </is>
      </c>
      <c r="B35" s="30" t="inlineStr">
        <is>
          <t>冒充政府雇员罪</t>
        </is>
      </c>
      <c r="C35" s="35" t="inlineStr">
        <is>
          <t>重罪</t>
        </is>
      </c>
      <c r="D35" s="29" t="n">
        <v>24</v>
      </c>
      <c r="E35" s="32" t="n">
        <v>15000</v>
      </c>
      <c r="F35" s="33" t="inlineStr">
        <is>
          <t>假冒政府雇员身份(穿制服/佩戴徽章等)</t>
        </is>
      </c>
      <c r="G35" s="34">
        <f>IF(SUMIFS('关键词库'!$C$2:$C$486,'关键词库'!$B$2:$B$486,$B35)&gt;0,1,0)</f>
        <v/>
      </c>
      <c r="H35" s="34">
        <f>IF(SUMIFS('关键词库'!$D$2:$D$486,'关键词库'!$B$2:$B$486,$B35)&gt;0,1,0)</f>
        <v/>
      </c>
      <c r="I35" s="34">
        <f>IF(SUMIFS('关键词库'!$E$2:$E$486,'关键词库'!$B$2:$B$486,$B35)&gt;0,1,0)</f>
        <v/>
      </c>
      <c r="J35" s="34">
        <f>IF($G35=1,IF($J34="",$B35,$J34&amp;"、"&amp;$B35),$J34)</f>
        <v/>
      </c>
      <c r="K35" s="34">
        <f>IF($H35=1,IF($K34="",$B35,$K34&amp;"、"&amp;$B35),$K34)</f>
        <v/>
      </c>
      <c r="L35" s="34">
        <f>IF($I35=1,IF($L34="",$B35,$L34&amp;"、"&amp;$B35),$L34)</f>
        <v/>
      </c>
    </row>
    <row r="36" ht="26" customHeight="1">
      <c r="A36" s="29" t="inlineStr">
        <is>
          <t>五·司法</t>
        </is>
      </c>
      <c r="B36" s="30" t="inlineStr">
        <is>
          <t>虚假逮捕罪</t>
        </is>
      </c>
      <c r="C36" s="35" t="inlineStr">
        <is>
          <t>重罪</t>
        </is>
      </c>
      <c r="D36" s="29" t="n">
        <v>48</v>
      </c>
      <c r="E36" s="32" t="n">
        <v>20000</v>
      </c>
      <c r="F36" s="33" t="inlineStr">
        <is>
          <t>无法律依据以执法名义扣留/逮捕/没收(仅主管可起诉)</t>
        </is>
      </c>
      <c r="G36" s="34">
        <f>IF(SUMIFS('关键词库'!$C$2:$C$486,'关键词库'!$B$2:$B$486,$B36)&gt;0,1,0)</f>
        <v/>
      </c>
      <c r="H36" s="34">
        <f>IF(SUMIFS('关键词库'!$D$2:$D$486,'关键词库'!$B$2:$B$486,$B36)&gt;0,1,0)</f>
        <v/>
      </c>
      <c r="I36" s="34">
        <f>IF(SUMIFS('关键词库'!$E$2:$E$486,'关键词库'!$B$2:$B$486,$B36)&gt;0,1,0)</f>
        <v/>
      </c>
      <c r="J36" s="34">
        <f>IF($G36=1,IF($J35="",$B36,$J35&amp;"、"&amp;$B36),$J35)</f>
        <v/>
      </c>
      <c r="K36" s="34">
        <f>IF($H36=1,IF($K35="",$B36,$K35&amp;"、"&amp;$B36),$K35)</f>
        <v/>
      </c>
      <c r="L36" s="34">
        <f>IF($I36=1,IF($L35="",$B36,$L35&amp;"、"&amp;$B36),$L35)</f>
        <v/>
      </c>
    </row>
    <row r="37" ht="26" customHeight="1">
      <c r="A37" s="29" t="inlineStr">
        <is>
          <t>五·司法</t>
        </is>
      </c>
      <c r="B37" s="30" t="inlineStr">
        <is>
          <t>伪证罪</t>
        </is>
      </c>
      <c r="C37" s="35" t="inlineStr">
        <is>
          <t>重罪</t>
        </is>
      </c>
      <c r="D37" s="29" t="n">
        <v>48</v>
      </c>
      <c r="E37" s="32" t="n">
        <v>25000</v>
      </c>
      <c r="F37" s="33" t="inlineStr">
        <is>
          <t>司法程序中提供虚假证言/信息</t>
        </is>
      </c>
      <c r="G37" s="34">
        <f>IF(SUMIFS('关键词库'!$C$2:$C$486,'关键词库'!$B$2:$B$486,$B37)&gt;0,1,0)</f>
        <v/>
      </c>
      <c r="H37" s="34">
        <f>IF(SUMIFS('关键词库'!$D$2:$D$486,'关键词库'!$B$2:$B$486,$B37)&gt;0,1,0)</f>
        <v/>
      </c>
      <c r="I37" s="34">
        <f>IF(SUMIFS('关键词库'!$E$2:$E$486,'关键词库'!$B$2:$B$486,$B37)&gt;0,1,0)</f>
        <v/>
      </c>
      <c r="J37" s="34">
        <f>IF($G37=1,IF($J36="",$B37,$J36&amp;"、"&amp;$B37),$J36)</f>
        <v/>
      </c>
      <c r="K37" s="34">
        <f>IF($H37=1,IF($K36="",$B37,$K36&amp;"、"&amp;$B37),$K36)</f>
        <v/>
      </c>
      <c r="L37" s="34">
        <f>IF($I37=1,IF($L36="",$B37,$L36&amp;"、"&amp;$B37),$L36)</f>
        <v/>
      </c>
    </row>
    <row r="38" ht="26" customHeight="1">
      <c r="A38" s="29" t="inlineStr">
        <is>
          <t>五·司法</t>
        </is>
      </c>
      <c r="B38" s="30" t="inlineStr">
        <is>
          <t>冒充律师罪</t>
        </is>
      </c>
      <c r="C38" s="31" t="inlineStr">
        <is>
          <t>轻罪</t>
        </is>
      </c>
      <c r="D38" s="29" t="n">
        <v>36</v>
      </c>
      <c r="E38" s="32" t="n">
        <v>15000</v>
      </c>
      <c r="F38" s="33" t="inlineStr">
        <is>
          <t>未经认证从事律师业务/假扮律师</t>
        </is>
      </c>
      <c r="G38" s="34">
        <f>IF(SUMIFS('关键词库'!$C$2:$C$486,'关键词库'!$B$2:$B$486,$B38)&gt;0,1,0)</f>
        <v/>
      </c>
      <c r="H38" s="34">
        <f>IF(SUMIFS('关键词库'!$D$2:$D$486,'关键词库'!$B$2:$B$486,$B38)&gt;0,1,0)</f>
        <v/>
      </c>
      <c r="I38" s="34">
        <f>IF(SUMIFS('关键词库'!$E$2:$E$486,'关键词库'!$B$2:$B$486,$B38)&gt;0,1,0)</f>
        <v/>
      </c>
      <c r="J38" s="34">
        <f>IF($G38=1,IF($J37="",$B38,$J37&amp;"、"&amp;$B38),$J37)</f>
        <v/>
      </c>
      <c r="K38" s="34">
        <f>IF($H38=1,IF($K37="",$B38,$K37&amp;"、"&amp;$B38),$K37)</f>
        <v/>
      </c>
      <c r="L38" s="34">
        <f>IF($I38=1,IF($L37="",$B38,$L37&amp;"、"&amp;$B38),$L37)</f>
        <v/>
      </c>
    </row>
    <row r="39" ht="26" customHeight="1">
      <c r="A39" s="29" t="inlineStr">
        <is>
          <t>五·司法</t>
        </is>
      </c>
      <c r="B39" s="30" t="inlineStr">
        <is>
          <t>妨碍政府雇员执行公务罪</t>
        </is>
      </c>
      <c r="C39" s="35" t="inlineStr">
        <is>
          <t>重罪</t>
        </is>
      </c>
      <c r="D39" s="29" t="n">
        <v>36</v>
      </c>
      <c r="E39" s="32" t="n">
        <v>15000</v>
      </c>
      <c r="F39" s="33" t="inlineStr">
        <is>
          <t>抵抗/延误/阻碍执法/消防/急救/司法人员执行职责</t>
        </is>
      </c>
      <c r="G39" s="34">
        <f>IF(SUMIFS('关键词库'!$C$2:$C$486,'关键词库'!$B$2:$B$486,$B39)&gt;0,1,0)</f>
        <v/>
      </c>
      <c r="H39" s="34">
        <f>IF(SUMIFS('关键词库'!$D$2:$D$486,'关键词库'!$B$2:$B$486,$B39)&gt;0,1,0)</f>
        <v/>
      </c>
      <c r="I39" s="34">
        <f>IF(SUMIFS('关键词库'!$E$2:$E$486,'关键词库'!$B$2:$B$486,$B39)&gt;0,1,0)</f>
        <v/>
      </c>
      <c r="J39" s="34">
        <f>IF($G39=1,IF($J38="",$B39,$J38&amp;"、"&amp;$B39),$J38)</f>
        <v/>
      </c>
      <c r="K39" s="34">
        <f>IF($H39=1,IF($K38="",$B39,$K38&amp;"、"&amp;$B39),$K38)</f>
        <v/>
      </c>
      <c r="L39" s="34">
        <f>IF($I39=1,IF($L38="",$B39,$L38&amp;"、"&amp;$B39),$L38)</f>
        <v/>
      </c>
    </row>
    <row r="40" ht="26" customHeight="1">
      <c r="A40" s="29" t="inlineStr">
        <is>
          <t>五·司法</t>
        </is>
      </c>
      <c r="B40" s="30" t="inlineStr">
        <is>
          <t>拒捕罪</t>
        </is>
      </c>
      <c r="C40" s="35" t="inlineStr">
        <is>
          <t>重罪</t>
        </is>
      </c>
      <c r="D40" s="29" t="n">
        <v>36</v>
      </c>
      <c r="E40" s="32" t="n">
        <v>15000</v>
      </c>
      <c r="F40" s="33" t="inlineStr">
        <is>
          <t>逮捕时以任何方式拒绝/抗拒/逃避逮捕</t>
        </is>
      </c>
      <c r="G40" s="34">
        <f>IF(SUMIFS('关键词库'!$C$2:$C$486,'关键词库'!$B$2:$B$486,$B40)&gt;0,1,0)</f>
        <v/>
      </c>
      <c r="H40" s="34">
        <f>IF(SUMIFS('关键词库'!$D$2:$D$486,'关键词库'!$B$2:$B$486,$B40)&gt;0,1,0)</f>
        <v/>
      </c>
      <c r="I40" s="34">
        <f>IF(SUMIFS('关键词库'!$E$2:$E$486,'关键词库'!$B$2:$B$486,$B40)&gt;0,1,0)</f>
        <v/>
      </c>
      <c r="J40" s="34">
        <f>IF($G40=1,IF($J39="",$B40,$J39&amp;"、"&amp;$B40),$J39)</f>
        <v/>
      </c>
      <c r="K40" s="34">
        <f>IF($H40=1,IF($K39="",$B40,$K39&amp;"、"&amp;$B40),$K39)</f>
        <v/>
      </c>
      <c r="L40" s="34">
        <f>IF($I40=1,IF($L39="",$B40,$L39&amp;"、"&amp;$B40),$L39)</f>
        <v/>
      </c>
    </row>
    <row r="41" ht="26" customHeight="1">
      <c r="A41" s="29" t="inlineStr">
        <is>
          <t>五·司法</t>
        </is>
      </c>
      <c r="B41" s="30" t="inlineStr">
        <is>
          <t>逃避羁押罪</t>
        </is>
      </c>
      <c r="C41" s="35" t="inlineStr">
        <is>
          <t>重罪</t>
        </is>
      </c>
      <c r="D41" s="29" t="n">
        <v>36</v>
      </c>
      <c r="E41" s="32" t="n">
        <v>10000</v>
      </c>
      <c r="F41" s="33" t="inlineStr">
        <is>
          <t>被合法扣留/逮捕后逃脱监护</t>
        </is>
      </c>
      <c r="G41" s="34">
        <f>IF(SUMIFS('关键词库'!$C$2:$C$486,'关键词库'!$B$2:$B$486,$B41)&gt;0,1,0)</f>
        <v/>
      </c>
      <c r="H41" s="34">
        <f>IF(SUMIFS('关键词库'!$D$2:$D$486,'关键词库'!$B$2:$B$486,$B41)&gt;0,1,0)</f>
        <v/>
      </c>
      <c r="I41" s="34">
        <f>IF(SUMIFS('关键词库'!$E$2:$E$486,'关键词库'!$B$2:$B$486,$B41)&gt;0,1,0)</f>
        <v/>
      </c>
      <c r="J41" s="34">
        <f>IF($G41=1,IF($J40="",$B41,$J40&amp;"、"&amp;$B41),$J40)</f>
        <v/>
      </c>
      <c r="K41" s="34">
        <f>IF($H41=1,IF($K40="",$B41,$K40&amp;"、"&amp;$B41),$K40)</f>
        <v/>
      </c>
      <c r="L41" s="34">
        <f>IF($I41=1,IF($L40="",$B41,$L40&amp;"、"&amp;$B41),$L40)</f>
        <v/>
      </c>
    </row>
    <row r="42" ht="26" customHeight="1">
      <c r="A42" s="29" t="inlineStr">
        <is>
          <t>五·司法</t>
        </is>
      </c>
      <c r="B42" s="30" t="inlineStr">
        <is>
          <t>藐视法庭罪</t>
        </is>
      </c>
      <c r="C42" s="35" t="inlineStr">
        <is>
          <t>重罪</t>
        </is>
      </c>
      <c r="D42" s="29" t="n">
        <v>48</v>
      </c>
      <c r="E42" s="32" t="n">
        <v>25000</v>
      </c>
      <c r="F42" s="33" t="inlineStr">
        <is>
          <t>扰乱法庭秩序/无视法庭命令(须法官当庭宣布)</t>
        </is>
      </c>
      <c r="G42" s="34">
        <f>IF(SUMIFS('关键词库'!$C$2:$C$486,'关键词库'!$B$2:$B$486,$B42)&gt;0,1,0)</f>
        <v/>
      </c>
      <c r="H42" s="34">
        <f>IF(SUMIFS('关键词库'!$D$2:$D$486,'关键词库'!$B$2:$B$486,$B42)&gt;0,1,0)</f>
        <v/>
      </c>
      <c r="I42" s="34">
        <f>IF(SUMIFS('关键词库'!$E$2:$E$486,'关键词库'!$B$2:$B$486,$B42)&gt;0,1,0)</f>
        <v/>
      </c>
      <c r="J42" s="34">
        <f>IF($G42=1,IF($J41="",$B42,$J41&amp;"、"&amp;$B42),$J41)</f>
        <v/>
      </c>
      <c r="K42" s="34">
        <f>IF($H42=1,IF($K41="",$B42,$K41&amp;"、"&amp;$B42),$K41)</f>
        <v/>
      </c>
      <c r="L42" s="34">
        <f>IF($I42=1,IF($L41="",$B42,$L41&amp;"、"&amp;$B42),$L41)</f>
        <v/>
      </c>
    </row>
    <row r="43" ht="26" customHeight="1">
      <c r="A43" s="29" t="inlineStr">
        <is>
          <t>五·司法</t>
        </is>
      </c>
      <c r="B43" s="30" t="inlineStr">
        <is>
          <t>恶意占用公共资源罪</t>
        </is>
      </c>
      <c r="C43" s="31" t="inlineStr">
        <is>
          <t>轻罪</t>
        </is>
      </c>
      <c r="D43" s="29" t="n">
        <v>12</v>
      </c>
      <c r="E43" s="32" t="n">
        <v>5000</v>
      </c>
      <c r="F43" s="33" t="inlineStr">
        <is>
          <t>非紧急/恶意占用政府紧急热线</t>
        </is>
      </c>
      <c r="G43" s="34">
        <f>IF(SUMIFS('关键词库'!$C$2:$C$486,'关键词库'!$B$2:$B$486,$B43)&gt;0,1,0)</f>
        <v/>
      </c>
      <c r="H43" s="34">
        <f>IF(SUMIFS('关键词库'!$D$2:$D$486,'关键词库'!$B$2:$B$486,$B43)&gt;0,1,0)</f>
        <v/>
      </c>
      <c r="I43" s="34">
        <f>IF(SUMIFS('关键词库'!$E$2:$E$486,'关键词库'!$B$2:$B$486,$B43)&gt;0,1,0)</f>
        <v/>
      </c>
      <c r="J43" s="34">
        <f>IF($G43=1,IF($J42="",$B43,$J42&amp;"、"&amp;$B43),$J42)</f>
        <v/>
      </c>
      <c r="K43" s="34">
        <f>IF($H43=1,IF($K42="",$B43,$K42&amp;"、"&amp;$B43),$K42)</f>
        <v/>
      </c>
      <c r="L43" s="34">
        <f>IF($I43=1,IF($L42="",$B43,$L42&amp;"、"&amp;$B43),$L42)</f>
        <v/>
      </c>
    </row>
    <row r="44" ht="26" customHeight="1">
      <c r="A44" s="29" t="inlineStr">
        <is>
          <t>五·司法</t>
        </is>
      </c>
      <c r="B44" s="30" t="inlineStr">
        <is>
          <t>未经许可进入封闭紧急区域罪</t>
        </is>
      </c>
      <c r="C44" s="31" t="inlineStr">
        <is>
          <t>轻罪</t>
        </is>
      </c>
      <c r="D44" s="29" t="n">
        <v>12</v>
      </c>
      <c r="E44" s="32" t="n">
        <v>15000</v>
      </c>
      <c r="F44" s="33" t="inlineStr">
        <is>
          <t>未经授权进入被警戒线封闭的紧急区域</t>
        </is>
      </c>
      <c r="G44" s="34">
        <f>IF(SUMIFS('关键词库'!$C$2:$C$486,'关键词库'!$B$2:$B$486,$B44)&gt;0,1,0)</f>
        <v/>
      </c>
      <c r="H44" s="34">
        <f>IF(SUMIFS('关键词库'!$D$2:$D$486,'关键词库'!$B$2:$B$486,$B44)&gt;0,1,0)</f>
        <v/>
      </c>
      <c r="I44" s="34">
        <f>IF(SUMIFS('关键词库'!$E$2:$E$486,'关键词库'!$B$2:$B$486,$B44)&gt;0,1,0)</f>
        <v/>
      </c>
      <c r="J44" s="34">
        <f>IF($G44=1,IF($J43="",$B44,$J43&amp;"、"&amp;$B44),$J43)</f>
        <v/>
      </c>
      <c r="K44" s="34">
        <f>IF($H44=1,IF($K43="",$B44,$K43&amp;"、"&amp;$B44),$K43)</f>
        <v/>
      </c>
      <c r="L44" s="34">
        <f>IF($I44=1,IF($L43="",$B44,$L43&amp;"、"&amp;$B44),$L43)</f>
        <v/>
      </c>
    </row>
    <row r="45" ht="26" customHeight="1">
      <c r="A45" s="29" t="inlineStr">
        <is>
          <t>五·司法</t>
        </is>
      </c>
      <c r="B45" s="30" t="inlineStr">
        <is>
          <t>袭警罪</t>
        </is>
      </c>
      <c r="C45" s="35" t="inlineStr">
        <is>
          <t>重罪</t>
        </is>
      </c>
      <c r="D45" s="29" t="n">
        <v>48</v>
      </c>
      <c r="E45" s="32" t="n">
        <v>25000</v>
      </c>
      <c r="F45" s="33" t="inlineStr">
        <is>
          <t>袭击/伤害警务人员/警车/警犬</t>
        </is>
      </c>
      <c r="G45" s="34">
        <f>IF(SUMIFS('关键词库'!$C$2:$C$486,'关键词库'!$B$2:$B$486,$B45)&gt;0,1,0)</f>
        <v/>
      </c>
      <c r="H45" s="34">
        <f>IF(SUMIFS('关键词库'!$D$2:$D$486,'关键词库'!$B$2:$B$486,$B45)&gt;0,1,0)</f>
        <v/>
      </c>
      <c r="I45" s="34">
        <f>IF(SUMIFS('关键词库'!$E$2:$E$486,'关键词库'!$B$2:$B$486,$B45)&gt;0,1,0)</f>
        <v/>
      </c>
      <c r="J45" s="34">
        <f>IF($G45=1,IF($J44="",$B45,$J44&amp;"、"&amp;$B45),$J44)</f>
        <v/>
      </c>
      <c r="K45" s="34">
        <f>IF($H45=1,IF($K44="",$B45,$K44&amp;"、"&amp;$B45),$K44)</f>
        <v/>
      </c>
      <c r="L45" s="34">
        <f>IF($I45=1,IF($L44="",$B45,$L44&amp;"、"&amp;$B45),$L44)</f>
        <v/>
      </c>
    </row>
    <row r="46" ht="26" customHeight="1">
      <c r="A46" s="29" t="inlineStr">
        <is>
          <t>六·秩序</t>
        </is>
      </c>
      <c r="B46" s="30" t="inlineStr">
        <is>
          <t>扰乱治安罪</t>
        </is>
      </c>
      <c r="C46" s="31" t="inlineStr">
        <is>
          <t>轻罪</t>
        </is>
      </c>
      <c r="D46" s="29" t="n">
        <v>12</v>
      </c>
      <c r="E46" s="32" t="n">
        <v>5000</v>
      </c>
      <c r="F46" s="33" t="inlineStr">
        <is>
          <t>公共场所挑衅/扰乱/冒犯性言语</t>
        </is>
      </c>
      <c r="G46" s="34">
        <f>IF(SUMIFS('关键词库'!$C$2:$C$486,'关键词库'!$B$2:$B$486,$B46)&gt;0,1,0)</f>
        <v/>
      </c>
      <c r="H46" s="34">
        <f>IF(SUMIFS('关键词库'!$D$2:$D$486,'关键词库'!$B$2:$B$486,$B46)&gt;0,1,0)</f>
        <v/>
      </c>
      <c r="I46" s="34">
        <f>IF(SUMIFS('关键词库'!$E$2:$E$486,'关键词库'!$B$2:$B$486,$B46)&gt;0,1,0)</f>
        <v/>
      </c>
      <c r="J46" s="34">
        <f>IF($G46=1,IF($J45="",$B46,$J45&amp;"、"&amp;$B46),$J45)</f>
        <v/>
      </c>
      <c r="K46" s="34">
        <f>IF($H46=1,IF($K45="",$B46,$K45&amp;"、"&amp;$B46),$K45)</f>
        <v/>
      </c>
      <c r="L46" s="34">
        <f>IF($I46=1,IF($L45="",$B46,$L45&amp;"、"&amp;$B46),$L45)</f>
        <v/>
      </c>
    </row>
    <row r="47" ht="26" customHeight="1">
      <c r="A47" s="29" t="inlineStr">
        <is>
          <t>六·秩序</t>
        </is>
      </c>
      <c r="B47" s="30" t="inlineStr">
        <is>
          <t>非法集会罪</t>
        </is>
      </c>
      <c r="C47" s="31" t="inlineStr">
        <is>
          <t>轻罪</t>
        </is>
      </c>
      <c r="D47" s="29" t="n">
        <v>12</v>
      </c>
      <c r="E47" s="32" t="n">
        <v>20000</v>
      </c>
      <c r="F47" s="33" t="inlineStr">
        <is>
          <t>两人以上聚集引发骚乱/非法行动</t>
        </is>
      </c>
      <c r="G47" s="34">
        <f>IF(SUMIFS('关键词库'!$C$2:$C$486,'关键词库'!$B$2:$B$486,$B47)&gt;0,1,0)</f>
        <v/>
      </c>
      <c r="H47" s="34">
        <f>IF(SUMIFS('关键词库'!$D$2:$D$486,'关键词库'!$B$2:$B$486,$B47)&gt;0,1,0)</f>
        <v/>
      </c>
      <c r="I47" s="34">
        <f>IF(SUMIFS('关键词库'!$E$2:$E$486,'关键词库'!$B$2:$B$486,$B47)&gt;0,1,0)</f>
        <v/>
      </c>
      <c r="J47" s="34">
        <f>IF($G47=1,IF($J46="",$B47,$J46&amp;"、"&amp;$B47),$J46)</f>
        <v/>
      </c>
      <c r="K47" s="34">
        <f>IF($H47=1,IF($K46="",$B47,$K46&amp;"、"&amp;$B47),$K46)</f>
        <v/>
      </c>
      <c r="L47" s="34">
        <f>IF($I47=1,IF($L46="",$B47,$L46&amp;"、"&amp;$B47),$L46)</f>
        <v/>
      </c>
    </row>
    <row r="48" ht="26" customHeight="1">
      <c r="A48" s="29" t="inlineStr">
        <is>
          <t>六·秩序</t>
        </is>
      </c>
      <c r="B48" s="30" t="inlineStr">
        <is>
          <t>煽动暴乱罪</t>
        </is>
      </c>
      <c r="C48" s="35" t="inlineStr">
        <is>
          <t>重罪</t>
        </is>
      </c>
      <c r="D48" s="29" t="n">
        <v>48</v>
      </c>
      <c r="E48" s="32" t="n">
        <v>0</v>
      </c>
      <c r="F48" s="33" t="inlineStr">
        <is>
          <t>意图引起暴乱/鼓励他人暴力破坏(仅监禁)</t>
        </is>
      </c>
      <c r="G48" s="34">
        <f>IF(SUMIFS('关键词库'!$C$2:$C$486,'关键词库'!$B$2:$B$486,$B48)&gt;0,1,0)</f>
        <v/>
      </c>
      <c r="H48" s="34">
        <f>IF(SUMIFS('关键词库'!$D$2:$D$486,'关键词库'!$B$2:$B$486,$B48)&gt;0,1,0)</f>
        <v/>
      </c>
      <c r="I48" s="34">
        <f>IF(SUMIFS('关键词库'!$E$2:$E$486,'关键词库'!$B$2:$B$486,$B48)&gt;0,1,0)</f>
        <v/>
      </c>
      <c r="J48" s="34">
        <f>IF($G48=1,IF($J47="",$B48,$J47&amp;"、"&amp;$B48),$J47)</f>
        <v/>
      </c>
      <c r="K48" s="34">
        <f>IF($H48=1,IF($K47="",$B48,$K47&amp;"、"&amp;$B48),$K47)</f>
        <v/>
      </c>
      <c r="L48" s="34">
        <f>IF($I48=1,IF($L47="",$B48,$L47&amp;"、"&amp;$B48),$L47)</f>
        <v/>
      </c>
    </row>
    <row r="49" ht="26" customHeight="1">
      <c r="A49" s="29" t="inlineStr">
        <is>
          <t>六·秩序</t>
        </is>
      </c>
      <c r="B49" s="30" t="inlineStr">
        <is>
          <t>遮挡面部罪</t>
        </is>
      </c>
      <c r="C49" s="31" t="inlineStr">
        <is>
          <t>轻罪</t>
        </is>
      </c>
      <c r="D49" s="29" t="n">
        <v>24</v>
      </c>
      <c r="E49" s="32" t="n">
        <v>5000</v>
      </c>
      <c r="F49" s="33" t="inlineStr">
        <is>
          <t>遮面拒揭 / 犯罪过程中遮面(节庆等除外)</t>
        </is>
      </c>
      <c r="G49" s="34">
        <f>IF(SUMIFS('关键词库'!$C$2:$C$486,'关键词库'!$B$2:$B$486,$B49)&gt;0,1,0)</f>
        <v/>
      </c>
      <c r="H49" s="34">
        <f>IF(SUMIFS('关键词库'!$D$2:$D$486,'关键词库'!$B$2:$B$486,$B49)&gt;0,1,0)</f>
        <v/>
      </c>
      <c r="I49" s="34">
        <f>IF(SUMIFS('关键词库'!$E$2:$E$486,'关键词库'!$B$2:$B$486,$B49)&gt;0,1,0)</f>
        <v/>
      </c>
      <c r="J49" s="34">
        <f>IF($G49=1,IF($J48="",$B49,$J48&amp;"、"&amp;$B49),$J48)</f>
        <v/>
      </c>
      <c r="K49" s="34">
        <f>IF($H49=1,IF($K48="",$B49,$K48&amp;"、"&amp;$B49),$K48)</f>
        <v/>
      </c>
      <c r="L49" s="34">
        <f>IF($I49=1,IF($L48="",$B49,$L48&amp;"、"&amp;$B49),$L48)</f>
        <v/>
      </c>
    </row>
    <row r="50" ht="26" customHeight="1">
      <c r="A50" s="29" t="inlineStr">
        <is>
          <t>七·热武器</t>
        </is>
      </c>
      <c r="B50" s="30" t="inlineStr">
        <is>
          <t>非法持有热武器罪</t>
        </is>
      </c>
      <c r="C50" s="35" t="inlineStr">
        <is>
          <t>重罪</t>
        </is>
      </c>
      <c r="D50" s="29" t="n">
        <v>24</v>
      </c>
      <c r="E50" s="32" t="n">
        <v>15000</v>
      </c>
      <c r="F50" s="33" t="inlineStr">
        <is>
          <t>无证/非法持有枪支/爆炸物(执法公务除外)</t>
        </is>
      </c>
      <c r="G50" s="34">
        <f>IF(SUMIFS('关键词库'!$C$2:$C$486,'关键词库'!$B$2:$B$486,$B50)&gt;0,1,0)</f>
        <v/>
      </c>
      <c r="H50" s="34">
        <f>IF(SUMIFS('关键词库'!$D$2:$D$486,'关键词库'!$B$2:$B$486,$B50)&gt;0,1,0)</f>
        <v/>
      </c>
      <c r="I50" s="34">
        <f>IF(SUMIFS('关键词库'!$E$2:$E$486,'关键词库'!$B$2:$B$486,$B50)&gt;0,1,0)</f>
        <v/>
      </c>
      <c r="J50" s="34">
        <f>IF($G50=1,IF($J49="",$B50,$J49&amp;"、"&amp;$B50),$J49)</f>
        <v/>
      </c>
      <c r="K50" s="34">
        <f>IF($H50=1,IF($K49="",$B50,$K49&amp;"、"&amp;$B50),$K49)</f>
        <v/>
      </c>
      <c r="L50" s="34">
        <f>IF($I50=1,IF($L49="",$B50,$L49&amp;"、"&amp;$B50),$L49)</f>
        <v/>
      </c>
    </row>
    <row r="51" ht="26" customHeight="1">
      <c r="A51" s="29" t="inlineStr">
        <is>
          <t>七·热武器</t>
        </is>
      </c>
      <c r="B51" s="30" t="inlineStr">
        <is>
          <t>非法展示热武器罪</t>
        </is>
      </c>
      <c r="C51" s="31" t="inlineStr">
        <is>
          <t>轻罪</t>
        </is>
      </c>
      <c r="D51" s="29" t="n">
        <v>12</v>
      </c>
      <c r="E51" s="32" t="n">
        <v>8000</v>
      </c>
      <c r="F51" s="33" t="inlineStr">
        <is>
          <t>公共场所公开携带/挥舞展示武器</t>
        </is>
      </c>
      <c r="G51" s="34">
        <f>IF(SUMIFS('关键词库'!$C$2:$C$486,'关键词库'!$B$2:$B$486,$B51)&gt;0,1,0)</f>
        <v/>
      </c>
      <c r="H51" s="34">
        <f>IF(SUMIFS('关键词库'!$D$2:$D$486,'关键词库'!$B$2:$B$486,$B51)&gt;0,1,0)</f>
        <v/>
      </c>
      <c r="I51" s="34">
        <f>IF(SUMIFS('关键词库'!$E$2:$E$486,'关键词库'!$B$2:$B$486,$B51)&gt;0,1,0)</f>
        <v/>
      </c>
      <c r="J51" s="34">
        <f>IF($G51=1,IF($J50="",$B51,$J50&amp;"、"&amp;$B51),$J50)</f>
        <v/>
      </c>
      <c r="K51" s="34">
        <f>IF($H51=1,IF($K50="",$B51,$K50&amp;"、"&amp;$B51),$K50)</f>
        <v/>
      </c>
      <c r="L51" s="34">
        <f>IF($I51=1,IF($L50="",$B51,$L50&amp;"、"&amp;$B51),$L50)</f>
        <v/>
      </c>
    </row>
    <row r="52" ht="26" customHeight="1">
      <c r="A52" s="29" t="inlineStr">
        <is>
          <t>七·热武器</t>
        </is>
      </c>
      <c r="B52" s="30" t="inlineStr">
        <is>
          <t>非法使用热武器罪</t>
        </is>
      </c>
      <c r="C52" s="35" t="inlineStr">
        <is>
          <t>重罪</t>
        </is>
      </c>
      <c r="D52" s="29" t="n">
        <v>24</v>
      </c>
      <c r="E52" s="32" t="n">
        <v>15000</v>
      </c>
      <c r="F52" s="33" t="inlineStr">
        <is>
          <t>鲁莽/蓄意/威胁公共安全方式开枪</t>
        </is>
      </c>
      <c r="G52" s="34">
        <f>IF(SUMIFS('关键词库'!$C$2:$C$486,'关键词库'!$B$2:$B$486,$B52)&gt;0,1,0)</f>
        <v/>
      </c>
      <c r="H52" s="34">
        <f>IF(SUMIFS('关键词库'!$D$2:$D$486,'关键词库'!$B$2:$B$486,$B52)&gt;0,1,0)</f>
        <v/>
      </c>
      <c r="I52" s="34">
        <f>IF(SUMIFS('关键词库'!$E$2:$E$486,'关键词库'!$B$2:$B$486,$B52)&gt;0,1,0)</f>
        <v/>
      </c>
      <c r="J52" s="34">
        <f>IF($G52=1,IF($J51="",$B52,$J51&amp;"、"&amp;$B52),$J51)</f>
        <v/>
      </c>
      <c r="K52" s="34">
        <f>IF($H52=1,IF($K51="",$B52,$K51&amp;"、"&amp;$B52),$K51)</f>
        <v/>
      </c>
      <c r="L52" s="34">
        <f>IF($I52=1,IF($L51="",$B52,$L51&amp;"、"&amp;$B52),$L51)</f>
        <v/>
      </c>
    </row>
    <row r="53" ht="26" customHeight="1">
      <c r="A53" s="29" t="inlineStr">
        <is>
          <t>七·热武器</t>
        </is>
      </c>
      <c r="B53" s="30" t="inlineStr">
        <is>
          <t>非法贩卖武器罪</t>
        </is>
      </c>
      <c r="C53" s="35" t="inlineStr">
        <is>
          <t>重罪</t>
        </is>
      </c>
      <c r="D53" s="29" t="n">
        <v>48</v>
      </c>
      <c r="E53" s="32" t="n">
        <v>25000</v>
      </c>
      <c r="F53" s="33" t="inlineStr">
        <is>
          <t>贩卖/转让/出售非法或未认证武器</t>
        </is>
      </c>
      <c r="G53" s="34">
        <f>IF(SUMIFS('关键词库'!$C$2:$C$486,'关键词库'!$B$2:$B$486,$B53)&gt;0,1,0)</f>
        <v/>
      </c>
      <c r="H53" s="34">
        <f>IF(SUMIFS('关键词库'!$D$2:$D$486,'关键词库'!$B$2:$B$486,$B53)&gt;0,1,0)</f>
        <v/>
      </c>
      <c r="I53" s="34">
        <f>IF(SUMIFS('关键词库'!$E$2:$E$486,'关键词库'!$B$2:$B$486,$B53)&gt;0,1,0)</f>
        <v/>
      </c>
      <c r="J53" s="34">
        <f>IF($G53=1,IF($J52="",$B53,$J52&amp;"、"&amp;$B53),$J52)</f>
        <v/>
      </c>
      <c r="K53" s="34">
        <f>IF($H53=1,IF($K52="",$B53,$K52&amp;"、"&amp;$B53),$K52)</f>
        <v/>
      </c>
      <c r="L53" s="34">
        <f>IF($I53=1,IF($L52="",$B53,$L52&amp;"、"&amp;$B53),$L52)</f>
        <v/>
      </c>
    </row>
    <row r="54" ht="26" customHeight="1">
      <c r="A54" s="29" t="inlineStr">
        <is>
          <t>七·热武器</t>
        </is>
      </c>
      <c r="B54" s="30" t="inlineStr">
        <is>
          <t>走私罪</t>
        </is>
      </c>
      <c r="C54" s="35" t="inlineStr">
        <is>
          <t>重罪</t>
        </is>
      </c>
      <c r="D54" s="29" t="n">
        <v>48</v>
      </c>
      <c r="E54" s="32" t="n">
        <v>30000</v>
      </c>
      <c r="F54" s="33" t="inlineStr">
        <is>
          <t>非法运输/转让武器爆炸物 / 参与军火走私</t>
        </is>
      </c>
      <c r="G54" s="34">
        <f>IF(SUMIFS('关键词库'!$C$2:$C$486,'关键词库'!$B$2:$B$486,$B54)&gt;0,1,0)</f>
        <v/>
      </c>
      <c r="H54" s="34">
        <f>IF(SUMIFS('关键词库'!$D$2:$D$486,'关键词库'!$B$2:$B$486,$B54)&gt;0,1,0)</f>
        <v/>
      </c>
      <c r="I54" s="34">
        <f>IF(SUMIFS('关键词库'!$E$2:$E$486,'关键词库'!$B$2:$B$486,$B54)&gt;0,1,0)</f>
        <v/>
      </c>
      <c r="J54" s="34">
        <f>IF($G54=1,IF($J53="",$B54,$J53&amp;"、"&amp;$B54),$J53)</f>
        <v/>
      </c>
      <c r="K54" s="34">
        <f>IF($H54=1,IF($K53="",$B54,$K53&amp;"、"&amp;$B54),$K53)</f>
        <v/>
      </c>
      <c r="L54" s="34">
        <f>IF($I54=1,IF($L53="",$B54,$L53&amp;"、"&amp;$B54),$L53)</f>
        <v/>
      </c>
    </row>
    <row r="55" ht="26" customHeight="1">
      <c r="A55" s="29" t="inlineStr">
        <is>
          <t>十·公共安全</t>
        </is>
      </c>
      <c r="B55" s="30" t="inlineStr">
        <is>
          <t>非法持有管制物品罪</t>
        </is>
      </c>
      <c r="C55" s="35" t="inlineStr">
        <is>
          <t>重罪</t>
        </is>
      </c>
      <c r="D55" s="29" t="n">
        <v>48</v>
      </c>
      <c r="E55" s="32" t="n">
        <v>30000</v>
      </c>
      <c r="F55" s="33" t="inlineStr">
        <is>
          <t>默认毒品/非法枪支(重罪4年$30000); 工具/8cm刀具=轻罪1年$15000</t>
        </is>
      </c>
      <c r="G55" s="34">
        <f>IF(SUMIFS('关键词库'!$C$2:$C$486,'关键词库'!$B$2:$B$486,$B55)&gt;0,1,0)</f>
        <v/>
      </c>
      <c r="H55" s="34">
        <f>IF(SUMIFS('关键词库'!$D$2:$D$486,'关键词库'!$B$2:$B$486,$B55)&gt;0,1,0)</f>
        <v/>
      </c>
      <c r="I55" s="34">
        <f>IF(SUMIFS('关键词库'!$E$2:$E$486,'关键词库'!$B$2:$B$486,$B55)&gt;0,1,0)</f>
        <v/>
      </c>
      <c r="J55" s="34">
        <f>IF($G55=1,IF($J54="",$B55,$J54&amp;"、"&amp;$B55),$J54)</f>
        <v/>
      </c>
      <c r="K55" s="34">
        <f>IF($H55=1,IF($K54="",$B55,$K54&amp;"、"&amp;$B55),$K54)</f>
        <v/>
      </c>
      <c r="L55" s="34">
        <f>IF($I55=1,IF($L54="",$B55,$L54&amp;"、"&amp;$B55),$L54)</f>
        <v/>
      </c>
    </row>
    <row r="56" ht="26" customHeight="1">
      <c r="A56" s="29" t="inlineStr">
        <is>
          <t>十·公共安全</t>
        </is>
      </c>
      <c r="B56" s="30" t="inlineStr">
        <is>
          <t>非法持有大量管制物品罪</t>
        </is>
      </c>
      <c r="C56" s="35" t="inlineStr">
        <is>
          <t>重罪</t>
        </is>
      </c>
      <c r="D56" s="29" t="n">
        <v>36</v>
      </c>
      <c r="E56" s="32" t="n">
        <v>6000</v>
      </c>
      <c r="F56" s="33" t="inlineStr">
        <is>
          <t>按量: 10-50个=3年$6000; 51-200=2-4年$10000; 201-500=4-6年$15000; 501-999=6-10年$30000(可超5年)</t>
        </is>
      </c>
      <c r="G56" s="34">
        <f>IF(SUMIFS('关键词库'!$C$2:$C$486,'关键词库'!$B$2:$B$486,$B56)&gt;0,1,0)</f>
        <v/>
      </c>
      <c r="H56" s="34">
        <f>IF(SUMIFS('关键词库'!$D$2:$D$486,'关键词库'!$B$2:$B$486,$B56)&gt;0,1,0)</f>
        <v/>
      </c>
      <c r="I56" s="34">
        <f>IF(SUMIFS('关键词库'!$E$2:$E$486,'关键词库'!$B$2:$B$486,$B56)&gt;0,1,0)</f>
        <v/>
      </c>
      <c r="J56" s="34">
        <f>IF($G56=1,IF($J55="",$B56,$J55&amp;"、"&amp;$B56),$J55)</f>
        <v/>
      </c>
      <c r="K56" s="34">
        <f>IF($H56=1,IF($K55="",$B56,$K55&amp;"、"&amp;$B56),$K55)</f>
        <v/>
      </c>
      <c r="L56" s="34">
        <f>IF($I56=1,IF($L55="",$B56,$L55&amp;"、"&amp;$B56),$L55)</f>
        <v/>
      </c>
    </row>
    <row r="57" ht="26" customHeight="1">
      <c r="A57" s="29" t="inlineStr">
        <is>
          <t>十·公共安全</t>
        </is>
      </c>
      <c r="B57" s="30" t="inlineStr">
        <is>
          <t>非法经营和分发管制物品罪</t>
        </is>
      </c>
      <c r="C57" s="35" t="inlineStr">
        <is>
          <t>重罪</t>
        </is>
      </c>
      <c r="D57" s="29" t="n">
        <v>12</v>
      </c>
      <c r="E57" s="32" t="n">
        <v>5000</v>
      </c>
      <c r="F57" s="33" t="inlineStr">
        <is>
          <t>以出售/分发/储存为目的经营管制物品</t>
        </is>
      </c>
      <c r="G57" s="34">
        <f>IF(SUMIFS('关键词库'!$C$2:$C$486,'关键词库'!$B$2:$B$486,$B57)&gt;0,1,0)</f>
        <v/>
      </c>
      <c r="H57" s="34">
        <f>IF(SUMIFS('关键词库'!$D$2:$D$486,'关键词库'!$B$2:$B$486,$B57)&gt;0,1,0)</f>
        <v/>
      </c>
      <c r="I57" s="34">
        <f>IF(SUMIFS('关键词库'!$E$2:$E$486,'关键词库'!$B$2:$B$486,$B57)&gt;0,1,0)</f>
        <v/>
      </c>
      <c r="J57" s="34">
        <f>IF($G57=1,IF($J56="",$B57,$J56&amp;"、"&amp;$B57),$J56)</f>
        <v/>
      </c>
      <c r="K57" s="34">
        <f>IF($H57=1,IF($K56="",$B57,$K56&amp;"、"&amp;$B57),$K56)</f>
        <v/>
      </c>
      <c r="L57" s="34">
        <f>IF($I57=1,IF($L56="",$B57,$L56&amp;"、"&amp;$B57),$L56)</f>
        <v/>
      </c>
    </row>
    <row r="58" ht="26" customHeight="1">
      <c r="A58" s="29" t="inlineStr">
        <is>
          <t>十·公共安全</t>
        </is>
      </c>
      <c r="B58" s="30" t="inlineStr">
        <is>
          <t>非法制造管制物品罪</t>
        </is>
      </c>
      <c r="C58" s="35" t="inlineStr">
        <is>
          <t>重罪</t>
        </is>
      </c>
      <c r="D58" s="29" t="n">
        <v>24</v>
      </c>
      <c r="E58" s="32" t="n">
        <v>8000</v>
      </c>
      <c r="F58" s="33" t="inlineStr">
        <is>
          <t>生产/制造处方药/大麻等管制物品</t>
        </is>
      </c>
      <c r="G58" s="34">
        <f>IF(SUMIFS('关键词库'!$C$2:$C$486,'关键词库'!$B$2:$B$486,$B58)&gt;0,1,0)</f>
        <v/>
      </c>
      <c r="H58" s="34">
        <f>IF(SUMIFS('关键词库'!$D$2:$D$486,'关键词库'!$B$2:$B$486,$B58)&gt;0,1,0)</f>
        <v/>
      </c>
      <c r="I58" s="34">
        <f>IF(SUMIFS('关键词库'!$E$2:$E$486,'关键词库'!$B$2:$B$486,$B58)&gt;0,1,0)</f>
        <v/>
      </c>
      <c r="J58" s="34">
        <f>IF($G58=1,IF($J57="",$B58,$J57&amp;"、"&amp;$B58),$J57)</f>
        <v/>
      </c>
      <c r="K58" s="34">
        <f>IF($H58=1,IF($K57="",$B58,$K57&amp;"、"&amp;$B58),$K57)</f>
        <v/>
      </c>
      <c r="L58" s="34">
        <f>IF($I58=1,IF($L57="",$B58,$L57&amp;"、"&amp;$B58),$L57)</f>
        <v/>
      </c>
    </row>
    <row r="59" ht="26" customHeight="1">
      <c r="A59" s="29" t="inlineStr">
        <is>
          <t>十·公共安全</t>
        </is>
      </c>
      <c r="B59" s="30" t="inlineStr">
        <is>
          <t>非法贩卖管制物品罪</t>
        </is>
      </c>
      <c r="C59" s="35" t="inlineStr">
        <is>
          <t>重罪</t>
        </is>
      </c>
      <c r="D59" s="29" t="n">
        <v>36</v>
      </c>
      <c r="E59" s="32" t="n">
        <v>10000</v>
      </c>
      <c r="F59" s="33" t="inlineStr">
        <is>
          <t>非法出售/赠送/运输管制物品给他人</t>
        </is>
      </c>
      <c r="G59" s="34">
        <f>IF(SUMIFS('关键词库'!$C$2:$C$486,'关键词库'!$B$2:$B$486,$B59)&gt;0,1,0)</f>
        <v/>
      </c>
      <c r="H59" s="34">
        <f>IF(SUMIFS('关键词库'!$D$2:$D$486,'关键词库'!$B$2:$B$486,$B59)&gt;0,1,0)</f>
        <v/>
      </c>
      <c r="I59" s="34">
        <f>IF(SUMIFS('关键词库'!$E$2:$E$486,'关键词库'!$B$2:$B$486,$B59)&gt;0,1,0)</f>
        <v/>
      </c>
      <c r="J59" s="34">
        <f>IF($G59=1,IF($J58="",$B59,$J58&amp;"、"&amp;$B59),$J58)</f>
        <v/>
      </c>
      <c r="K59" s="34">
        <f>IF($H59=1,IF($K58="",$B59,$K58&amp;"、"&amp;$B59),$K58)</f>
        <v/>
      </c>
      <c r="L59" s="34">
        <f>IF($I59=1,IF($L58="",$B59,$L58&amp;"、"&amp;$B59),$L58)</f>
        <v/>
      </c>
    </row>
    <row r="60" ht="26" customHeight="1">
      <c r="A60" s="29" t="inlineStr">
        <is>
          <t>十一·其他</t>
        </is>
      </c>
      <c r="B60" s="30" t="inlineStr">
        <is>
          <t>有组织犯罪</t>
        </is>
      </c>
      <c r="C60" s="35" t="inlineStr">
        <is>
          <t>重罪</t>
        </is>
      </c>
      <c r="D60" s="29" t="n">
        <v>24</v>
      </c>
      <c r="E60" s="32" t="n">
        <v>10000</v>
      </c>
      <c r="F60" s="33" t="inlineStr">
        <is>
          <t>团体以牟利为目的实施违法犯罪(逮捕须先取逮捕令)</t>
        </is>
      </c>
      <c r="G60" s="34">
        <f>IF(SUMIFS('关键词库'!$C$2:$C$486,'关键词库'!$B$2:$B$486,$B60)&gt;0,1,0)</f>
        <v/>
      </c>
      <c r="H60" s="34">
        <f>IF(SUMIFS('关键词库'!$D$2:$D$486,'关键词库'!$B$2:$B$486,$B60)&gt;0,1,0)</f>
        <v/>
      </c>
      <c r="I60" s="34">
        <f>IF(SUMIFS('关键词库'!$E$2:$E$486,'关键词库'!$B$2:$B$486,$B60)&gt;0,1,0)</f>
        <v/>
      </c>
      <c r="J60" s="34">
        <f>IF($G60=1,IF($J59="",$B60,$J59&amp;"、"&amp;$B60),$J59)</f>
        <v/>
      </c>
      <c r="K60" s="34">
        <f>IF($H60=1,IF($K59="",$B60,$K59&amp;"、"&amp;$B60),$K59)</f>
        <v/>
      </c>
      <c r="L60" s="34">
        <f>IF($I60=1,IF($L59="",$B60,$L59&amp;"、"&amp;$B60),$L59)</f>
        <v/>
      </c>
    </row>
    <row r="61" ht="26" customHeight="1">
      <c r="A61" s="29" t="inlineStr">
        <is>
          <t>十一·其他</t>
        </is>
      </c>
      <c r="B61" s="30" t="inlineStr">
        <is>
          <t>洗钱罪</t>
        </is>
      </c>
      <c r="C61" s="35" t="inlineStr">
        <is>
          <t>重罪</t>
        </is>
      </c>
      <c r="D61" s="29" t="n">
        <v>48</v>
      </c>
      <c r="E61" s="32" t="n">
        <v>30000</v>
      </c>
      <c r="F61" s="33" t="inlineStr">
        <is>
          <t>持有/隐藏/转移违法所得 / 协助洗钱</t>
        </is>
      </c>
      <c r="G61" s="34">
        <f>IF(SUMIFS('关键词库'!$C$2:$C$486,'关键词库'!$B$2:$B$486,$B61)&gt;0,1,0)</f>
        <v/>
      </c>
      <c r="H61" s="34">
        <f>IF(SUMIFS('关键词库'!$D$2:$D$486,'关键词库'!$B$2:$B$486,$B61)&gt;0,1,0)</f>
        <v/>
      </c>
      <c r="I61" s="34">
        <f>IF(SUMIFS('关键词库'!$E$2:$E$486,'关键词库'!$B$2:$B$486,$B61)&gt;0,1,0)</f>
        <v/>
      </c>
      <c r="J61" s="34">
        <f>IF($G61=1,IF($J60="",$B61,$J60&amp;"、"&amp;$B61),$J60)</f>
        <v/>
      </c>
      <c r="K61" s="34">
        <f>IF($H61=1,IF($K60="",$B61,$K60&amp;"、"&amp;$B61),$K60)</f>
        <v/>
      </c>
      <c r="L61" s="34">
        <f>IF($I61=1,IF($L60="",$B61,$L60&amp;"、"&amp;$B61),$L60)</f>
        <v/>
      </c>
    </row>
    <row r="62" ht="26" customHeight="1">
      <c r="A62" s="29" t="inlineStr">
        <is>
          <t>十一·其他</t>
        </is>
      </c>
      <c r="B62" s="30" t="inlineStr">
        <is>
          <t>身份盗用罪</t>
        </is>
      </c>
      <c r="C62" s="31" t="inlineStr">
        <is>
          <t>轻罪</t>
        </is>
      </c>
      <c r="D62" s="29" t="n">
        <v>12</v>
      </c>
      <c r="E62" s="32" t="n">
        <v>8000</v>
      </c>
      <c r="F62" s="33" t="inlineStr">
        <is>
          <t>未经许可盗取/使用他人个人信息, 另需赔偿</t>
        </is>
      </c>
      <c r="G62" s="34">
        <f>IF(SUMIFS('关键词库'!$C$2:$C$486,'关键词库'!$B$2:$B$486,$B62)&gt;0,1,0)</f>
        <v/>
      </c>
      <c r="H62" s="34">
        <f>IF(SUMIFS('关键词库'!$D$2:$D$486,'关键词库'!$B$2:$B$486,$B62)&gt;0,1,0)</f>
        <v/>
      </c>
      <c r="I62" s="34">
        <f>IF(SUMIFS('关键词库'!$E$2:$E$486,'关键词库'!$B$2:$B$486,$B62)&gt;0,1,0)</f>
        <v/>
      </c>
      <c r="J62" s="34">
        <f>IF($G62=1,IF($J61="",$B62,$J61&amp;"、"&amp;$B62),$J61)</f>
        <v/>
      </c>
      <c r="K62" s="34">
        <f>IF($H62=1,IF($K61="",$B62,$K61&amp;"、"&amp;$B62),$K61)</f>
        <v/>
      </c>
      <c r="L62" s="34">
        <f>IF($I62=1,IF($L61="",$B62,$L61&amp;"、"&amp;$B62),$L61)</f>
        <v/>
      </c>
    </row>
  </sheetData>
  <conditionalFormatting sqref="A2:F62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36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4" t="inlineStr">
        <is>
          <t>威胁</t>
        </is>
      </c>
      <c r="B3" s="34" t="inlineStr">
        <is>
          <t>威胁罪</t>
        </is>
      </c>
      <c r="C3" s="34">
        <f>IF(AND($A2&lt;&gt;"",'算罪台'!$B$4&lt;&gt;"",ISNUMBER(SEARCH($A2,'算罪台'!$B$4))),1,0)</f>
        <v/>
      </c>
      <c r="D3" s="34">
        <f>IF(AND($A2&lt;&gt;"",'算罪台'!$B$5&lt;&gt;"",ISNUMBER(SEARCH($A2,'算罪台'!$B$5))),1,0)</f>
        <v/>
      </c>
      <c r="E3" s="34">
        <f>IF(AND($A2&lt;&gt;"",'算罪台'!$B$6&lt;&gt;"",ISNUMBER(SEARCH($A2,'算罪台'!$B$6))),1,0)</f>
        <v/>
      </c>
    </row>
    <row r="4">
      <c r="A4" s="34" t="inlineStr">
        <is>
          <t>恐吓</t>
        </is>
      </c>
      <c r="B4" s="34" t="inlineStr">
        <is>
          <t>威胁罪</t>
        </is>
      </c>
      <c r="C4" s="34">
        <f>IF(AND($A3&lt;&gt;"",'算罪台'!$B$4&lt;&gt;"",ISNUMBER(SEARCH($A3,'算罪台'!$B$4))),1,0)</f>
        <v/>
      </c>
      <c r="D4" s="34">
        <f>IF(AND($A3&lt;&gt;"",'算罪台'!$B$5&lt;&gt;"",ISNUMBER(SEARCH($A3,'算罪台'!$B$5))),1,0)</f>
        <v/>
      </c>
      <c r="E4" s="34">
        <f>IF(AND($A3&lt;&gt;"",'算罪台'!$B$6&lt;&gt;"",ISNUMBER(SEARCH($A3,'算罪台'!$B$6))),1,0)</f>
        <v/>
      </c>
    </row>
    <row r="5">
      <c r="A5" s="34" t="inlineStr">
        <is>
          <t>口头威胁</t>
        </is>
      </c>
      <c r="B5" s="34" t="inlineStr">
        <is>
          <t>威胁罪</t>
        </is>
      </c>
      <c r="C5" s="34">
        <f>IF(AND($A4&lt;&gt;"",'算罪台'!$B$4&lt;&gt;"",ISNUMBER(SEARCH($A4,'算罪台'!$B$4))),1,0)</f>
        <v/>
      </c>
      <c r="D5" s="34">
        <f>IF(AND($A4&lt;&gt;"",'算罪台'!$B$5&lt;&gt;"",ISNUMBER(SEARCH($A4,'算罪台'!$B$5))),1,0)</f>
        <v/>
      </c>
      <c r="E5" s="34">
        <f>IF(AND($A4&lt;&gt;"",'算罪台'!$B$6&lt;&gt;"",ISNUMBER(SEARCH($A4,'算罪台'!$B$6))),1,0)</f>
        <v/>
      </c>
    </row>
    <row r="6">
      <c r="A6" s="34" t="inlineStr">
        <is>
          <t>书面威胁</t>
        </is>
      </c>
      <c r="B6" s="34" t="inlineStr">
        <is>
          <t>威胁罪</t>
        </is>
      </c>
      <c r="C6" s="34">
        <f>IF(AND($A5&lt;&gt;"",'算罪台'!$B$4&lt;&gt;"",ISNUMBER(SEARCH($A5,'算罪台'!$B$4))),1,0)</f>
        <v/>
      </c>
      <c r="D6" s="34">
        <f>IF(AND($A5&lt;&gt;"",'算罪台'!$B$5&lt;&gt;"",ISNUMBER(SEARCH($A5,'算罪台'!$B$5))),1,0)</f>
        <v/>
      </c>
      <c r="E6" s="34">
        <f>IF(AND($A5&lt;&gt;"",'算罪台'!$B$6&lt;&gt;"",ISNUMBER(SEARCH($A5,'算罪台'!$B$6))),1,0)</f>
        <v/>
      </c>
    </row>
    <row r="7">
      <c r="A7" s="34" t="inlineStr">
        <is>
          <t>扬言</t>
        </is>
      </c>
      <c r="B7" s="34" t="inlineStr">
        <is>
          <t>威胁罪</t>
        </is>
      </c>
      <c r="C7" s="34">
        <f>IF(AND($A6&lt;&gt;"",'算罪台'!$B$4&lt;&gt;"",ISNUMBER(SEARCH($A6,'算罪台'!$B$4))),1,0)</f>
        <v/>
      </c>
      <c r="D7" s="34">
        <f>IF(AND($A6&lt;&gt;"",'算罪台'!$B$5&lt;&gt;"",ISNUMBER(SEARCH($A6,'算罪台'!$B$5))),1,0)</f>
        <v/>
      </c>
      <c r="E7" s="34">
        <f>IF(AND($A6&lt;&gt;"",'算罪台'!$B$6&lt;&gt;"",ISNUMBER(SEARCH($A6,'算罪台'!$B$6))),1,0)</f>
        <v/>
      </c>
    </row>
    <row r="8">
      <c r="A8" s="34" t="inlineStr">
        <is>
          <t>制造恐慌</t>
        </is>
      </c>
      <c r="B8" s="34" t="inlineStr">
        <is>
          <t>威胁罪</t>
        </is>
      </c>
      <c r="C8" s="34">
        <f>IF(AND($A7&lt;&gt;"",'算罪台'!$B$4&lt;&gt;"",ISNUMBER(SEARCH($A7,'算罪台'!$B$4))),1,0)</f>
        <v/>
      </c>
      <c r="D8" s="34">
        <f>IF(AND($A7&lt;&gt;"",'算罪台'!$B$5&lt;&gt;"",ISNUMBER(SEARCH($A7,'算罪台'!$B$5))),1,0)</f>
        <v/>
      </c>
      <c r="E8" s="34">
        <f>IF(AND($A7&lt;&gt;"",'算罪台'!$B$6&lt;&gt;"",ISNUMBER(SEARCH($A7,'算罪台'!$B$6))),1,0)</f>
        <v/>
      </c>
    </row>
    <row r="9">
      <c r="A9" s="34" t="inlineStr">
        <is>
          <t>吓唬</t>
        </is>
      </c>
      <c r="B9" s="34" t="inlineStr">
        <is>
          <t>威胁罪</t>
        </is>
      </c>
      <c r="C9" s="34">
        <f>IF(AND($A8&lt;&gt;"",'算罪台'!$B$4&lt;&gt;"",ISNUMBER(SEARCH($A8,'算罪台'!$B$4))),1,0)</f>
        <v/>
      </c>
      <c r="D9" s="34">
        <f>IF(AND($A8&lt;&gt;"",'算罪台'!$B$5&lt;&gt;"",ISNUMBER(SEARCH($A8,'算罪台'!$B$5))),1,0)</f>
        <v/>
      </c>
      <c r="E9" s="34">
        <f>IF(AND($A8&lt;&gt;"",'算罪台'!$B$6&lt;&gt;"",ISNUMBER(SEARCH($A8,'算罪台'!$B$6))),1,0)</f>
        <v/>
      </c>
    </row>
    <row r="10">
      <c r="A10" s="34" t="inlineStr">
        <is>
          <t>放狠话</t>
        </is>
      </c>
      <c r="B10" s="34" t="inlineStr">
        <is>
          <t>威胁罪</t>
        </is>
      </c>
      <c r="C10" s="34">
        <f>IF(AND($A9&lt;&gt;"",'算罪台'!$B$4&lt;&gt;"",ISNUMBER(SEARCH($A9,'算罪台'!$B$4))),1,0)</f>
        <v/>
      </c>
      <c r="D10" s="34">
        <f>IF(AND($A9&lt;&gt;"",'算罪台'!$B$5&lt;&gt;"",ISNUMBER(SEARCH($A9,'算罪台'!$B$5))),1,0)</f>
        <v/>
      </c>
      <c r="E10" s="34">
        <f>IF(AND($A9&lt;&gt;"",'算罪台'!$B$6&lt;&gt;"",ISNUMBER(SEARCH($A9,'算罪台'!$B$6))),1,0)</f>
        <v/>
      </c>
    </row>
    <row r="11">
      <c r="A11" s="34" t="inlineStr">
        <is>
          <t>威胁要</t>
        </is>
      </c>
      <c r="B11" s="34" t="inlineStr">
        <is>
          <t>威胁罪</t>
        </is>
      </c>
      <c r="C11" s="34">
        <f>IF(AND($A10&lt;&gt;"",'算罪台'!$B$4&lt;&gt;"",ISNUMBER(SEARCH($A10,'算罪台'!$B$4))),1,0)</f>
        <v/>
      </c>
      <c r="D11" s="34">
        <f>IF(AND($A10&lt;&gt;"",'算罪台'!$B$5&lt;&gt;"",ISNUMBER(SEARCH($A10,'算罪台'!$B$5))),1,0)</f>
        <v/>
      </c>
      <c r="E11" s="34">
        <f>IF(AND($A10&lt;&gt;"",'算罪台'!$B$6&lt;&gt;"",ISNUMBER(SEARCH($A10,'算罪台'!$B$6))),1,0)</f>
        <v/>
      </c>
    </row>
    <row r="12">
      <c r="A12" s="34" t="inlineStr">
        <is>
          <t>持械攻击</t>
        </is>
      </c>
      <c r="B12" s="34" t="inlineStr">
        <is>
          <t>持有危险武器人身攻击罪</t>
        </is>
      </c>
      <c r="C12" s="34">
        <f>IF(AND($A11&lt;&gt;"",'算罪台'!$B$4&lt;&gt;"",ISNUMBER(SEARCH($A11,'算罪台'!$B$4))),1,0)</f>
        <v/>
      </c>
      <c r="D12" s="34">
        <f>IF(AND($A11&lt;&gt;"",'算罪台'!$B$5&lt;&gt;"",ISNUMBER(SEARCH($A11,'算罪台'!$B$5))),1,0)</f>
        <v/>
      </c>
      <c r="E12" s="34">
        <f>IF(AND($A11&lt;&gt;"",'算罪台'!$B$6&lt;&gt;"",ISNUMBER(SEARCH($A11,'算罪台'!$B$6))),1,0)</f>
        <v/>
      </c>
    </row>
    <row r="13">
      <c r="A13" s="34" t="inlineStr">
        <is>
          <t>持刀攻击</t>
        </is>
      </c>
      <c r="B13" s="34" t="inlineStr">
        <is>
          <t>持有危险武器人身攻击罪</t>
        </is>
      </c>
      <c r="C13" s="34">
        <f>IF(AND($A12&lt;&gt;"",'算罪台'!$B$4&lt;&gt;"",ISNUMBER(SEARCH($A12,'算罪台'!$B$4))),1,0)</f>
        <v/>
      </c>
      <c r="D13" s="34">
        <f>IF(AND($A12&lt;&gt;"",'算罪台'!$B$5&lt;&gt;"",ISNUMBER(SEARCH($A12,'算罪台'!$B$5))),1,0)</f>
        <v/>
      </c>
      <c r="E13" s="34">
        <f>IF(AND($A12&lt;&gt;"",'算罪台'!$B$6&lt;&gt;"",ISNUMBER(SEARCH($A12,'算罪台'!$B$6))),1,0)</f>
        <v/>
      </c>
    </row>
    <row r="14">
      <c r="A14" s="34" t="inlineStr">
        <is>
          <t>持械伤人</t>
        </is>
      </c>
      <c r="B14" s="34" t="inlineStr">
        <is>
          <t>持有危险武器人身攻击罪</t>
        </is>
      </c>
      <c r="C14" s="34">
        <f>IF(AND($A13&lt;&gt;"",'算罪台'!$B$4&lt;&gt;"",ISNUMBER(SEARCH($A13,'算罪台'!$B$4))),1,0)</f>
        <v/>
      </c>
      <c r="D14" s="34">
        <f>IF(AND($A13&lt;&gt;"",'算罪台'!$B$5&lt;&gt;"",ISNUMBER(SEARCH($A13,'算罪台'!$B$5))),1,0)</f>
        <v/>
      </c>
      <c r="E14" s="34">
        <f>IF(AND($A13&lt;&gt;"",'算罪台'!$B$6&lt;&gt;"",ISNUMBER(SEARCH($A13,'算罪台'!$B$6))),1,0)</f>
        <v/>
      </c>
    </row>
    <row r="15">
      <c r="A15" s="34" t="inlineStr">
        <is>
          <t>用刀砍</t>
        </is>
      </c>
      <c r="B15" s="34" t="inlineStr">
        <is>
          <t>持有危险武器人身攻击罪</t>
        </is>
      </c>
      <c r="C15" s="34">
        <f>IF(AND($A14&lt;&gt;"",'算罪台'!$B$4&lt;&gt;"",ISNUMBER(SEARCH($A14,'算罪台'!$B$4))),1,0)</f>
        <v/>
      </c>
      <c r="D15" s="34">
        <f>IF(AND($A14&lt;&gt;"",'算罪台'!$B$5&lt;&gt;"",ISNUMBER(SEARCH($A14,'算罪台'!$B$5))),1,0)</f>
        <v/>
      </c>
      <c r="E15" s="34">
        <f>IF(AND($A14&lt;&gt;"",'算罪台'!$B$6&lt;&gt;"",ISNUMBER(SEARCH($A14,'算罪台'!$B$6))),1,0)</f>
        <v/>
      </c>
    </row>
    <row r="16">
      <c r="A16" s="34" t="inlineStr">
        <is>
          <t>用刀捅</t>
        </is>
      </c>
      <c r="B16" s="34" t="inlineStr">
        <is>
          <t>持有危险武器人身攻击罪</t>
        </is>
      </c>
      <c r="C16" s="34">
        <f>IF(AND($A15&lt;&gt;"",'算罪台'!$B$4&lt;&gt;"",ISNUMBER(SEARCH($A15,'算罪台'!$B$4))),1,0)</f>
        <v/>
      </c>
      <c r="D16" s="34">
        <f>IF(AND($A15&lt;&gt;"",'算罪台'!$B$5&lt;&gt;"",ISNUMBER(SEARCH($A15,'算罪台'!$B$5))),1,0)</f>
        <v/>
      </c>
      <c r="E16" s="34">
        <f>IF(AND($A15&lt;&gt;"",'算罪台'!$B$6&lt;&gt;"",ISNUMBER(SEARCH($A15,'算罪台'!$B$6))),1,0)</f>
        <v/>
      </c>
    </row>
    <row r="17">
      <c r="A17" s="34" t="inlineStr">
        <is>
          <t>拿刀</t>
        </is>
      </c>
      <c r="B17" s="34" t="inlineStr">
        <is>
          <t>持有危险武器人身攻击罪</t>
        </is>
      </c>
      <c r="C17" s="34">
        <f>IF(AND($A16&lt;&gt;"",'算罪台'!$B$4&lt;&gt;"",ISNUMBER(SEARCH($A16,'算罪台'!$B$4))),1,0)</f>
        <v/>
      </c>
      <c r="D17" s="34">
        <f>IF(AND($A16&lt;&gt;"",'算罪台'!$B$5&lt;&gt;"",ISNUMBER(SEARCH($A16,'算罪台'!$B$5))),1,0)</f>
        <v/>
      </c>
      <c r="E17" s="34">
        <f>IF(AND($A16&lt;&gt;"",'算罪台'!$B$6&lt;&gt;"",ISNUMBER(SEARCH($A16,'算罪台'!$B$6))),1,0)</f>
        <v/>
      </c>
    </row>
    <row r="18">
      <c r="A18" s="34" t="inlineStr">
        <is>
          <t>持刀</t>
        </is>
      </c>
      <c r="B18" s="34" t="inlineStr">
        <is>
          <t>持有危险武器人身攻击罪</t>
        </is>
      </c>
      <c r="C18" s="34">
        <f>IF(AND($A17&lt;&gt;"",'算罪台'!$B$4&lt;&gt;"",ISNUMBER(SEARCH($A17,'算罪台'!$B$4))),1,0)</f>
        <v/>
      </c>
      <c r="D18" s="34">
        <f>IF(AND($A17&lt;&gt;"",'算罪台'!$B$5&lt;&gt;"",ISNUMBER(SEARCH($A17,'算罪台'!$B$5))),1,0)</f>
        <v/>
      </c>
      <c r="E18" s="34">
        <f>IF(AND($A17&lt;&gt;"",'算罪台'!$B$6&lt;&gt;"",ISNUMBER(SEARCH($A17,'算罪台'!$B$6))),1,0)</f>
        <v/>
      </c>
    </row>
    <row r="19">
      <c r="A19" s="34" t="inlineStr">
        <is>
          <t>致命武器</t>
        </is>
      </c>
      <c r="B19" s="34" t="inlineStr">
        <is>
          <t>持有危险武器人身攻击罪</t>
        </is>
      </c>
      <c r="C19" s="34">
        <f>IF(AND($A18&lt;&gt;"",'算罪台'!$B$4&lt;&gt;"",ISNUMBER(SEARCH($A18,'算罪台'!$B$4))),1,0)</f>
        <v/>
      </c>
      <c r="D19" s="34">
        <f>IF(AND($A18&lt;&gt;"",'算罪台'!$B$5&lt;&gt;"",ISNUMBER(SEARCH($A18,'算罪台'!$B$5))),1,0)</f>
        <v/>
      </c>
      <c r="E19" s="34">
        <f>IF(AND($A18&lt;&gt;"",'算罪台'!$B$6&lt;&gt;"",ISNUMBER(SEARCH($A18,'算罪台'!$B$6))),1,0)</f>
        <v/>
      </c>
    </row>
    <row r="20">
      <c r="A20" s="34" t="inlineStr">
        <is>
          <t>用武器打</t>
        </is>
      </c>
      <c r="B20" s="34" t="inlineStr">
        <is>
          <t>持有危险武器人身攻击罪</t>
        </is>
      </c>
      <c r="C20" s="34">
        <f>IF(AND($A19&lt;&gt;"",'算罪台'!$B$4&lt;&gt;"",ISNUMBER(SEARCH($A19,'算罪台'!$B$4))),1,0)</f>
        <v/>
      </c>
      <c r="D20" s="34">
        <f>IF(AND($A19&lt;&gt;"",'算罪台'!$B$5&lt;&gt;"",ISNUMBER(SEARCH($A19,'算罪台'!$B$5))),1,0)</f>
        <v/>
      </c>
      <c r="E20" s="34">
        <f>IF(AND($A19&lt;&gt;"",'算罪台'!$B$6&lt;&gt;"",ISNUMBER(SEARCH($A19,'算罪台'!$B$6))),1,0)</f>
        <v/>
      </c>
    </row>
    <row r="21">
      <c r="A21" s="34" t="inlineStr">
        <is>
          <t>拿棍子打</t>
        </is>
      </c>
      <c r="B21" s="34" t="inlineStr">
        <is>
          <t>持有危险武器人身攻击罪</t>
        </is>
      </c>
      <c r="C21" s="34">
        <f>IF(AND($A20&lt;&gt;"",'算罪台'!$B$4&lt;&gt;"",ISNUMBER(SEARCH($A20,'算罪台'!$B$4))),1,0)</f>
        <v/>
      </c>
      <c r="D21" s="34">
        <f>IF(AND($A20&lt;&gt;"",'算罪台'!$B$5&lt;&gt;"",ISNUMBER(SEARCH($A20,'算罪台'!$B$5))),1,0)</f>
        <v/>
      </c>
      <c r="E21" s="34">
        <f>IF(AND($A20&lt;&gt;"",'算罪台'!$B$6&lt;&gt;"",ISNUMBER(SEARCH($A20,'算罪台'!$B$6))),1,0)</f>
        <v/>
      </c>
    </row>
    <row r="22">
      <c r="A22" s="34" t="inlineStr">
        <is>
          <t>持棍</t>
        </is>
      </c>
      <c r="B22" s="34" t="inlineStr">
        <is>
          <t>持有危险武器人身攻击罪</t>
        </is>
      </c>
      <c r="C22" s="34">
        <f>IF(AND($A21&lt;&gt;"",'算罪台'!$B$4&lt;&gt;"",ISNUMBER(SEARCH($A21,'算罪台'!$B$4))),1,0)</f>
        <v/>
      </c>
      <c r="D22" s="34">
        <f>IF(AND($A21&lt;&gt;"",'算罪台'!$B$5&lt;&gt;"",ISNUMBER(SEARCH($A21,'算罪台'!$B$5))),1,0)</f>
        <v/>
      </c>
      <c r="E22" s="34">
        <f>IF(AND($A21&lt;&gt;"",'算罪台'!$B$6&lt;&gt;"",ISNUMBER(SEARCH($A21,'算罪台'!$B$6))),1,0)</f>
        <v/>
      </c>
    </row>
    <row r="23">
      <c r="A23" s="34" t="inlineStr">
        <is>
          <t>用球棒</t>
        </is>
      </c>
      <c r="B23" s="34" t="inlineStr">
        <is>
          <t>持有危险武器人身攻击罪</t>
        </is>
      </c>
      <c r="C23" s="34">
        <f>IF(AND($A22&lt;&gt;"",'算罪台'!$B$4&lt;&gt;"",ISNUMBER(SEARCH($A22,'算罪台'!$B$4))),1,0)</f>
        <v/>
      </c>
      <c r="D23" s="34">
        <f>IF(AND($A22&lt;&gt;"",'算罪台'!$B$5&lt;&gt;"",ISNUMBER(SEARCH($A22,'算罪台'!$B$5))),1,0)</f>
        <v/>
      </c>
      <c r="E23" s="34">
        <f>IF(AND($A22&lt;&gt;"",'算罪台'!$B$6&lt;&gt;"",ISNUMBER(SEARCH($A22,'算罪台'!$B$6))),1,0)</f>
        <v/>
      </c>
    </row>
    <row r="24">
      <c r="A24" s="34" t="inlineStr">
        <is>
          <t>抄家伙</t>
        </is>
      </c>
      <c r="B24" s="34" t="inlineStr">
        <is>
          <t>持有危险武器人身攻击罪</t>
        </is>
      </c>
      <c r="C24" s="34">
        <f>IF(AND($A23&lt;&gt;"",'算罪台'!$B$4&lt;&gt;"",ISNUMBER(SEARCH($A23,'算罪台'!$B$4))),1,0)</f>
        <v/>
      </c>
      <c r="D24" s="34">
        <f>IF(AND($A23&lt;&gt;"",'算罪台'!$B$5&lt;&gt;"",ISNUMBER(SEARCH($A23,'算罪台'!$B$5))),1,0)</f>
        <v/>
      </c>
      <c r="E24" s="34">
        <f>IF(AND($A23&lt;&gt;"",'算罪台'!$B$6&lt;&gt;"",ISNUMBER(SEARCH($A23,'算罪台'!$B$6))),1,0)</f>
        <v/>
      </c>
    </row>
    <row r="25">
      <c r="A25" s="34" t="inlineStr">
        <is>
          <t>拿管子打</t>
        </is>
      </c>
      <c r="B25" s="34" t="inlineStr">
        <is>
          <t>持有危险武器人身攻击罪</t>
        </is>
      </c>
      <c r="C25" s="34">
        <f>IF(AND($A24&lt;&gt;"",'算罪台'!$B$4&lt;&gt;"",ISNUMBER(SEARCH($A24,'算罪台'!$B$4))),1,0)</f>
        <v/>
      </c>
      <c r="D25" s="34">
        <f>IF(AND($A24&lt;&gt;"",'算罪台'!$B$5&lt;&gt;"",ISNUMBER(SEARCH($A24,'算罪台'!$B$5))),1,0)</f>
        <v/>
      </c>
      <c r="E25" s="34">
        <f>IF(AND($A24&lt;&gt;"",'算罪台'!$B$6&lt;&gt;"",ISNUMBER(SEARCH($A24,'算罪台'!$B$6))),1,0)</f>
        <v/>
      </c>
    </row>
    <row r="26">
      <c r="A26" s="34" t="inlineStr">
        <is>
          <t>一级谋杀</t>
        </is>
      </c>
      <c r="B26" s="34" t="inlineStr">
        <is>
          <t>一级谋杀罪</t>
        </is>
      </c>
      <c r="C26" s="34">
        <f>IF(AND($A25&lt;&gt;"",'算罪台'!$B$4&lt;&gt;"",ISNUMBER(SEARCH($A25,'算罪台'!$B$4))),1,0)</f>
        <v/>
      </c>
      <c r="D26" s="34">
        <f>IF(AND($A25&lt;&gt;"",'算罪台'!$B$5&lt;&gt;"",ISNUMBER(SEARCH($A25,'算罪台'!$B$5))),1,0)</f>
        <v/>
      </c>
      <c r="E26" s="34">
        <f>IF(AND($A25&lt;&gt;"",'算罪台'!$B$6&lt;&gt;"",ISNUMBER(SEARCH($A25,'算罪台'!$B$6))),1,0)</f>
        <v/>
      </c>
    </row>
    <row r="27">
      <c r="A27" s="34" t="inlineStr">
        <is>
          <t>预谋杀人</t>
        </is>
      </c>
      <c r="B27" s="34" t="inlineStr">
        <is>
          <t>一级谋杀罪</t>
        </is>
      </c>
      <c r="C27" s="34">
        <f>IF(AND($A26&lt;&gt;"",'算罪台'!$B$4&lt;&gt;"",ISNUMBER(SEARCH($A26,'算罪台'!$B$4))),1,0)</f>
        <v/>
      </c>
      <c r="D27" s="34">
        <f>IF(AND($A26&lt;&gt;"",'算罪台'!$B$5&lt;&gt;"",ISNUMBER(SEARCH($A26,'算罪台'!$B$5))),1,0)</f>
        <v/>
      </c>
      <c r="E27" s="34">
        <f>IF(AND($A26&lt;&gt;"",'算罪台'!$B$6&lt;&gt;"",ISNUMBER(SEARCH($A26,'算罪台'!$B$6))),1,0)</f>
        <v/>
      </c>
    </row>
    <row r="28">
      <c r="A28" s="34" t="inlineStr">
        <is>
          <t>蓄意杀人</t>
        </is>
      </c>
      <c r="B28" s="34" t="inlineStr">
        <is>
          <t>一级谋杀罪</t>
        </is>
      </c>
      <c r="C28" s="34">
        <f>IF(AND($A27&lt;&gt;"",'算罪台'!$B$4&lt;&gt;"",ISNUMBER(SEARCH($A27,'算罪台'!$B$4))),1,0)</f>
        <v/>
      </c>
      <c r="D28" s="34">
        <f>IF(AND($A27&lt;&gt;"",'算罪台'!$B$5&lt;&gt;"",ISNUMBER(SEARCH($A27,'算罪台'!$B$5))),1,0)</f>
        <v/>
      </c>
      <c r="E28" s="34">
        <f>IF(AND($A27&lt;&gt;"",'算罪台'!$B$6&lt;&gt;"",ISNUMBER(SEARCH($A27,'算罪台'!$B$6))),1,0)</f>
        <v/>
      </c>
    </row>
    <row r="29">
      <c r="A29" s="34" t="inlineStr">
        <is>
          <t>有预谋</t>
        </is>
      </c>
      <c r="B29" s="34" t="inlineStr">
        <is>
          <t>一级谋杀罪</t>
        </is>
      </c>
      <c r="C29" s="34">
        <f>IF(AND($A28&lt;&gt;"",'算罪台'!$B$4&lt;&gt;"",ISNUMBER(SEARCH($A28,'算罪台'!$B$4))),1,0)</f>
        <v/>
      </c>
      <c r="D29" s="34">
        <f>IF(AND($A28&lt;&gt;"",'算罪台'!$B$5&lt;&gt;"",ISNUMBER(SEARCH($A28,'算罪台'!$B$5))),1,0)</f>
        <v/>
      </c>
      <c r="E29" s="34">
        <f>IF(AND($A28&lt;&gt;"",'算罪台'!$B$6&lt;&gt;"",ISNUMBER(SEARCH($A28,'算罪台'!$B$6))),1,0)</f>
        <v/>
      </c>
    </row>
    <row r="30">
      <c r="A30" s="34" t="inlineStr">
        <is>
          <t>谋划杀</t>
        </is>
      </c>
      <c r="B30" s="34" t="inlineStr">
        <is>
          <t>一级谋杀罪</t>
        </is>
      </c>
      <c r="C30" s="34">
        <f>IF(AND($A29&lt;&gt;"",'算罪台'!$B$4&lt;&gt;"",ISNUMBER(SEARCH($A29,'算罪台'!$B$4))),1,0)</f>
        <v/>
      </c>
      <c r="D30" s="34">
        <f>IF(AND($A29&lt;&gt;"",'算罪台'!$B$5&lt;&gt;"",ISNUMBER(SEARCH($A29,'算罪台'!$B$5))),1,0)</f>
        <v/>
      </c>
      <c r="E30" s="34">
        <f>IF(AND($A29&lt;&gt;"",'算罪台'!$B$6&lt;&gt;"",ISNUMBER(SEARCH($A29,'算罪台'!$B$6))),1,0)</f>
        <v/>
      </c>
    </row>
    <row r="31">
      <c r="A31" s="34" t="inlineStr">
        <is>
          <t>策划杀人</t>
        </is>
      </c>
      <c r="B31" s="34" t="inlineStr">
        <is>
          <t>一级谋杀罪</t>
        </is>
      </c>
      <c r="C31" s="34">
        <f>IF(AND($A30&lt;&gt;"",'算罪台'!$B$4&lt;&gt;"",ISNUMBER(SEARCH($A30,'算罪台'!$B$4))),1,0)</f>
        <v/>
      </c>
      <c r="D31" s="34">
        <f>IF(AND($A30&lt;&gt;"",'算罪台'!$B$5&lt;&gt;"",ISNUMBER(SEARCH($A30,'算罪台'!$B$5))),1,0)</f>
        <v/>
      </c>
      <c r="E31" s="34">
        <f>IF(AND($A30&lt;&gt;"",'算罪台'!$B$6&lt;&gt;"",ISNUMBER(SEARCH($A30,'算罪台'!$B$6))),1,0)</f>
        <v/>
      </c>
    </row>
    <row r="32">
      <c r="A32" s="34" t="inlineStr">
        <is>
          <t>二级谋杀</t>
        </is>
      </c>
      <c r="B32" s="34" t="inlineStr">
        <is>
          <t>二级谋杀罪</t>
        </is>
      </c>
      <c r="C32" s="34">
        <f>IF(AND($A31&lt;&gt;"",'算罪台'!$B$4&lt;&gt;"",ISNUMBER(SEARCH($A31,'算罪台'!$B$4))),1,0)</f>
        <v/>
      </c>
      <c r="D32" s="34">
        <f>IF(AND($A31&lt;&gt;"",'算罪台'!$B$5&lt;&gt;"",ISNUMBER(SEARCH($A31,'算罪台'!$B$5))),1,0)</f>
        <v/>
      </c>
      <c r="E32" s="34">
        <f>IF(AND($A31&lt;&gt;"",'算罪台'!$B$6&lt;&gt;"",ISNUMBER(SEARCH($A31,'算罪台'!$B$6))),1,0)</f>
        <v/>
      </c>
    </row>
    <row r="33">
      <c r="A33" s="34" t="inlineStr">
        <is>
          <t>故意杀人</t>
        </is>
      </c>
      <c r="B33" s="34" t="inlineStr">
        <is>
          <t>二级谋杀罪</t>
        </is>
      </c>
      <c r="C33" s="34">
        <f>IF(AND($A32&lt;&gt;"",'算罪台'!$B$4&lt;&gt;"",ISNUMBER(SEARCH($A32,'算罪台'!$B$4))),1,0)</f>
        <v/>
      </c>
      <c r="D33" s="34">
        <f>IF(AND($A32&lt;&gt;"",'算罪台'!$B$5&lt;&gt;"",ISNUMBER(SEARCH($A32,'算罪台'!$B$5))),1,0)</f>
        <v/>
      </c>
      <c r="E33" s="34">
        <f>IF(AND($A32&lt;&gt;"",'算罪台'!$B$6&lt;&gt;"",ISNUMBER(SEARCH($A32,'算罪台'!$B$6))),1,0)</f>
        <v/>
      </c>
    </row>
    <row r="34">
      <c r="A34" s="34" t="inlineStr">
        <is>
          <t>杀人</t>
        </is>
      </c>
      <c r="B34" s="34" t="inlineStr">
        <is>
          <t>二级谋杀罪</t>
        </is>
      </c>
      <c r="C34" s="34">
        <f>IF(AND($A33&lt;&gt;"",'算罪台'!$B$4&lt;&gt;"",ISNUMBER(SEARCH($A33,'算罪台'!$B$4))),1,0)</f>
        <v/>
      </c>
      <c r="D34" s="34">
        <f>IF(AND($A33&lt;&gt;"",'算罪台'!$B$5&lt;&gt;"",ISNUMBER(SEARCH($A33,'算罪台'!$B$5))),1,0)</f>
        <v/>
      </c>
      <c r="E34" s="34">
        <f>IF(AND($A33&lt;&gt;"",'算罪台'!$B$6&lt;&gt;"",ISNUMBER(SEARCH($A33,'算罪台'!$B$6))),1,0)</f>
        <v/>
      </c>
    </row>
    <row r="35">
      <c r="A35" s="34" t="inlineStr">
        <is>
          <t>打死</t>
        </is>
      </c>
      <c r="B35" s="34" t="inlineStr">
        <is>
          <t>二级谋杀罪</t>
        </is>
      </c>
      <c r="C35" s="34">
        <f>IF(AND($A34&lt;&gt;"",'算罪台'!$B$4&lt;&gt;"",ISNUMBER(SEARCH($A34,'算罪台'!$B$4))),1,0)</f>
        <v/>
      </c>
      <c r="D35" s="34">
        <f>IF(AND($A34&lt;&gt;"",'算罪台'!$B$5&lt;&gt;"",ISNUMBER(SEARCH($A34,'算罪台'!$B$5))),1,0)</f>
        <v/>
      </c>
      <c r="E35" s="34">
        <f>IF(AND($A34&lt;&gt;"",'算罪台'!$B$6&lt;&gt;"",ISNUMBER(SEARCH($A34,'算罪台'!$B$6))),1,0)</f>
        <v/>
      </c>
    </row>
    <row r="36">
      <c r="A36" s="34" t="inlineStr">
        <is>
          <t>枪杀</t>
        </is>
      </c>
      <c r="B36" s="34" t="inlineStr">
        <is>
          <t>二级谋杀罪</t>
        </is>
      </c>
      <c r="C36" s="34">
        <f>IF(AND($A35&lt;&gt;"",'算罪台'!$B$4&lt;&gt;"",ISNUMBER(SEARCH($A35,'算罪台'!$B$4))),1,0)</f>
        <v/>
      </c>
      <c r="D36" s="34">
        <f>IF(AND($A35&lt;&gt;"",'算罪台'!$B$5&lt;&gt;"",ISNUMBER(SEARCH($A35,'算罪台'!$B$5))),1,0)</f>
        <v/>
      </c>
      <c r="E36" s="34">
        <f>IF(AND($A35&lt;&gt;"",'算罪台'!$B$6&lt;&gt;"",ISNUMBER(SEARCH($A35,'算罪台'!$B$6))),1,0)</f>
        <v/>
      </c>
    </row>
    <row r="37">
      <c r="A37" s="34" t="inlineStr">
        <is>
          <t>致人死亡</t>
        </is>
      </c>
      <c r="B37" s="34" t="inlineStr">
        <is>
          <t>二级谋杀罪</t>
        </is>
      </c>
      <c r="C37" s="34">
        <f>IF(AND($A36&lt;&gt;"",'算罪台'!$B$4&lt;&gt;"",ISNUMBER(SEARCH($A36,'算罪台'!$B$4))),1,0)</f>
        <v/>
      </c>
      <c r="D37" s="34">
        <f>IF(AND($A36&lt;&gt;"",'算罪台'!$B$5&lt;&gt;"",ISNUMBER(SEARCH($A36,'算罪台'!$B$5))),1,0)</f>
        <v/>
      </c>
      <c r="E37" s="34">
        <f>IF(AND($A36&lt;&gt;"",'算罪台'!$B$6&lt;&gt;"",ISNUMBER(SEARCH($A36,'算罪台'!$B$6))),1,0)</f>
        <v/>
      </c>
    </row>
    <row r="38">
      <c r="A38" s="34" t="inlineStr">
        <is>
          <t>杀死</t>
        </is>
      </c>
      <c r="B38" s="34" t="inlineStr">
        <is>
          <t>二级谋杀罪</t>
        </is>
      </c>
      <c r="C38" s="34">
        <f>IF(AND($A37&lt;&gt;"",'算罪台'!$B$4&lt;&gt;"",ISNUMBER(SEARCH($A37,'算罪台'!$B$4))),1,0)</f>
        <v/>
      </c>
      <c r="D38" s="34">
        <f>IF(AND($A37&lt;&gt;"",'算罪台'!$B$5&lt;&gt;"",ISNUMBER(SEARCH($A37,'算罪台'!$B$5))),1,0)</f>
        <v/>
      </c>
      <c r="E38" s="34">
        <f>IF(AND($A37&lt;&gt;"",'算罪台'!$B$6&lt;&gt;"",ISNUMBER(SEARCH($A37,'算罪台'!$B$6))),1,0)</f>
        <v/>
      </c>
    </row>
    <row r="39">
      <c r="A39" s="34" t="inlineStr">
        <is>
          <t>弄死</t>
        </is>
      </c>
      <c r="B39" s="34" t="inlineStr">
        <is>
          <t>二级谋杀罪</t>
        </is>
      </c>
      <c r="C39" s="34">
        <f>IF(AND($A38&lt;&gt;"",'算罪台'!$B$4&lt;&gt;"",ISNUMBER(SEARCH($A38,'算罪台'!$B$4))),1,0)</f>
        <v/>
      </c>
      <c r="D39" s="34">
        <f>IF(AND($A38&lt;&gt;"",'算罪台'!$B$5&lt;&gt;"",ISNUMBER(SEARCH($A38,'算罪台'!$B$5))),1,0)</f>
        <v/>
      </c>
      <c r="E39" s="34">
        <f>IF(AND($A38&lt;&gt;"",'算罪台'!$B$6&lt;&gt;"",ISNUMBER(SEARCH($A38,'算罪台'!$B$6))),1,0)</f>
        <v/>
      </c>
    </row>
    <row r="40">
      <c r="A40" s="34" t="inlineStr">
        <is>
          <t>捅死</t>
        </is>
      </c>
      <c r="B40" s="34" t="inlineStr">
        <is>
          <t>二级谋杀罪</t>
        </is>
      </c>
      <c r="C40" s="34">
        <f>IF(AND($A39&lt;&gt;"",'算罪台'!$B$4&lt;&gt;"",ISNUMBER(SEARCH($A39,'算罪台'!$B$4))),1,0)</f>
        <v/>
      </c>
      <c r="D40" s="34">
        <f>IF(AND($A39&lt;&gt;"",'算罪台'!$B$5&lt;&gt;"",ISNUMBER(SEARCH($A39,'算罪台'!$B$5))),1,0)</f>
        <v/>
      </c>
      <c r="E40" s="34">
        <f>IF(AND($A39&lt;&gt;"",'算罪台'!$B$6&lt;&gt;"",ISNUMBER(SEARCH($A39,'算罪台'!$B$6))),1,0)</f>
        <v/>
      </c>
    </row>
    <row r="41">
      <c r="A41" s="34" t="inlineStr">
        <is>
          <t>砍死</t>
        </is>
      </c>
      <c r="B41" s="34" t="inlineStr">
        <is>
          <t>二级谋杀罪</t>
        </is>
      </c>
      <c r="C41" s="34">
        <f>IF(AND($A40&lt;&gt;"",'算罪台'!$B$4&lt;&gt;"",ISNUMBER(SEARCH($A40,'算罪台'!$B$4))),1,0)</f>
        <v/>
      </c>
      <c r="D41" s="34">
        <f>IF(AND($A40&lt;&gt;"",'算罪台'!$B$5&lt;&gt;"",ISNUMBER(SEARCH($A40,'算罪台'!$B$5))),1,0)</f>
        <v/>
      </c>
      <c r="E41" s="34">
        <f>IF(AND($A40&lt;&gt;"",'算罪台'!$B$6&lt;&gt;"",ISNUMBER(SEARCH($A40,'算罪台'!$B$6))),1,0)</f>
        <v/>
      </c>
    </row>
    <row r="42">
      <c r="A42" s="34" t="inlineStr">
        <is>
          <t>杀了</t>
        </is>
      </c>
      <c r="B42" s="34" t="inlineStr">
        <is>
          <t>二级谋杀罪</t>
        </is>
      </c>
      <c r="C42" s="34">
        <f>IF(AND($A41&lt;&gt;"",'算罪台'!$B$4&lt;&gt;"",ISNUMBER(SEARCH($A41,'算罪台'!$B$4))),1,0)</f>
        <v/>
      </c>
      <c r="D42" s="34">
        <f>IF(AND($A41&lt;&gt;"",'算罪台'!$B$5&lt;&gt;"",ISNUMBER(SEARCH($A41,'算罪台'!$B$5))),1,0)</f>
        <v/>
      </c>
      <c r="E42" s="34">
        <f>IF(AND($A41&lt;&gt;"",'算罪台'!$B$6&lt;&gt;"",ISNUMBER(SEARCH($A41,'算罪台'!$B$6))),1,0)</f>
        <v/>
      </c>
    </row>
    <row r="43">
      <c r="A43" s="34" t="inlineStr">
        <is>
          <t>三级谋杀</t>
        </is>
      </c>
      <c r="B43" s="34" t="inlineStr">
        <is>
          <t>三级谋杀罪</t>
        </is>
      </c>
      <c r="C43" s="34">
        <f>IF(AND($A42&lt;&gt;"",'算罪台'!$B$4&lt;&gt;"",ISNUMBER(SEARCH($A42,'算罪台'!$B$4))),1,0)</f>
        <v/>
      </c>
      <c r="D43" s="34">
        <f>IF(AND($A42&lt;&gt;"",'算罪台'!$B$5&lt;&gt;"",ISNUMBER(SEARCH($A42,'算罪台'!$B$5))),1,0)</f>
        <v/>
      </c>
      <c r="E43" s="34">
        <f>IF(AND($A42&lt;&gt;"",'算罪台'!$B$6&lt;&gt;"",ISNUMBER(SEARCH($A42,'算罪台'!$B$6))),1,0)</f>
        <v/>
      </c>
    </row>
    <row r="44">
      <c r="A44" s="34" t="inlineStr">
        <is>
          <t>过失致死</t>
        </is>
      </c>
      <c r="B44" s="34" t="inlineStr">
        <is>
          <t>三级谋杀罪</t>
        </is>
      </c>
      <c r="C44" s="34">
        <f>IF(AND($A43&lt;&gt;"",'算罪台'!$B$4&lt;&gt;"",ISNUMBER(SEARCH($A43,'算罪台'!$B$4))),1,0)</f>
        <v/>
      </c>
      <c r="D44" s="34">
        <f>IF(AND($A43&lt;&gt;"",'算罪台'!$B$5&lt;&gt;"",ISNUMBER(SEARCH($A43,'算罪台'!$B$5))),1,0)</f>
        <v/>
      </c>
      <c r="E44" s="34">
        <f>IF(AND($A43&lt;&gt;"",'算罪台'!$B$6&lt;&gt;"",ISNUMBER(SEARCH($A43,'算罪台'!$B$6))),1,0)</f>
        <v/>
      </c>
    </row>
    <row r="45">
      <c r="A45" s="34" t="inlineStr">
        <is>
          <t>意外致死</t>
        </is>
      </c>
      <c r="B45" s="34" t="inlineStr">
        <is>
          <t>三级谋杀罪</t>
        </is>
      </c>
      <c r="C45" s="34">
        <f>IF(AND($A44&lt;&gt;"",'算罪台'!$B$4&lt;&gt;"",ISNUMBER(SEARCH($A44,'算罪台'!$B$4))),1,0)</f>
        <v/>
      </c>
      <c r="D45" s="34">
        <f>IF(AND($A44&lt;&gt;"",'算罪台'!$B$5&lt;&gt;"",ISNUMBER(SEARCH($A44,'算罪台'!$B$5))),1,0)</f>
        <v/>
      </c>
      <c r="E45" s="34">
        <f>IF(AND($A44&lt;&gt;"",'算罪台'!$B$6&lt;&gt;"",ISNUMBER(SEARCH($A44,'算罪台'!$B$6))),1,0)</f>
        <v/>
      </c>
    </row>
    <row r="46">
      <c r="A46" s="34" t="inlineStr">
        <is>
          <t>误杀</t>
        </is>
      </c>
      <c r="B46" s="34" t="inlineStr">
        <is>
          <t>三级谋杀罪</t>
        </is>
      </c>
      <c r="C46" s="34">
        <f>IF(AND($A45&lt;&gt;"",'算罪台'!$B$4&lt;&gt;"",ISNUMBER(SEARCH($A45,'算罪台'!$B$4))),1,0)</f>
        <v/>
      </c>
      <c r="D46" s="34">
        <f>IF(AND($A45&lt;&gt;"",'算罪台'!$B$5&lt;&gt;"",ISNUMBER(SEARCH($A45,'算罪台'!$B$5))),1,0)</f>
        <v/>
      </c>
      <c r="E46" s="34">
        <f>IF(AND($A45&lt;&gt;"",'算罪台'!$B$6&lt;&gt;"",ISNUMBER(SEARCH($A45,'算罪台'!$B$6))),1,0)</f>
        <v/>
      </c>
    </row>
    <row r="47">
      <c r="A47" s="34" t="inlineStr">
        <is>
          <t>失手打死</t>
        </is>
      </c>
      <c r="B47" s="34" t="inlineStr">
        <is>
          <t>三级谋杀罪</t>
        </is>
      </c>
      <c r="C47" s="34">
        <f>IF(AND($A46&lt;&gt;"",'算罪台'!$B$4&lt;&gt;"",ISNUMBER(SEARCH($A46,'算罪台'!$B$4))),1,0)</f>
        <v/>
      </c>
      <c r="D47" s="34">
        <f>IF(AND($A46&lt;&gt;"",'算罪台'!$B$5&lt;&gt;"",ISNUMBER(SEARCH($A46,'算罪台'!$B$5))),1,0)</f>
        <v/>
      </c>
      <c r="E47" s="34">
        <f>IF(AND($A46&lt;&gt;"",'算罪台'!$B$6&lt;&gt;"",ISNUMBER(SEARCH($A46,'算罪台'!$B$6))),1,0)</f>
        <v/>
      </c>
    </row>
    <row r="48">
      <c r="A48" s="34" t="inlineStr">
        <is>
          <t>冲突致死</t>
        </is>
      </c>
      <c r="B48" s="34" t="inlineStr">
        <is>
          <t>三级谋杀罪</t>
        </is>
      </c>
      <c r="C48" s="34">
        <f>IF(AND($A47&lt;&gt;"",'算罪台'!$B$4&lt;&gt;"",ISNUMBER(SEARCH($A47,'算罪台'!$B$4))),1,0)</f>
        <v/>
      </c>
      <c r="D48" s="34">
        <f>IF(AND($A47&lt;&gt;"",'算罪台'!$B$5&lt;&gt;"",ISNUMBER(SEARCH($A47,'算罪台'!$B$5))),1,0)</f>
        <v/>
      </c>
      <c r="E48" s="34">
        <f>IF(AND($A47&lt;&gt;"",'算罪台'!$B$6&lt;&gt;"",ISNUMBER(SEARCH($A47,'算罪台'!$B$6))),1,0)</f>
        <v/>
      </c>
    </row>
    <row r="49">
      <c r="A49" s="34" t="inlineStr">
        <is>
          <t>非法拘禁</t>
        </is>
      </c>
      <c r="B49" s="34" t="inlineStr">
        <is>
          <t>非法拘禁罪</t>
        </is>
      </c>
      <c r="C49" s="34">
        <f>IF(AND($A48&lt;&gt;"",'算罪台'!$B$4&lt;&gt;"",ISNUMBER(SEARCH($A48,'算罪台'!$B$4))),1,0)</f>
        <v/>
      </c>
      <c r="D49" s="34">
        <f>IF(AND($A48&lt;&gt;"",'算罪台'!$B$5&lt;&gt;"",ISNUMBER(SEARCH($A48,'算罪台'!$B$5))),1,0)</f>
        <v/>
      </c>
      <c r="E49" s="34">
        <f>IF(AND($A48&lt;&gt;"",'算罪台'!$B$6&lt;&gt;"",ISNUMBER(SEARCH($A48,'算罪台'!$B$6))),1,0)</f>
        <v/>
      </c>
    </row>
    <row r="50">
      <c r="A50" s="34" t="inlineStr">
        <is>
          <t>拘禁</t>
        </is>
      </c>
      <c r="B50" s="34" t="inlineStr">
        <is>
          <t>非法拘禁罪</t>
        </is>
      </c>
      <c r="C50" s="34">
        <f>IF(AND($A49&lt;&gt;"",'算罪台'!$B$4&lt;&gt;"",ISNUMBER(SEARCH($A49,'算罪台'!$B$4))),1,0)</f>
        <v/>
      </c>
      <c r="D50" s="34">
        <f>IF(AND($A49&lt;&gt;"",'算罪台'!$B$5&lt;&gt;"",ISNUMBER(SEARCH($A49,'算罪台'!$B$5))),1,0)</f>
        <v/>
      </c>
      <c r="E50" s="34">
        <f>IF(AND($A49&lt;&gt;"",'算罪台'!$B$6&lt;&gt;"",ISNUMBER(SEARCH($A49,'算罪台'!$B$6))),1,0)</f>
        <v/>
      </c>
    </row>
    <row r="51">
      <c r="A51" s="34" t="inlineStr">
        <is>
          <t>扣押他人</t>
        </is>
      </c>
      <c r="B51" s="34" t="inlineStr">
        <is>
          <t>非法拘禁罪</t>
        </is>
      </c>
      <c r="C51" s="34">
        <f>IF(AND($A50&lt;&gt;"",'算罪台'!$B$4&lt;&gt;"",ISNUMBER(SEARCH($A50,'算罪台'!$B$4))),1,0)</f>
        <v/>
      </c>
      <c r="D51" s="34">
        <f>IF(AND($A50&lt;&gt;"",'算罪台'!$B$5&lt;&gt;"",ISNUMBER(SEARCH($A50,'算罪台'!$B$5))),1,0)</f>
        <v/>
      </c>
      <c r="E51" s="34">
        <f>IF(AND($A50&lt;&gt;"",'算罪台'!$B$6&lt;&gt;"",ISNUMBER(SEARCH($A50,'算罪台'!$B$6))),1,0)</f>
        <v/>
      </c>
    </row>
    <row r="52">
      <c r="A52" s="34" t="inlineStr">
        <is>
          <t>限制人身自由</t>
        </is>
      </c>
      <c r="B52" s="34" t="inlineStr">
        <is>
          <t>非法拘禁罪</t>
        </is>
      </c>
      <c r="C52" s="34">
        <f>IF(AND($A51&lt;&gt;"",'算罪台'!$B$4&lt;&gt;"",ISNUMBER(SEARCH($A51,'算罪台'!$B$4))),1,0)</f>
        <v/>
      </c>
      <c r="D52" s="34">
        <f>IF(AND($A51&lt;&gt;"",'算罪台'!$B$5&lt;&gt;"",ISNUMBER(SEARCH($A51,'算罪台'!$B$5))),1,0)</f>
        <v/>
      </c>
      <c r="E52" s="34">
        <f>IF(AND($A51&lt;&gt;"",'算罪台'!$B$6&lt;&gt;"",ISNUMBER(SEARCH($A51,'算罪台'!$B$6))),1,0)</f>
        <v/>
      </c>
    </row>
    <row r="53">
      <c r="A53" s="34" t="inlineStr">
        <is>
          <t>强行关押</t>
        </is>
      </c>
      <c r="B53" s="34" t="inlineStr">
        <is>
          <t>非法拘禁罪</t>
        </is>
      </c>
      <c r="C53" s="34">
        <f>IF(AND($A52&lt;&gt;"",'算罪台'!$B$4&lt;&gt;"",ISNUMBER(SEARCH($A52,'算罪台'!$B$4))),1,0)</f>
        <v/>
      </c>
      <c r="D53" s="34">
        <f>IF(AND($A52&lt;&gt;"",'算罪台'!$B$5&lt;&gt;"",ISNUMBER(SEARCH($A52,'算罪台'!$B$5))),1,0)</f>
        <v/>
      </c>
      <c r="E53" s="34">
        <f>IF(AND($A52&lt;&gt;"",'算罪台'!$B$6&lt;&gt;"",ISNUMBER(SEARCH($A52,'算罪台'!$B$6))),1,0)</f>
        <v/>
      </c>
    </row>
    <row r="54">
      <c r="A54" s="34" t="inlineStr">
        <is>
          <t>私自关押</t>
        </is>
      </c>
      <c r="B54" s="34" t="inlineStr">
        <is>
          <t>非法拘禁罪</t>
        </is>
      </c>
      <c r="C54" s="34">
        <f>IF(AND($A53&lt;&gt;"",'算罪台'!$B$4&lt;&gt;"",ISNUMBER(SEARCH($A53,'算罪台'!$B$4))),1,0)</f>
        <v/>
      </c>
      <c r="D54" s="34">
        <f>IF(AND($A53&lt;&gt;"",'算罪台'!$B$5&lt;&gt;"",ISNUMBER(SEARCH($A53,'算罪台'!$B$5))),1,0)</f>
        <v/>
      </c>
      <c r="E54" s="34">
        <f>IF(AND($A53&lt;&gt;"",'算罪台'!$B$6&lt;&gt;"",ISNUMBER(SEARCH($A53,'算罪台'!$B$6))),1,0)</f>
        <v/>
      </c>
    </row>
    <row r="55">
      <c r="A55" s="34" t="inlineStr">
        <is>
          <t>关起来</t>
        </is>
      </c>
      <c r="B55" s="34" t="inlineStr">
        <is>
          <t>非法拘禁罪</t>
        </is>
      </c>
      <c r="C55" s="34">
        <f>IF(AND($A54&lt;&gt;"",'算罪台'!$B$4&lt;&gt;"",ISNUMBER(SEARCH($A54,'算罪台'!$B$4))),1,0)</f>
        <v/>
      </c>
      <c r="D55" s="34">
        <f>IF(AND($A54&lt;&gt;"",'算罪台'!$B$5&lt;&gt;"",ISNUMBER(SEARCH($A54,'算罪台'!$B$5))),1,0)</f>
        <v/>
      </c>
      <c r="E55" s="34">
        <f>IF(AND($A54&lt;&gt;"",'算罪台'!$B$6&lt;&gt;"",ISNUMBER(SEARCH($A54,'算罪台'!$B$6))),1,0)</f>
        <v/>
      </c>
    </row>
    <row r="56">
      <c r="A56" s="34" t="inlineStr">
        <is>
          <t>囚禁</t>
        </is>
      </c>
      <c r="B56" s="34" t="inlineStr">
        <is>
          <t>非法拘禁罪</t>
        </is>
      </c>
      <c r="C56" s="34">
        <f>IF(AND($A55&lt;&gt;"",'算罪台'!$B$4&lt;&gt;"",ISNUMBER(SEARCH($A55,'算罪台'!$B$4))),1,0)</f>
        <v/>
      </c>
      <c r="D56" s="34">
        <f>IF(AND($A55&lt;&gt;"",'算罪台'!$B$5&lt;&gt;"",ISNUMBER(SEARCH($A55,'算罪台'!$B$5))),1,0)</f>
        <v/>
      </c>
      <c r="E56" s="34">
        <f>IF(AND($A55&lt;&gt;"",'算罪台'!$B$6&lt;&gt;"",ISNUMBER(SEARCH($A55,'算罪台'!$B$6))),1,0)</f>
        <v/>
      </c>
    </row>
    <row r="57">
      <c r="A57" s="34" t="inlineStr">
        <is>
          <t>绑在</t>
        </is>
      </c>
      <c r="B57" s="34" t="inlineStr">
        <is>
          <t>非法拘禁罪</t>
        </is>
      </c>
      <c r="C57" s="34">
        <f>IF(AND($A56&lt;&gt;"",'算罪台'!$B$4&lt;&gt;"",ISNUMBER(SEARCH($A56,'算罪台'!$B$4))),1,0)</f>
        <v/>
      </c>
      <c r="D57" s="34">
        <f>IF(AND($A56&lt;&gt;"",'算罪台'!$B$5&lt;&gt;"",ISNUMBER(SEARCH($A56,'算罪台'!$B$5))),1,0)</f>
        <v/>
      </c>
      <c r="E57" s="34">
        <f>IF(AND($A56&lt;&gt;"",'算罪台'!$B$6&lt;&gt;"",ISNUMBER(SEARCH($A56,'算罪台'!$B$6))),1,0)</f>
        <v/>
      </c>
    </row>
    <row r="58">
      <c r="A58" s="34" t="inlineStr">
        <is>
          <t>故意袭击</t>
        </is>
      </c>
      <c r="B58" s="34" t="inlineStr">
        <is>
          <t>故意袭击罪</t>
        </is>
      </c>
      <c r="C58" s="34">
        <f>IF(AND($A57&lt;&gt;"",'算罪台'!$B$4&lt;&gt;"",ISNUMBER(SEARCH($A57,'算罪台'!$B$4))),1,0)</f>
        <v/>
      </c>
      <c r="D58" s="34">
        <f>IF(AND($A57&lt;&gt;"",'算罪台'!$B$5&lt;&gt;"",ISNUMBER(SEARCH($A57,'算罪台'!$B$5))),1,0)</f>
        <v/>
      </c>
      <c r="E58" s="34">
        <f>IF(AND($A57&lt;&gt;"",'算罪台'!$B$6&lt;&gt;"",ISNUMBER(SEARCH($A57,'算罪台'!$B$6))),1,0)</f>
        <v/>
      </c>
    </row>
    <row r="59">
      <c r="A59" s="34" t="inlineStr">
        <is>
          <t>袭击</t>
        </is>
      </c>
      <c r="B59" s="34" t="inlineStr">
        <is>
          <t>故意袭击罪</t>
        </is>
      </c>
      <c r="C59" s="34">
        <f>IF(AND($A58&lt;&gt;"",'算罪台'!$B$4&lt;&gt;"",ISNUMBER(SEARCH($A58,'算罪台'!$B$4))),1,0)</f>
        <v/>
      </c>
      <c r="D59" s="34">
        <f>IF(AND($A58&lt;&gt;"",'算罪台'!$B$5&lt;&gt;"",ISNUMBER(SEARCH($A58,'算罪台'!$B$5))),1,0)</f>
        <v/>
      </c>
      <c r="E59" s="34">
        <f>IF(AND($A58&lt;&gt;"",'算罪台'!$B$6&lt;&gt;"",ISNUMBER(SEARCH($A58,'算罪台'!$B$6))),1,0)</f>
        <v/>
      </c>
    </row>
    <row r="60">
      <c r="A60" s="34" t="inlineStr">
        <is>
          <t>殴打</t>
        </is>
      </c>
      <c r="B60" s="34" t="inlineStr">
        <is>
          <t>故意袭击罪</t>
        </is>
      </c>
      <c r="C60" s="34">
        <f>IF(AND($A59&lt;&gt;"",'算罪台'!$B$4&lt;&gt;"",ISNUMBER(SEARCH($A59,'算罪台'!$B$4))),1,0)</f>
        <v/>
      </c>
      <c r="D60" s="34">
        <f>IF(AND($A59&lt;&gt;"",'算罪台'!$B$5&lt;&gt;"",ISNUMBER(SEARCH($A59,'算罪台'!$B$5))),1,0)</f>
        <v/>
      </c>
      <c r="E60" s="34">
        <f>IF(AND($A59&lt;&gt;"",'算罪台'!$B$6&lt;&gt;"",ISNUMBER(SEARCH($A59,'算罪台'!$B$6))),1,0)</f>
        <v/>
      </c>
    </row>
    <row r="61">
      <c r="A61" s="34" t="inlineStr">
        <is>
          <t>打人</t>
        </is>
      </c>
      <c r="B61" s="34" t="inlineStr">
        <is>
          <t>故意袭击罪</t>
        </is>
      </c>
      <c r="C61" s="34">
        <f>IF(AND($A60&lt;&gt;"",'算罪台'!$B$4&lt;&gt;"",ISNUMBER(SEARCH($A60,'算罪台'!$B$4))),1,0)</f>
        <v/>
      </c>
      <c r="D61" s="34">
        <f>IF(AND($A60&lt;&gt;"",'算罪台'!$B$5&lt;&gt;"",ISNUMBER(SEARCH($A60,'算罪台'!$B$5))),1,0)</f>
        <v/>
      </c>
      <c r="E61" s="34">
        <f>IF(AND($A60&lt;&gt;"",'算罪台'!$B$6&lt;&gt;"",ISNUMBER(SEARCH($A60,'算罪台'!$B$6))),1,0)</f>
        <v/>
      </c>
    </row>
    <row r="62">
      <c r="A62" s="34" t="inlineStr">
        <is>
          <t>动手打</t>
        </is>
      </c>
      <c r="B62" s="34" t="inlineStr">
        <is>
          <t>故意袭击罪</t>
        </is>
      </c>
      <c r="C62" s="34">
        <f>IF(AND($A61&lt;&gt;"",'算罪台'!$B$4&lt;&gt;"",ISNUMBER(SEARCH($A61,'算罪台'!$B$4))),1,0)</f>
        <v/>
      </c>
      <c r="D62" s="34">
        <f>IF(AND($A61&lt;&gt;"",'算罪台'!$B$5&lt;&gt;"",ISNUMBER(SEARCH($A61,'算罪台'!$B$5))),1,0)</f>
        <v/>
      </c>
      <c r="E62" s="34">
        <f>IF(AND($A61&lt;&gt;"",'算罪台'!$B$6&lt;&gt;"",ISNUMBER(SEARCH($A61,'算罪台'!$B$6))),1,0)</f>
        <v/>
      </c>
    </row>
    <row r="63">
      <c r="A63" s="34" t="inlineStr">
        <is>
          <t>拳打脚踢</t>
        </is>
      </c>
      <c r="B63" s="34" t="inlineStr">
        <is>
          <t>故意袭击罪</t>
        </is>
      </c>
      <c r="C63" s="34">
        <f>IF(AND($A62&lt;&gt;"",'算罪台'!$B$4&lt;&gt;"",ISNUMBER(SEARCH($A62,'算罪台'!$B$4))),1,0)</f>
        <v/>
      </c>
      <c r="D63" s="34">
        <f>IF(AND($A62&lt;&gt;"",'算罪台'!$B$5&lt;&gt;"",ISNUMBER(SEARCH($A62,'算罪台'!$B$5))),1,0)</f>
        <v/>
      </c>
      <c r="E63" s="34">
        <f>IF(AND($A62&lt;&gt;"",'算罪台'!$B$6&lt;&gt;"",ISNUMBER(SEARCH($A62,'算罪台'!$B$6))),1,0)</f>
        <v/>
      </c>
    </row>
    <row r="64">
      <c r="A64" s="34" t="inlineStr">
        <is>
          <t>暴力伤人</t>
        </is>
      </c>
      <c r="B64" s="34" t="inlineStr">
        <is>
          <t>故意袭击罪</t>
        </is>
      </c>
      <c r="C64" s="34">
        <f>IF(AND($A63&lt;&gt;"",'算罪台'!$B$4&lt;&gt;"",ISNUMBER(SEARCH($A63,'算罪台'!$B$4))),1,0)</f>
        <v/>
      </c>
      <c r="D64" s="34">
        <f>IF(AND($A63&lt;&gt;"",'算罪台'!$B$5&lt;&gt;"",ISNUMBER(SEARCH($A63,'算罪台'!$B$5))),1,0)</f>
        <v/>
      </c>
      <c r="E64" s="34">
        <f>IF(AND($A63&lt;&gt;"",'算罪台'!$B$6&lt;&gt;"",ISNUMBER(SEARCH($A63,'算罪台'!$B$6))),1,0)</f>
        <v/>
      </c>
    </row>
    <row r="65">
      <c r="A65" s="34" t="inlineStr">
        <is>
          <t>揍</t>
        </is>
      </c>
      <c r="B65" s="34" t="inlineStr">
        <is>
          <t>故意袭击罪</t>
        </is>
      </c>
      <c r="C65" s="34">
        <f>IF(AND($A64&lt;&gt;"",'算罪台'!$B$4&lt;&gt;"",ISNUMBER(SEARCH($A64,'算罪台'!$B$4))),1,0)</f>
        <v/>
      </c>
      <c r="D65" s="34">
        <f>IF(AND($A64&lt;&gt;"",'算罪台'!$B$5&lt;&gt;"",ISNUMBER(SEARCH($A64,'算罪台'!$B$5))),1,0)</f>
        <v/>
      </c>
      <c r="E65" s="34">
        <f>IF(AND($A64&lt;&gt;"",'算罪台'!$B$6&lt;&gt;"",ISNUMBER(SEARCH($A64,'算罪台'!$B$6))),1,0)</f>
        <v/>
      </c>
    </row>
    <row r="66">
      <c r="A66" s="34" t="inlineStr">
        <is>
          <t>打伤</t>
        </is>
      </c>
      <c r="B66" s="34" t="inlineStr">
        <is>
          <t>故意袭击罪</t>
        </is>
      </c>
      <c r="C66" s="34">
        <f>IF(AND($A65&lt;&gt;"",'算罪台'!$B$4&lt;&gt;"",ISNUMBER(SEARCH($A65,'算罪台'!$B$4))),1,0)</f>
        <v/>
      </c>
      <c r="D66" s="34">
        <f>IF(AND($A65&lt;&gt;"",'算罪台'!$B$5&lt;&gt;"",ISNUMBER(SEARCH($A65,'算罪台'!$B$5))),1,0)</f>
        <v/>
      </c>
      <c r="E66" s="34">
        <f>IF(AND($A65&lt;&gt;"",'算罪台'!$B$6&lt;&gt;"",ISNUMBER(SEARCH($A65,'算罪台'!$B$6))),1,0)</f>
        <v/>
      </c>
    </row>
    <row r="67">
      <c r="A67" s="34" t="inlineStr">
        <is>
          <t>打了一顿</t>
        </is>
      </c>
      <c r="B67" s="34" t="inlineStr">
        <is>
          <t>故意袭击罪</t>
        </is>
      </c>
      <c r="C67" s="34">
        <f>IF(AND($A66&lt;&gt;"",'算罪台'!$B$4&lt;&gt;"",ISNUMBER(SEARCH($A66,'算罪台'!$B$4))),1,0)</f>
        <v/>
      </c>
      <c r="D67" s="34">
        <f>IF(AND($A66&lt;&gt;"",'算罪台'!$B$5&lt;&gt;"",ISNUMBER(SEARCH($A66,'算罪台'!$B$5))),1,0)</f>
        <v/>
      </c>
      <c r="E67" s="34">
        <f>IF(AND($A66&lt;&gt;"",'算罪台'!$B$6&lt;&gt;"",ISNUMBER(SEARCH($A66,'算罪台'!$B$6))),1,0)</f>
        <v/>
      </c>
    </row>
    <row r="68">
      <c r="A68" s="34" t="inlineStr">
        <is>
          <t>围殴</t>
        </is>
      </c>
      <c r="B68" s="34" t="inlineStr">
        <is>
          <t>故意袭击罪</t>
        </is>
      </c>
      <c r="C68" s="34">
        <f>IF(AND($A67&lt;&gt;"",'算罪台'!$B$4&lt;&gt;"",ISNUMBER(SEARCH($A67,'算罪台'!$B$4))),1,0)</f>
        <v/>
      </c>
      <c r="D68" s="34">
        <f>IF(AND($A67&lt;&gt;"",'算罪台'!$B$5&lt;&gt;"",ISNUMBER(SEARCH($A67,'算罪台'!$B$5))),1,0)</f>
        <v/>
      </c>
      <c r="E68" s="34">
        <f>IF(AND($A67&lt;&gt;"",'算罪台'!$B$6&lt;&gt;"",ISNUMBER(SEARCH($A67,'算罪台'!$B$6))),1,0)</f>
        <v/>
      </c>
    </row>
    <row r="69">
      <c r="A69" s="34" t="inlineStr">
        <is>
          <t>动手</t>
        </is>
      </c>
      <c r="B69" s="34" t="inlineStr">
        <is>
          <t>故意袭击罪</t>
        </is>
      </c>
      <c r="C69" s="34">
        <f>IF(AND($A68&lt;&gt;"",'算罪台'!$B$4&lt;&gt;"",ISNUMBER(SEARCH($A68,'算罪台'!$B$4))),1,0)</f>
        <v/>
      </c>
      <c r="D69" s="34">
        <f>IF(AND($A68&lt;&gt;"",'算罪台'!$B$5&lt;&gt;"",ISNUMBER(SEARCH($A68,'算罪台'!$B$5))),1,0)</f>
        <v/>
      </c>
      <c r="E69" s="34">
        <f>IF(AND($A68&lt;&gt;"",'算罪台'!$B$6&lt;&gt;"",ISNUMBER(SEARCH($A68,'算罪台'!$B$6))),1,0)</f>
        <v/>
      </c>
    </row>
    <row r="70">
      <c r="A70" s="34" t="inlineStr">
        <is>
          <t>打架</t>
        </is>
      </c>
      <c r="B70" s="34" t="inlineStr">
        <is>
          <t>故意袭击罪</t>
        </is>
      </c>
      <c r="C70" s="34">
        <f>IF(AND($A69&lt;&gt;"",'算罪台'!$B$4&lt;&gt;"",ISNUMBER(SEARCH($A69,'算罪台'!$B$4))),1,0)</f>
        <v/>
      </c>
      <c r="D70" s="34">
        <f>IF(AND($A69&lt;&gt;"",'算罪台'!$B$5&lt;&gt;"",ISNUMBER(SEARCH($A69,'算罪台'!$B$5))),1,0)</f>
        <v/>
      </c>
      <c r="E70" s="34">
        <f>IF(AND($A69&lt;&gt;"",'算罪台'!$B$6&lt;&gt;"",ISNUMBER(SEARCH($A69,'算罪台'!$B$6))),1,0)</f>
        <v/>
      </c>
    </row>
    <row r="71">
      <c r="A71" s="34" t="inlineStr">
        <is>
          <t>绑架</t>
        </is>
      </c>
      <c r="B71" s="34" t="inlineStr">
        <is>
          <t>绑架罪</t>
        </is>
      </c>
      <c r="C71" s="34">
        <f>IF(AND($A70&lt;&gt;"",'算罪台'!$B$4&lt;&gt;"",ISNUMBER(SEARCH($A70,'算罪台'!$B$4))),1,0)</f>
        <v/>
      </c>
      <c r="D71" s="34">
        <f>IF(AND($A70&lt;&gt;"",'算罪台'!$B$5&lt;&gt;"",ISNUMBER(SEARCH($A70,'算罪台'!$B$5))),1,0)</f>
        <v/>
      </c>
      <c r="E71" s="34">
        <f>IF(AND($A70&lt;&gt;"",'算罪台'!$B$6&lt;&gt;"",ISNUMBER(SEARCH($A70,'算罪台'!$B$6))),1,0)</f>
        <v/>
      </c>
    </row>
    <row r="72">
      <c r="A72" s="34" t="inlineStr">
        <is>
          <t>劫持</t>
        </is>
      </c>
      <c r="B72" s="34" t="inlineStr">
        <is>
          <t>绑架罪</t>
        </is>
      </c>
      <c r="C72" s="34">
        <f>IF(AND($A71&lt;&gt;"",'算罪台'!$B$4&lt;&gt;"",ISNUMBER(SEARCH($A71,'算罪台'!$B$4))),1,0)</f>
        <v/>
      </c>
      <c r="D72" s="34">
        <f>IF(AND($A71&lt;&gt;"",'算罪台'!$B$5&lt;&gt;"",ISNUMBER(SEARCH($A71,'算罪台'!$B$5))),1,0)</f>
        <v/>
      </c>
      <c r="E72" s="34">
        <f>IF(AND($A71&lt;&gt;"",'算罪台'!$B$6&lt;&gt;"",ISNUMBER(SEARCH($A71,'算罪台'!$B$6))),1,0)</f>
        <v/>
      </c>
    </row>
    <row r="73">
      <c r="A73" s="34" t="inlineStr">
        <is>
          <t>挟持</t>
        </is>
      </c>
      <c r="B73" s="34" t="inlineStr">
        <is>
          <t>绑架罪</t>
        </is>
      </c>
      <c r="C73" s="34">
        <f>IF(AND($A72&lt;&gt;"",'算罪台'!$B$4&lt;&gt;"",ISNUMBER(SEARCH($A72,'算罪台'!$B$4))),1,0)</f>
        <v/>
      </c>
      <c r="D73" s="34">
        <f>IF(AND($A72&lt;&gt;"",'算罪台'!$B$5&lt;&gt;"",ISNUMBER(SEARCH($A72,'算罪台'!$B$5))),1,0)</f>
        <v/>
      </c>
      <c r="E73" s="34">
        <f>IF(AND($A72&lt;&gt;"",'算罪台'!$B$6&lt;&gt;"",ISNUMBER(SEARCH($A72,'算罪台'!$B$6))),1,0)</f>
        <v/>
      </c>
    </row>
    <row r="74">
      <c r="A74" s="34" t="inlineStr">
        <is>
          <t>绑票</t>
        </is>
      </c>
      <c r="B74" s="34" t="inlineStr">
        <is>
          <t>绑架罪</t>
        </is>
      </c>
      <c r="C74" s="34">
        <f>IF(AND($A73&lt;&gt;"",'算罪台'!$B$4&lt;&gt;"",ISNUMBER(SEARCH($A73,'算罪台'!$B$4))),1,0)</f>
        <v/>
      </c>
      <c r="D74" s="34">
        <f>IF(AND($A73&lt;&gt;"",'算罪台'!$B$5&lt;&gt;"",ISNUMBER(SEARCH($A73,'算罪台'!$B$5))),1,0)</f>
        <v/>
      </c>
      <c r="E74" s="34">
        <f>IF(AND($A73&lt;&gt;"",'算罪台'!$B$6&lt;&gt;"",ISNUMBER(SEARCH($A73,'算罪台'!$B$6))),1,0)</f>
        <v/>
      </c>
    </row>
    <row r="75">
      <c r="A75" s="34" t="inlineStr">
        <is>
          <t>控制人质</t>
        </is>
      </c>
      <c r="B75" s="34" t="inlineStr">
        <is>
          <t>绑架罪</t>
        </is>
      </c>
      <c r="C75" s="34">
        <f>IF(AND($A74&lt;&gt;"",'算罪台'!$B$4&lt;&gt;"",ISNUMBER(SEARCH($A74,'算罪台'!$B$4))),1,0)</f>
        <v/>
      </c>
      <c r="D75" s="34">
        <f>IF(AND($A74&lt;&gt;"",'算罪台'!$B$5&lt;&gt;"",ISNUMBER(SEARCH($A74,'算罪台'!$B$5))),1,0)</f>
        <v/>
      </c>
      <c r="E75" s="34">
        <f>IF(AND($A74&lt;&gt;"",'算罪台'!$B$6&lt;&gt;"",ISNUMBER(SEARCH($A74,'算罪台'!$B$6))),1,0)</f>
        <v/>
      </c>
    </row>
    <row r="76">
      <c r="A76" s="34" t="inlineStr">
        <is>
          <t>掳走</t>
        </is>
      </c>
      <c r="B76" s="34" t="inlineStr">
        <is>
          <t>绑架罪</t>
        </is>
      </c>
      <c r="C76" s="34">
        <f>IF(AND($A75&lt;&gt;"",'算罪台'!$B$4&lt;&gt;"",ISNUMBER(SEARCH($A75,'算罪台'!$B$4))),1,0)</f>
        <v/>
      </c>
      <c r="D76" s="34">
        <f>IF(AND($A75&lt;&gt;"",'算罪台'!$B$5&lt;&gt;"",ISNUMBER(SEARCH($A75,'算罪台'!$B$5))),1,0)</f>
        <v/>
      </c>
      <c r="E76" s="34">
        <f>IF(AND($A75&lt;&gt;"",'算罪台'!$B$6&lt;&gt;"",ISNUMBER(SEARCH($A75,'算罪台'!$B$6))),1,0)</f>
        <v/>
      </c>
    </row>
    <row r="77">
      <c r="A77" s="34" t="inlineStr">
        <is>
          <t>抓走人质</t>
        </is>
      </c>
      <c r="B77" s="34" t="inlineStr">
        <is>
          <t>绑架罪</t>
        </is>
      </c>
      <c r="C77" s="34">
        <f>IF(AND($A76&lt;&gt;"",'算罪台'!$B$4&lt;&gt;"",ISNUMBER(SEARCH($A76,'算罪台'!$B$4))),1,0)</f>
        <v/>
      </c>
      <c r="D77" s="34">
        <f>IF(AND($A76&lt;&gt;"",'算罪台'!$B$5&lt;&gt;"",ISNUMBER(SEARCH($A76,'算罪台'!$B$5))),1,0)</f>
        <v/>
      </c>
      <c r="E77" s="34">
        <f>IF(AND($A76&lt;&gt;"",'算罪台'!$B$6&lt;&gt;"",ISNUMBER(SEARCH($A76,'算罪台'!$B$6))),1,0)</f>
        <v/>
      </c>
    </row>
    <row r="78">
      <c r="A78" s="34" t="inlineStr">
        <is>
          <t>抓人质</t>
        </is>
      </c>
      <c r="B78" s="34" t="inlineStr">
        <is>
          <t>绑架罪</t>
        </is>
      </c>
      <c r="C78" s="34">
        <f>IF(AND($A77&lt;&gt;"",'算罪台'!$B$4&lt;&gt;"",ISNUMBER(SEARCH($A77,'算罪台'!$B$4))),1,0)</f>
        <v/>
      </c>
      <c r="D78" s="34">
        <f>IF(AND($A77&lt;&gt;"",'算罪台'!$B$5&lt;&gt;"",ISNUMBER(SEARCH($A77,'算罪台'!$B$5))),1,0)</f>
        <v/>
      </c>
      <c r="E78" s="34">
        <f>IF(AND($A77&lt;&gt;"",'算罪台'!$B$6&lt;&gt;"",ISNUMBER(SEARCH($A77,'算罪台'!$B$6))),1,0)</f>
        <v/>
      </c>
    </row>
    <row r="79">
      <c r="A79" s="34" t="inlineStr">
        <is>
          <t>亵渎尸体</t>
        </is>
      </c>
      <c r="B79" s="34" t="inlineStr">
        <is>
          <t>亵渎尸体罪</t>
        </is>
      </c>
      <c r="C79" s="34">
        <f>IF(AND($A78&lt;&gt;"",'算罪台'!$B$4&lt;&gt;"",ISNUMBER(SEARCH($A78,'算罪台'!$B$4))),1,0)</f>
        <v/>
      </c>
      <c r="D79" s="34">
        <f>IF(AND($A78&lt;&gt;"",'算罪台'!$B$5&lt;&gt;"",ISNUMBER(SEARCH($A78,'算罪台'!$B$5))),1,0)</f>
        <v/>
      </c>
      <c r="E79" s="34">
        <f>IF(AND($A78&lt;&gt;"",'算罪台'!$B$6&lt;&gt;"",ISNUMBER(SEARCH($A78,'算罪台'!$B$6))),1,0)</f>
        <v/>
      </c>
    </row>
    <row r="80">
      <c r="A80" s="34" t="inlineStr">
        <is>
          <t>毁尸</t>
        </is>
      </c>
      <c r="B80" s="34" t="inlineStr">
        <is>
          <t>亵渎尸体罪</t>
        </is>
      </c>
      <c r="C80" s="34">
        <f>IF(AND($A79&lt;&gt;"",'算罪台'!$B$4&lt;&gt;"",ISNUMBER(SEARCH($A79,'算罪台'!$B$4))),1,0)</f>
        <v/>
      </c>
      <c r="D80" s="34">
        <f>IF(AND($A79&lt;&gt;"",'算罪台'!$B$5&lt;&gt;"",ISNUMBER(SEARCH($A79,'算罪台'!$B$5))),1,0)</f>
        <v/>
      </c>
      <c r="E80" s="34">
        <f>IF(AND($A79&lt;&gt;"",'算罪台'!$B$6&lt;&gt;"",ISNUMBER(SEARCH($A79,'算罪台'!$B$6))),1,0)</f>
        <v/>
      </c>
    </row>
    <row r="81">
      <c r="A81" s="34" t="inlineStr">
        <is>
          <t>处置尸体</t>
        </is>
      </c>
      <c r="B81" s="34" t="inlineStr">
        <is>
          <t>亵渎尸体罪</t>
        </is>
      </c>
      <c r="C81" s="34">
        <f>IF(AND($A80&lt;&gt;"",'算罪台'!$B$4&lt;&gt;"",ISNUMBER(SEARCH($A80,'算罪台'!$B$4))),1,0)</f>
        <v/>
      </c>
      <c r="D81" s="34">
        <f>IF(AND($A80&lt;&gt;"",'算罪台'!$B$5&lt;&gt;"",ISNUMBER(SEARCH($A80,'算罪台'!$B$5))),1,0)</f>
        <v/>
      </c>
      <c r="E81" s="34">
        <f>IF(AND($A80&lt;&gt;"",'算罪台'!$B$6&lt;&gt;"",ISNUMBER(SEARCH($A80,'算罪台'!$B$6))),1,0)</f>
        <v/>
      </c>
    </row>
    <row r="82">
      <c r="A82" s="34" t="inlineStr">
        <is>
          <t>销毁尸体</t>
        </is>
      </c>
      <c r="B82" s="34" t="inlineStr">
        <is>
          <t>亵渎尸体罪</t>
        </is>
      </c>
      <c r="C82" s="34">
        <f>IF(AND($A81&lt;&gt;"",'算罪台'!$B$4&lt;&gt;"",ISNUMBER(SEARCH($A81,'算罪台'!$B$4))),1,0)</f>
        <v/>
      </c>
      <c r="D82" s="34">
        <f>IF(AND($A81&lt;&gt;"",'算罪台'!$B$5&lt;&gt;"",ISNUMBER(SEARCH($A81,'算罪台'!$B$5))),1,0)</f>
        <v/>
      </c>
      <c r="E82" s="34">
        <f>IF(AND($A81&lt;&gt;"",'算罪台'!$B$6&lt;&gt;"",ISNUMBER(SEARCH($A81,'算罪台'!$B$6))),1,0)</f>
        <v/>
      </c>
    </row>
    <row r="83">
      <c r="A83" s="34" t="inlineStr">
        <is>
          <t>藏尸</t>
        </is>
      </c>
      <c r="B83" s="34" t="inlineStr">
        <is>
          <t>亵渎尸体罪</t>
        </is>
      </c>
      <c r="C83" s="34">
        <f>IF(AND($A82&lt;&gt;"",'算罪台'!$B$4&lt;&gt;"",ISNUMBER(SEARCH($A82,'算罪台'!$B$4))),1,0)</f>
        <v/>
      </c>
      <c r="D83" s="34">
        <f>IF(AND($A82&lt;&gt;"",'算罪台'!$B$5&lt;&gt;"",ISNUMBER(SEARCH($A82,'算罪台'!$B$5))),1,0)</f>
        <v/>
      </c>
      <c r="E83" s="34">
        <f>IF(AND($A82&lt;&gt;"",'算罪台'!$B$6&lt;&gt;"",ISNUMBER(SEARCH($A82,'算罪台'!$B$6))),1,0)</f>
        <v/>
      </c>
    </row>
    <row r="84">
      <c r="A84" s="34" t="inlineStr">
        <is>
          <t>焚尸</t>
        </is>
      </c>
      <c r="B84" s="34" t="inlineStr">
        <is>
          <t>亵渎尸体罪</t>
        </is>
      </c>
      <c r="C84" s="34">
        <f>IF(AND($A83&lt;&gt;"",'算罪台'!$B$4&lt;&gt;"",ISNUMBER(SEARCH($A83,'算罪台'!$B$4))),1,0)</f>
        <v/>
      </c>
      <c r="D84" s="34">
        <f>IF(AND($A83&lt;&gt;"",'算罪台'!$B$5&lt;&gt;"",ISNUMBER(SEARCH($A83,'算罪台'!$B$5))),1,0)</f>
        <v/>
      </c>
      <c r="E84" s="34">
        <f>IF(AND($A83&lt;&gt;"",'算罪台'!$B$6&lt;&gt;"",ISNUMBER(SEARCH($A83,'算罪台'!$B$6))),1,0)</f>
        <v/>
      </c>
    </row>
    <row r="85">
      <c r="A85" s="34" t="inlineStr">
        <is>
          <t>碎尸</t>
        </is>
      </c>
      <c r="B85" s="34" t="inlineStr">
        <is>
          <t>亵渎尸体罪</t>
        </is>
      </c>
      <c r="C85" s="34">
        <f>IF(AND($A84&lt;&gt;"",'算罪台'!$B$4&lt;&gt;"",ISNUMBER(SEARCH($A84,'算罪台'!$B$4))),1,0)</f>
        <v/>
      </c>
      <c r="D85" s="34">
        <f>IF(AND($A84&lt;&gt;"",'算罪台'!$B$5&lt;&gt;"",ISNUMBER(SEARCH($A84,'算罪台'!$B$5))),1,0)</f>
        <v/>
      </c>
      <c r="E85" s="34">
        <f>IF(AND($A84&lt;&gt;"",'算罪台'!$B$6&lt;&gt;"",ISNUMBER(SEARCH($A84,'算罪台'!$B$6))),1,0)</f>
        <v/>
      </c>
    </row>
    <row r="86">
      <c r="A86" s="34" t="inlineStr">
        <is>
          <t>诈骗</t>
        </is>
      </c>
      <c r="B86" s="34" t="inlineStr">
        <is>
          <t>诈骗罪</t>
        </is>
      </c>
      <c r="C86" s="34">
        <f>IF(AND($A85&lt;&gt;"",'算罪台'!$B$4&lt;&gt;"",ISNUMBER(SEARCH($A85,'算罪台'!$B$4))),1,0)</f>
        <v/>
      </c>
      <c r="D86" s="34">
        <f>IF(AND($A85&lt;&gt;"",'算罪台'!$B$5&lt;&gt;"",ISNUMBER(SEARCH($A85,'算罪台'!$B$5))),1,0)</f>
        <v/>
      </c>
      <c r="E86" s="34">
        <f>IF(AND($A85&lt;&gt;"",'算罪台'!$B$6&lt;&gt;"",ISNUMBER(SEARCH($A85,'算罪台'!$B$6))),1,0)</f>
        <v/>
      </c>
    </row>
    <row r="87">
      <c r="A87" s="34" t="inlineStr">
        <is>
          <t>欺诈</t>
        </is>
      </c>
      <c r="B87" s="34" t="inlineStr">
        <is>
          <t>诈骗罪</t>
        </is>
      </c>
      <c r="C87" s="34">
        <f>IF(AND($A86&lt;&gt;"",'算罪台'!$B$4&lt;&gt;"",ISNUMBER(SEARCH($A86,'算罪台'!$B$4))),1,0)</f>
        <v/>
      </c>
      <c r="D87" s="34">
        <f>IF(AND($A86&lt;&gt;"",'算罪台'!$B$5&lt;&gt;"",ISNUMBER(SEARCH($A86,'算罪台'!$B$5))),1,0)</f>
        <v/>
      </c>
      <c r="E87" s="34">
        <f>IF(AND($A86&lt;&gt;"",'算罪台'!$B$6&lt;&gt;"",ISNUMBER(SEARCH($A86,'算罪台'!$B$6))),1,0)</f>
        <v/>
      </c>
    </row>
    <row r="88">
      <c r="A88" s="34" t="inlineStr">
        <is>
          <t>骗钱</t>
        </is>
      </c>
      <c r="B88" s="34" t="inlineStr">
        <is>
          <t>诈骗罪</t>
        </is>
      </c>
      <c r="C88" s="34">
        <f>IF(AND($A87&lt;&gt;"",'算罪台'!$B$4&lt;&gt;"",ISNUMBER(SEARCH($A87,'算罪台'!$B$4))),1,0)</f>
        <v/>
      </c>
      <c r="D88" s="34">
        <f>IF(AND($A87&lt;&gt;"",'算罪台'!$B$5&lt;&gt;"",ISNUMBER(SEARCH($A87,'算罪台'!$B$5))),1,0)</f>
        <v/>
      </c>
      <c r="E88" s="34">
        <f>IF(AND($A87&lt;&gt;"",'算罪台'!$B$6&lt;&gt;"",ISNUMBER(SEARCH($A87,'算罪台'!$B$6))),1,0)</f>
        <v/>
      </c>
    </row>
    <row r="89">
      <c r="A89" s="34" t="inlineStr">
        <is>
          <t>行骗</t>
        </is>
      </c>
      <c r="B89" s="34" t="inlineStr">
        <is>
          <t>诈骗罪</t>
        </is>
      </c>
      <c r="C89" s="34">
        <f>IF(AND($A88&lt;&gt;"",'算罪台'!$B$4&lt;&gt;"",ISNUMBER(SEARCH($A88,'算罪台'!$B$4))),1,0)</f>
        <v/>
      </c>
      <c r="D89" s="34">
        <f>IF(AND($A88&lt;&gt;"",'算罪台'!$B$5&lt;&gt;"",ISNUMBER(SEARCH($A88,'算罪台'!$B$5))),1,0)</f>
        <v/>
      </c>
      <c r="E89" s="34">
        <f>IF(AND($A88&lt;&gt;"",'算罪台'!$B$6&lt;&gt;"",ISNUMBER(SEARCH($A88,'算罪台'!$B$6))),1,0)</f>
        <v/>
      </c>
    </row>
    <row r="90">
      <c r="A90" s="34" t="inlineStr">
        <is>
          <t>诈骗钱财</t>
        </is>
      </c>
      <c r="B90" s="34" t="inlineStr">
        <is>
          <t>诈骗罪</t>
        </is>
      </c>
      <c r="C90" s="34">
        <f>IF(AND($A89&lt;&gt;"",'算罪台'!$B$4&lt;&gt;"",ISNUMBER(SEARCH($A89,'算罪台'!$B$4))),1,0)</f>
        <v/>
      </c>
      <c r="D90" s="34">
        <f>IF(AND($A89&lt;&gt;"",'算罪台'!$B$5&lt;&gt;"",ISNUMBER(SEARCH($A89,'算罪台'!$B$5))),1,0)</f>
        <v/>
      </c>
      <c r="E90" s="34">
        <f>IF(AND($A89&lt;&gt;"",'算罪台'!$B$6&lt;&gt;"",ISNUMBER(SEARCH($A89,'算罪台'!$B$6))),1,0)</f>
        <v/>
      </c>
    </row>
    <row r="91">
      <c r="A91" s="34" t="inlineStr">
        <is>
          <t>骗取</t>
        </is>
      </c>
      <c r="B91" s="34" t="inlineStr">
        <is>
          <t>诈骗罪</t>
        </is>
      </c>
      <c r="C91" s="34">
        <f>IF(AND($A90&lt;&gt;"",'算罪台'!$B$4&lt;&gt;"",ISNUMBER(SEARCH($A90,'算罪台'!$B$4))),1,0)</f>
        <v/>
      </c>
      <c r="D91" s="34">
        <f>IF(AND($A90&lt;&gt;"",'算罪台'!$B$5&lt;&gt;"",ISNUMBER(SEARCH($A90,'算罪台'!$B$5))),1,0)</f>
        <v/>
      </c>
      <c r="E91" s="34">
        <f>IF(AND($A90&lt;&gt;"",'算罪台'!$B$6&lt;&gt;"",ISNUMBER(SEARCH($A90,'算罪台'!$B$6))),1,0)</f>
        <v/>
      </c>
    </row>
    <row r="92">
      <c r="A92" s="34" t="inlineStr">
        <is>
          <t>坑钱</t>
        </is>
      </c>
      <c r="B92" s="34" t="inlineStr">
        <is>
          <t>诈骗罪</t>
        </is>
      </c>
      <c r="C92" s="34">
        <f>IF(AND($A91&lt;&gt;"",'算罪台'!$B$4&lt;&gt;"",ISNUMBER(SEARCH($A91,'算罪台'!$B$4))),1,0)</f>
        <v/>
      </c>
      <c r="D92" s="34">
        <f>IF(AND($A91&lt;&gt;"",'算罪台'!$B$5&lt;&gt;"",ISNUMBER(SEARCH($A91,'算罪台'!$B$5))),1,0)</f>
        <v/>
      </c>
      <c r="E92" s="34">
        <f>IF(AND($A91&lt;&gt;"",'算罪台'!$B$6&lt;&gt;"",ISNUMBER(SEARCH($A91,'算罪台'!$B$6))),1,0)</f>
        <v/>
      </c>
    </row>
    <row r="93">
      <c r="A93" s="34" t="inlineStr">
        <is>
          <t>设局骗</t>
        </is>
      </c>
      <c r="B93" s="34" t="inlineStr">
        <is>
          <t>诈骗罪</t>
        </is>
      </c>
      <c r="C93" s="34">
        <f>IF(AND($A92&lt;&gt;"",'算罪台'!$B$4&lt;&gt;"",ISNUMBER(SEARCH($A92,'算罪台'!$B$4))),1,0)</f>
        <v/>
      </c>
      <c r="D93" s="34">
        <f>IF(AND($A92&lt;&gt;"",'算罪台'!$B$5&lt;&gt;"",ISNUMBER(SEARCH($A92,'算罪台'!$B$5))),1,0)</f>
        <v/>
      </c>
      <c r="E93" s="34">
        <f>IF(AND($A92&lt;&gt;"",'算罪台'!$B$6&lt;&gt;"",ISNUMBER(SEARCH($A92,'算罪台'!$B$6))),1,0)</f>
        <v/>
      </c>
    </row>
    <row r="94">
      <c r="A94" s="34" t="inlineStr">
        <is>
          <t>骗了</t>
        </is>
      </c>
      <c r="B94" s="34" t="inlineStr">
        <is>
          <t>诈骗罪</t>
        </is>
      </c>
      <c r="C94" s="34">
        <f>IF(AND($A93&lt;&gt;"",'算罪台'!$B$4&lt;&gt;"",ISNUMBER(SEARCH($A93,'算罪台'!$B$4))),1,0)</f>
        <v/>
      </c>
      <c r="D94" s="34">
        <f>IF(AND($A93&lt;&gt;"",'算罪台'!$B$5&lt;&gt;"",ISNUMBER(SEARCH($A93,'算罪台'!$B$5))),1,0)</f>
        <v/>
      </c>
      <c r="E94" s="34">
        <f>IF(AND($A93&lt;&gt;"",'算罪台'!$B$6&lt;&gt;"",ISNUMBER(SEARCH($A93,'算罪台'!$B$6))),1,0)</f>
        <v/>
      </c>
    </row>
    <row r="95">
      <c r="A95" s="34" t="inlineStr">
        <is>
          <t>非法入侵</t>
        </is>
      </c>
      <c r="B95" s="34" t="inlineStr">
        <is>
          <t>非法入侵罪</t>
        </is>
      </c>
      <c r="C95" s="34">
        <f>IF(AND($A94&lt;&gt;"",'算罪台'!$B$4&lt;&gt;"",ISNUMBER(SEARCH($A94,'算罪台'!$B$4))),1,0)</f>
        <v/>
      </c>
      <c r="D95" s="34">
        <f>IF(AND($A94&lt;&gt;"",'算罪台'!$B$5&lt;&gt;"",ISNUMBER(SEARCH($A94,'算罪台'!$B$5))),1,0)</f>
        <v/>
      </c>
      <c r="E95" s="34">
        <f>IF(AND($A94&lt;&gt;"",'算罪台'!$B$6&lt;&gt;"",ISNUMBER(SEARCH($A94,'算罪台'!$B$6))),1,0)</f>
        <v/>
      </c>
    </row>
    <row r="96">
      <c r="A96" s="34" t="inlineStr">
        <is>
          <t>拒绝离开</t>
        </is>
      </c>
      <c r="B96" s="34" t="inlineStr">
        <is>
          <t>非法入侵罪</t>
        </is>
      </c>
      <c r="C96" s="34">
        <f>IF(AND($A95&lt;&gt;"",'算罪台'!$B$4&lt;&gt;"",ISNUMBER(SEARCH($A95,'算罪台'!$B$4))),1,0)</f>
        <v/>
      </c>
      <c r="D96" s="34">
        <f>IF(AND($A95&lt;&gt;"",'算罪台'!$B$5&lt;&gt;"",ISNUMBER(SEARCH($A95,'算罪台'!$B$5))),1,0)</f>
        <v/>
      </c>
      <c r="E96" s="34">
        <f>IF(AND($A95&lt;&gt;"",'算罪台'!$B$6&lt;&gt;"",ISNUMBER(SEARCH($A95,'算罪台'!$B$6))),1,0)</f>
        <v/>
      </c>
    </row>
    <row r="97">
      <c r="A97" s="34" t="inlineStr">
        <is>
          <t>私闯</t>
        </is>
      </c>
      <c r="B97" s="34" t="inlineStr">
        <is>
          <t>非法入侵罪</t>
        </is>
      </c>
      <c r="C97" s="34">
        <f>IF(AND($A96&lt;&gt;"",'算罪台'!$B$4&lt;&gt;"",ISNUMBER(SEARCH($A96,'算罪台'!$B$4))),1,0)</f>
        <v/>
      </c>
      <c r="D97" s="34">
        <f>IF(AND($A96&lt;&gt;"",'算罪台'!$B$5&lt;&gt;"",ISNUMBER(SEARCH($A96,'算罪台'!$B$5))),1,0)</f>
        <v/>
      </c>
      <c r="E97" s="34">
        <f>IF(AND($A96&lt;&gt;"",'算罪台'!$B$6&lt;&gt;"",ISNUMBER(SEARCH($A96,'算罪台'!$B$6))),1,0)</f>
        <v/>
      </c>
    </row>
    <row r="98">
      <c r="A98" s="34" t="inlineStr">
        <is>
          <t>擅自闯入</t>
        </is>
      </c>
      <c r="B98" s="34" t="inlineStr">
        <is>
          <t>非法入侵罪</t>
        </is>
      </c>
      <c r="C98" s="34">
        <f>IF(AND($A97&lt;&gt;"",'算罪台'!$B$4&lt;&gt;"",ISNUMBER(SEARCH($A97,'算罪台'!$B$4))),1,0)</f>
        <v/>
      </c>
      <c r="D98" s="34">
        <f>IF(AND($A97&lt;&gt;"",'算罪台'!$B$5&lt;&gt;"",ISNUMBER(SEARCH($A97,'算罪台'!$B$5))),1,0)</f>
        <v/>
      </c>
      <c r="E98" s="34">
        <f>IF(AND($A97&lt;&gt;"",'算罪台'!$B$6&lt;&gt;"",ISNUMBER(SEARCH($A97,'算罪台'!$B$6))),1,0)</f>
        <v/>
      </c>
    </row>
    <row r="99">
      <c r="A99" s="34" t="inlineStr">
        <is>
          <t>赖着不走</t>
        </is>
      </c>
      <c r="B99" s="34" t="inlineStr">
        <is>
          <t>非法入侵罪</t>
        </is>
      </c>
      <c r="C99" s="34">
        <f>IF(AND($A98&lt;&gt;"",'算罪台'!$B$4&lt;&gt;"",ISNUMBER(SEARCH($A98,'算罪台'!$B$4))),1,0)</f>
        <v/>
      </c>
      <c r="D99" s="34">
        <f>IF(AND($A98&lt;&gt;"",'算罪台'!$B$5&lt;&gt;"",ISNUMBER(SEARCH($A98,'算罪台'!$B$5))),1,0)</f>
        <v/>
      </c>
      <c r="E99" s="34">
        <f>IF(AND($A98&lt;&gt;"",'算罪台'!$B$6&lt;&gt;"",ISNUMBER(SEARCH($A98,'算罪台'!$B$6))),1,0)</f>
        <v/>
      </c>
    </row>
    <row r="100">
      <c r="A100" s="34" t="inlineStr">
        <is>
          <t>不肯走</t>
        </is>
      </c>
      <c r="B100" s="34" t="inlineStr">
        <is>
          <t>非法入侵罪</t>
        </is>
      </c>
      <c r="C100" s="34">
        <f>IF(AND($A99&lt;&gt;"",'算罪台'!$B$4&lt;&gt;"",ISNUMBER(SEARCH($A99,'算罪台'!$B$4))),1,0)</f>
        <v/>
      </c>
      <c r="D100" s="34">
        <f>IF(AND($A99&lt;&gt;"",'算罪台'!$B$5&lt;&gt;"",ISNUMBER(SEARCH($A99,'算罪台'!$B$5))),1,0)</f>
        <v/>
      </c>
      <c r="E100" s="34">
        <f>IF(AND($A99&lt;&gt;"",'算罪台'!$B$6&lt;&gt;"",ISNUMBER(SEARCH($A99,'算罪台'!$B$6))),1,0)</f>
        <v/>
      </c>
    </row>
    <row r="101">
      <c r="A101" s="34" t="inlineStr">
        <is>
          <t>闯进别人</t>
        </is>
      </c>
      <c r="B101" s="34" t="inlineStr">
        <is>
          <t>非法入侵罪</t>
        </is>
      </c>
      <c r="C101" s="34">
        <f>IF(AND($A100&lt;&gt;"",'算罪台'!$B$4&lt;&gt;"",ISNUMBER(SEARCH($A100,'算罪台'!$B$4))),1,0)</f>
        <v/>
      </c>
      <c r="D101" s="34">
        <f>IF(AND($A100&lt;&gt;"",'算罪台'!$B$5&lt;&gt;"",ISNUMBER(SEARCH($A100,'算罪台'!$B$5))),1,0)</f>
        <v/>
      </c>
      <c r="E101" s="34">
        <f>IF(AND($A100&lt;&gt;"",'算罪台'!$B$6&lt;&gt;"",ISNUMBER(SEARCH($A100,'算罪台'!$B$6))),1,0)</f>
        <v/>
      </c>
    </row>
    <row r="102">
      <c r="A102" s="34" t="inlineStr">
        <is>
          <t>闯入民宅</t>
        </is>
      </c>
      <c r="B102" s="34" t="inlineStr">
        <is>
          <t>非法入侵罪</t>
        </is>
      </c>
      <c r="C102" s="34">
        <f>IF(AND($A101&lt;&gt;"",'算罪台'!$B$4&lt;&gt;"",ISNUMBER(SEARCH($A101,'算罪台'!$B$4))),1,0)</f>
        <v/>
      </c>
      <c r="D102" s="34">
        <f>IF(AND($A101&lt;&gt;"",'算罪台'!$B$5&lt;&gt;"",ISNUMBER(SEARCH($A101,'算罪台'!$B$5))),1,0)</f>
        <v/>
      </c>
      <c r="E102" s="34">
        <f>IF(AND($A101&lt;&gt;"",'算罪台'!$B$6&lt;&gt;"",ISNUMBER(SEARCH($A101,'算罪台'!$B$6))),1,0)</f>
        <v/>
      </c>
    </row>
    <row r="103">
      <c r="A103" s="34" t="inlineStr">
        <is>
          <t>非法入侵禁区</t>
        </is>
      </c>
      <c r="B103" s="34" t="inlineStr">
        <is>
          <t>非法入侵禁区罪</t>
        </is>
      </c>
      <c r="C103" s="34">
        <f>IF(AND($A102&lt;&gt;"",'算罪台'!$B$4&lt;&gt;"",ISNUMBER(SEARCH($A102,'算罪台'!$B$4))),1,0)</f>
        <v/>
      </c>
      <c r="D103" s="34">
        <f>IF(AND($A102&lt;&gt;"",'算罪台'!$B$5&lt;&gt;"",ISNUMBER(SEARCH($A102,'算罪台'!$B$5))),1,0)</f>
        <v/>
      </c>
      <c r="E103" s="34">
        <f>IF(AND($A102&lt;&gt;"",'算罪台'!$B$6&lt;&gt;"",ISNUMBER(SEARCH($A102,'算罪台'!$B$6))),1,0)</f>
        <v/>
      </c>
    </row>
    <row r="104">
      <c r="A104" s="34" t="inlineStr">
        <is>
          <t>闯入禁区</t>
        </is>
      </c>
      <c r="B104" s="34" t="inlineStr">
        <is>
          <t>非法入侵禁区罪</t>
        </is>
      </c>
      <c r="C104" s="34">
        <f>IF(AND($A103&lt;&gt;"",'算罪台'!$B$4&lt;&gt;"",ISNUMBER(SEARCH($A103,'算罪台'!$B$4))),1,0)</f>
        <v/>
      </c>
      <c r="D104" s="34">
        <f>IF(AND($A103&lt;&gt;"",'算罪台'!$B$5&lt;&gt;"",ISNUMBER(SEARCH($A103,'算罪台'!$B$5))),1,0)</f>
        <v/>
      </c>
      <c r="E104" s="34">
        <f>IF(AND($A103&lt;&gt;"",'算罪台'!$B$6&lt;&gt;"",ISNUMBER(SEARCH($A103,'算罪台'!$B$6))),1,0)</f>
        <v/>
      </c>
    </row>
    <row r="105">
      <c r="A105" s="34" t="inlineStr">
        <is>
          <t>擅闯警局</t>
        </is>
      </c>
      <c r="B105" s="34" t="inlineStr">
        <is>
          <t>非法入侵禁区罪</t>
        </is>
      </c>
      <c r="C105" s="34">
        <f>IF(AND($A104&lt;&gt;"",'算罪台'!$B$4&lt;&gt;"",ISNUMBER(SEARCH($A104,'算罪台'!$B$4))),1,0)</f>
        <v/>
      </c>
      <c r="D105" s="34">
        <f>IF(AND($A104&lt;&gt;"",'算罪台'!$B$5&lt;&gt;"",ISNUMBER(SEARCH($A104,'算罪台'!$B$5))),1,0)</f>
        <v/>
      </c>
      <c r="E105" s="34">
        <f>IF(AND($A104&lt;&gt;"",'算罪台'!$B$6&lt;&gt;"",ISNUMBER(SEARCH($A104,'算罪台'!$B$6))),1,0)</f>
        <v/>
      </c>
    </row>
    <row r="106">
      <c r="A106" s="34" t="inlineStr">
        <is>
          <t>擅闯机场</t>
        </is>
      </c>
      <c r="B106" s="34" t="inlineStr">
        <is>
          <t>非法入侵禁区罪</t>
        </is>
      </c>
      <c r="C106" s="34">
        <f>IF(AND($A105&lt;&gt;"",'算罪台'!$B$4&lt;&gt;"",ISNUMBER(SEARCH($A105,'算罪台'!$B$4))),1,0)</f>
        <v/>
      </c>
      <c r="D106" s="34">
        <f>IF(AND($A105&lt;&gt;"",'算罪台'!$B$5&lt;&gt;"",ISNUMBER(SEARCH($A105,'算罪台'!$B$5))),1,0)</f>
        <v/>
      </c>
      <c r="E106" s="34">
        <f>IF(AND($A105&lt;&gt;"",'算罪台'!$B$6&lt;&gt;"",ISNUMBER(SEARCH($A105,'算罪台'!$B$6))),1,0)</f>
        <v/>
      </c>
    </row>
    <row r="107">
      <c r="A107" s="34" t="inlineStr">
        <is>
          <t>擅闯军事基地</t>
        </is>
      </c>
      <c r="B107" s="34" t="inlineStr">
        <is>
          <t>非法入侵禁区罪</t>
        </is>
      </c>
      <c r="C107" s="34">
        <f>IF(AND($A106&lt;&gt;"",'算罪台'!$B$4&lt;&gt;"",ISNUMBER(SEARCH($A106,'算罪台'!$B$4))),1,0)</f>
        <v/>
      </c>
      <c r="D107" s="34">
        <f>IF(AND($A106&lt;&gt;"",'算罪台'!$B$5&lt;&gt;"",ISNUMBER(SEARCH($A106,'算罪台'!$B$5))),1,0)</f>
        <v/>
      </c>
      <c r="E107" s="34">
        <f>IF(AND($A106&lt;&gt;"",'算罪台'!$B$6&lt;&gt;"",ISNUMBER(SEARCH($A106,'算罪台'!$B$6))),1,0)</f>
        <v/>
      </c>
    </row>
    <row r="108">
      <c r="A108" s="34" t="inlineStr">
        <is>
          <t>限制区域</t>
        </is>
      </c>
      <c r="B108" s="34" t="inlineStr">
        <is>
          <t>非法入侵禁区罪</t>
        </is>
      </c>
      <c r="C108" s="34">
        <f>IF(AND($A107&lt;&gt;"",'算罪台'!$B$4&lt;&gt;"",ISNUMBER(SEARCH($A107,'算罪台'!$B$4))),1,0)</f>
        <v/>
      </c>
      <c r="D108" s="34">
        <f>IF(AND($A107&lt;&gt;"",'算罪台'!$B$5&lt;&gt;"",ISNUMBER(SEARCH($A107,'算罪台'!$B$5))),1,0)</f>
        <v/>
      </c>
      <c r="E108" s="34">
        <f>IF(AND($A107&lt;&gt;"",'算罪台'!$B$6&lt;&gt;"",ISNUMBER(SEARCH($A107,'算罪台'!$B$6))),1,0)</f>
        <v/>
      </c>
    </row>
    <row r="109">
      <c r="A109" s="34" t="inlineStr">
        <is>
          <t>闯入监狱</t>
        </is>
      </c>
      <c r="B109" s="34" t="inlineStr">
        <is>
          <t>非法入侵禁区罪</t>
        </is>
      </c>
      <c r="C109" s="34">
        <f>IF(AND($A108&lt;&gt;"",'算罪台'!$B$4&lt;&gt;"",ISNUMBER(SEARCH($A108,'算罪台'!$B$4))),1,0)</f>
        <v/>
      </c>
      <c r="D109" s="34">
        <f>IF(AND($A108&lt;&gt;"",'算罪台'!$B$5&lt;&gt;"",ISNUMBER(SEARCH($A108,'算罪台'!$B$5))),1,0)</f>
        <v/>
      </c>
      <c r="E109" s="34">
        <f>IF(AND($A108&lt;&gt;"",'算罪台'!$B$6&lt;&gt;"",ISNUMBER(SEARCH($A108,'算罪台'!$B$6))),1,0)</f>
        <v/>
      </c>
    </row>
    <row r="110">
      <c r="A110" s="34" t="inlineStr">
        <is>
          <t>翻进警局</t>
        </is>
      </c>
      <c r="B110" s="34" t="inlineStr">
        <is>
          <t>非法入侵禁区罪</t>
        </is>
      </c>
      <c r="C110" s="34">
        <f>IF(AND($A109&lt;&gt;"",'算罪台'!$B$4&lt;&gt;"",ISNUMBER(SEARCH($A109,'算罪台'!$B$4))),1,0)</f>
        <v/>
      </c>
      <c r="D110" s="34">
        <f>IF(AND($A109&lt;&gt;"",'算罪台'!$B$5&lt;&gt;"",ISNUMBER(SEARCH($A109,'算罪台'!$B$5))),1,0)</f>
        <v/>
      </c>
      <c r="E110" s="34">
        <f>IF(AND($A109&lt;&gt;"",'算罪台'!$B$6&lt;&gt;"",ISNUMBER(SEARCH($A109,'算罪台'!$B$6))),1,0)</f>
        <v/>
      </c>
    </row>
    <row r="111">
      <c r="A111" s="34" t="inlineStr">
        <is>
          <t>入室盗窃</t>
        </is>
      </c>
      <c r="B111" s="34" t="inlineStr">
        <is>
          <t>入室盗窃罪</t>
        </is>
      </c>
      <c r="C111" s="34">
        <f>IF(AND($A110&lt;&gt;"",'算罪台'!$B$4&lt;&gt;"",ISNUMBER(SEARCH($A110,'算罪台'!$B$4))),1,0)</f>
        <v/>
      </c>
      <c r="D111" s="34">
        <f>IF(AND($A110&lt;&gt;"",'算罪台'!$B$5&lt;&gt;"",ISNUMBER(SEARCH($A110,'算罪台'!$B$5))),1,0)</f>
        <v/>
      </c>
      <c r="E111" s="34">
        <f>IF(AND($A110&lt;&gt;"",'算罪台'!$B$6&lt;&gt;"",ISNUMBER(SEARCH($A110,'算罪台'!$B$6))),1,0)</f>
        <v/>
      </c>
    </row>
    <row r="112">
      <c r="A112" s="34" t="inlineStr">
        <is>
          <t>入室</t>
        </is>
      </c>
      <c r="B112" s="34" t="inlineStr">
        <is>
          <t>入室盗窃罪</t>
        </is>
      </c>
      <c r="C112" s="34">
        <f>IF(AND($A111&lt;&gt;"",'算罪台'!$B$4&lt;&gt;"",ISNUMBER(SEARCH($A111,'算罪台'!$B$4))),1,0)</f>
        <v/>
      </c>
      <c r="D112" s="34">
        <f>IF(AND($A111&lt;&gt;"",'算罪台'!$B$5&lt;&gt;"",ISNUMBER(SEARCH($A111,'算罪台'!$B$5))),1,0)</f>
        <v/>
      </c>
      <c r="E112" s="34">
        <f>IF(AND($A111&lt;&gt;"",'算罪台'!$B$6&lt;&gt;"",ISNUMBER(SEARCH($A111,'算罪台'!$B$6))),1,0)</f>
        <v/>
      </c>
    </row>
    <row r="113">
      <c r="A113" s="34" t="inlineStr">
        <is>
          <t>撬门盗窃</t>
        </is>
      </c>
      <c r="B113" s="34" t="inlineStr">
        <is>
          <t>入室盗窃罪</t>
        </is>
      </c>
      <c r="C113" s="34">
        <f>IF(AND($A112&lt;&gt;"",'算罪台'!$B$4&lt;&gt;"",ISNUMBER(SEARCH($A112,'算罪台'!$B$4))),1,0)</f>
        <v/>
      </c>
      <c r="D113" s="34">
        <f>IF(AND($A112&lt;&gt;"",'算罪台'!$B$5&lt;&gt;"",ISNUMBER(SEARCH($A112,'算罪台'!$B$5))),1,0)</f>
        <v/>
      </c>
      <c r="E113" s="34">
        <f>IF(AND($A112&lt;&gt;"",'算罪台'!$B$6&lt;&gt;"",ISNUMBER(SEARCH($A112,'算罪台'!$B$6))),1,0)</f>
        <v/>
      </c>
    </row>
    <row r="114">
      <c r="A114" s="34" t="inlineStr">
        <is>
          <t>闯入盗窃</t>
        </is>
      </c>
      <c r="B114" s="34" t="inlineStr">
        <is>
          <t>入室盗窃罪</t>
        </is>
      </c>
      <c r="C114" s="34">
        <f>IF(AND($A113&lt;&gt;"",'算罪台'!$B$4&lt;&gt;"",ISNUMBER(SEARCH($A113,'算罪台'!$B$4))),1,0)</f>
        <v/>
      </c>
      <c r="D114" s="34">
        <f>IF(AND($A113&lt;&gt;"",'算罪台'!$B$5&lt;&gt;"",ISNUMBER(SEARCH($A113,'算罪台'!$B$5))),1,0)</f>
        <v/>
      </c>
      <c r="E114" s="34">
        <f>IF(AND($A113&lt;&gt;"",'算罪台'!$B$6&lt;&gt;"",ISNUMBER(SEARCH($A113,'算罪台'!$B$6))),1,0)</f>
        <v/>
      </c>
    </row>
    <row r="115">
      <c r="A115" s="34" t="inlineStr">
        <is>
          <t>破门盗窃</t>
        </is>
      </c>
      <c r="B115" s="34" t="inlineStr">
        <is>
          <t>入室盗窃罪</t>
        </is>
      </c>
      <c r="C115" s="34">
        <f>IF(AND($A114&lt;&gt;"",'算罪台'!$B$4&lt;&gt;"",ISNUMBER(SEARCH($A114,'算罪台'!$B$4))),1,0)</f>
        <v/>
      </c>
      <c r="D115" s="34">
        <f>IF(AND($A114&lt;&gt;"",'算罪台'!$B$5&lt;&gt;"",ISNUMBER(SEARCH($A114,'算罪台'!$B$5))),1,0)</f>
        <v/>
      </c>
      <c r="E115" s="34">
        <f>IF(AND($A114&lt;&gt;"",'算罪台'!$B$6&lt;&gt;"",ISNUMBER(SEARCH($A114,'算罪台'!$B$6))),1,0)</f>
        <v/>
      </c>
    </row>
    <row r="116">
      <c r="A116" s="34" t="inlineStr">
        <is>
          <t>翻窗偷</t>
        </is>
      </c>
      <c r="B116" s="34" t="inlineStr">
        <is>
          <t>入室盗窃罪</t>
        </is>
      </c>
      <c r="C116" s="34">
        <f>IF(AND($A115&lt;&gt;"",'算罪台'!$B$4&lt;&gt;"",ISNUMBER(SEARCH($A115,'算罪台'!$B$4))),1,0)</f>
        <v/>
      </c>
      <c r="D116" s="34">
        <f>IF(AND($A115&lt;&gt;"",'算罪台'!$B$5&lt;&gt;"",ISNUMBER(SEARCH($A115,'算罪台'!$B$5))),1,0)</f>
        <v/>
      </c>
      <c r="E116" s="34">
        <f>IF(AND($A115&lt;&gt;"",'算罪台'!$B$6&lt;&gt;"",ISNUMBER(SEARCH($A115,'算罪台'!$B$6))),1,0)</f>
        <v/>
      </c>
    </row>
    <row r="117">
      <c r="A117" s="34" t="inlineStr">
        <is>
          <t>撬锁进</t>
        </is>
      </c>
      <c r="B117" s="34" t="inlineStr">
        <is>
          <t>入室盗窃罪</t>
        </is>
      </c>
      <c r="C117" s="34">
        <f>IF(AND($A116&lt;&gt;"",'算罪台'!$B$4&lt;&gt;"",ISNUMBER(SEARCH($A116,'算罪台'!$B$4))),1,0)</f>
        <v/>
      </c>
      <c r="D117" s="34">
        <f>IF(AND($A116&lt;&gt;"",'算罪台'!$B$5&lt;&gt;"",ISNUMBER(SEARCH($A116,'算罪台'!$B$5))),1,0)</f>
        <v/>
      </c>
      <c r="E117" s="34">
        <f>IF(AND($A116&lt;&gt;"",'算罪台'!$B$6&lt;&gt;"",ISNUMBER(SEARCH($A116,'算罪台'!$B$6))),1,0)</f>
        <v/>
      </c>
    </row>
    <row r="118">
      <c r="A118" s="34" t="inlineStr">
        <is>
          <t>入室行窃</t>
        </is>
      </c>
      <c r="B118" s="34" t="inlineStr">
        <is>
          <t>入室盗窃罪</t>
        </is>
      </c>
      <c r="C118" s="34">
        <f>IF(AND($A117&lt;&gt;"",'算罪台'!$B$4&lt;&gt;"",ISNUMBER(SEARCH($A117,'算罪台'!$B$4))),1,0)</f>
        <v/>
      </c>
      <c r="D118" s="34">
        <f>IF(AND($A117&lt;&gt;"",'算罪台'!$B$5&lt;&gt;"",ISNUMBER(SEARCH($A117,'算罪台'!$B$5))),1,0)</f>
        <v/>
      </c>
      <c r="E118" s="34">
        <f>IF(AND($A117&lt;&gt;"",'算罪台'!$B$6&lt;&gt;"",ISNUMBER(SEARCH($A117,'算罪台'!$B$6))),1,0)</f>
        <v/>
      </c>
    </row>
    <row r="119">
      <c r="A119" s="34" t="inlineStr">
        <is>
          <t>抢劫</t>
        </is>
      </c>
      <c r="B119" s="34" t="inlineStr">
        <is>
          <t>抢劫罪</t>
        </is>
      </c>
      <c r="C119" s="34">
        <f>IF(AND($A118&lt;&gt;"",'算罪台'!$B$4&lt;&gt;"",ISNUMBER(SEARCH($A118,'算罪台'!$B$4))),1,0)</f>
        <v/>
      </c>
      <c r="D119" s="34">
        <f>IF(AND($A118&lt;&gt;"",'算罪台'!$B$5&lt;&gt;"",ISNUMBER(SEARCH($A118,'算罪台'!$B$5))),1,0)</f>
        <v/>
      </c>
      <c r="E119" s="34">
        <f>IF(AND($A118&lt;&gt;"",'算罪台'!$B$6&lt;&gt;"",ISNUMBER(SEARCH($A118,'算罪台'!$B$6))),1,0)</f>
        <v/>
      </c>
    </row>
    <row r="120">
      <c r="A120" s="34" t="inlineStr">
        <is>
          <t>持械抢劫</t>
        </is>
      </c>
      <c r="B120" s="34" t="inlineStr">
        <is>
          <t>抢劫罪</t>
        </is>
      </c>
      <c r="C120" s="34">
        <f>IF(AND($A119&lt;&gt;"",'算罪台'!$B$4&lt;&gt;"",ISNUMBER(SEARCH($A119,'算罪台'!$B$4))),1,0)</f>
        <v/>
      </c>
      <c r="D120" s="34">
        <f>IF(AND($A119&lt;&gt;"",'算罪台'!$B$5&lt;&gt;"",ISNUMBER(SEARCH($A119,'算罪台'!$B$5))),1,0)</f>
        <v/>
      </c>
      <c r="E120" s="34">
        <f>IF(AND($A119&lt;&gt;"",'算罪台'!$B$6&lt;&gt;"",ISNUMBER(SEARCH($A119,'算罪台'!$B$6))),1,0)</f>
        <v/>
      </c>
    </row>
    <row r="121">
      <c r="A121" s="34" t="inlineStr">
        <is>
          <t>持枪抢劫</t>
        </is>
      </c>
      <c r="B121" s="34" t="inlineStr">
        <is>
          <t>抢劫罪</t>
        </is>
      </c>
      <c r="C121" s="34">
        <f>IF(AND($A120&lt;&gt;"",'算罪台'!$B$4&lt;&gt;"",ISNUMBER(SEARCH($A120,'算罪台'!$B$4))),1,0)</f>
        <v/>
      </c>
      <c r="D121" s="34">
        <f>IF(AND($A120&lt;&gt;"",'算罪台'!$B$5&lt;&gt;"",ISNUMBER(SEARCH($A120,'算罪台'!$B$5))),1,0)</f>
        <v/>
      </c>
      <c r="E121" s="34">
        <f>IF(AND($A120&lt;&gt;"",'算罪台'!$B$6&lt;&gt;"",ISNUMBER(SEARCH($A120,'算罪台'!$B$6))),1,0)</f>
        <v/>
      </c>
    </row>
    <row r="122">
      <c r="A122" s="34" t="inlineStr">
        <is>
          <t>抢夺财物</t>
        </is>
      </c>
      <c r="B122" s="34" t="inlineStr">
        <is>
          <t>抢劫罪</t>
        </is>
      </c>
      <c r="C122" s="34">
        <f>IF(AND($A121&lt;&gt;"",'算罪台'!$B$4&lt;&gt;"",ISNUMBER(SEARCH($A121,'算罪台'!$B$4))),1,0)</f>
        <v/>
      </c>
      <c r="D122" s="34">
        <f>IF(AND($A121&lt;&gt;"",'算罪台'!$B$5&lt;&gt;"",ISNUMBER(SEARCH($A121,'算罪台'!$B$5))),1,0)</f>
        <v/>
      </c>
      <c r="E122" s="34">
        <f>IF(AND($A121&lt;&gt;"",'算罪台'!$B$6&lt;&gt;"",ISNUMBER(SEARCH($A121,'算罪台'!$B$6))),1,0)</f>
        <v/>
      </c>
    </row>
    <row r="123">
      <c r="A123" s="34" t="inlineStr">
        <is>
          <t>武力抢</t>
        </is>
      </c>
      <c r="B123" s="34" t="inlineStr">
        <is>
          <t>抢劫罪</t>
        </is>
      </c>
      <c r="C123" s="34">
        <f>IF(AND($A122&lt;&gt;"",'算罪台'!$B$4&lt;&gt;"",ISNUMBER(SEARCH($A122,'算罪台'!$B$4))),1,0)</f>
        <v/>
      </c>
      <c r="D123" s="34">
        <f>IF(AND($A122&lt;&gt;"",'算罪台'!$B$5&lt;&gt;"",ISNUMBER(SEARCH($A122,'算罪台'!$B$5))),1,0)</f>
        <v/>
      </c>
      <c r="E123" s="34">
        <f>IF(AND($A122&lt;&gt;"",'算罪台'!$B$6&lt;&gt;"",ISNUMBER(SEARCH($A122,'算罪台'!$B$6))),1,0)</f>
        <v/>
      </c>
    </row>
    <row r="124">
      <c r="A124" s="34" t="inlineStr">
        <is>
          <t>威胁抢</t>
        </is>
      </c>
      <c r="B124" s="34" t="inlineStr">
        <is>
          <t>抢劫罪</t>
        </is>
      </c>
      <c r="C124" s="34">
        <f>IF(AND($A123&lt;&gt;"",'算罪台'!$B$4&lt;&gt;"",ISNUMBER(SEARCH($A123,'算罪台'!$B$4))),1,0)</f>
        <v/>
      </c>
      <c r="D124" s="34">
        <f>IF(AND($A123&lt;&gt;"",'算罪台'!$B$5&lt;&gt;"",ISNUMBER(SEARCH($A123,'算罪台'!$B$5))),1,0)</f>
        <v/>
      </c>
      <c r="E124" s="34">
        <f>IF(AND($A123&lt;&gt;"",'算罪台'!$B$6&lt;&gt;"",ISNUMBER(SEARCH($A123,'算罪台'!$B$6))),1,0)</f>
        <v/>
      </c>
    </row>
    <row r="125">
      <c r="A125" s="34" t="inlineStr">
        <is>
          <t>打劫</t>
        </is>
      </c>
      <c r="B125" s="34" t="inlineStr">
        <is>
          <t>抢劫罪</t>
        </is>
      </c>
      <c r="C125" s="34">
        <f>IF(AND($A124&lt;&gt;"",'算罪台'!$B$4&lt;&gt;"",ISNUMBER(SEARCH($A124,'算罪台'!$B$4))),1,0)</f>
        <v/>
      </c>
      <c r="D125" s="34">
        <f>IF(AND($A124&lt;&gt;"",'算罪台'!$B$5&lt;&gt;"",ISNUMBER(SEARCH($A124,'算罪台'!$B$5))),1,0)</f>
        <v/>
      </c>
      <c r="E125" s="34">
        <f>IF(AND($A124&lt;&gt;"",'算罪台'!$B$6&lt;&gt;"",ISNUMBER(SEARCH($A124,'算罪台'!$B$6))),1,0)</f>
        <v/>
      </c>
    </row>
    <row r="126">
      <c r="A126" s="34" t="inlineStr">
        <is>
          <t>抢东西</t>
        </is>
      </c>
      <c r="B126" s="34" t="inlineStr">
        <is>
          <t>抢劫罪</t>
        </is>
      </c>
      <c r="C126" s="34">
        <f>IF(AND($A125&lt;&gt;"",'算罪台'!$B$4&lt;&gt;"",ISNUMBER(SEARCH($A125,'算罪台'!$B$4))),1,0)</f>
        <v/>
      </c>
      <c r="D126" s="34">
        <f>IF(AND($A125&lt;&gt;"",'算罪台'!$B$5&lt;&gt;"",ISNUMBER(SEARCH($A125,'算罪台'!$B$5))),1,0)</f>
        <v/>
      </c>
      <c r="E126" s="34">
        <f>IF(AND($A125&lt;&gt;"",'算罪台'!$B$6&lt;&gt;"",ISNUMBER(SEARCH($A125,'算罪台'!$B$6))),1,0)</f>
        <v/>
      </c>
    </row>
    <row r="127">
      <c r="A127" s="34" t="inlineStr">
        <is>
          <t>抢钱</t>
        </is>
      </c>
      <c r="B127" s="34" t="inlineStr">
        <is>
          <t>抢劫罪</t>
        </is>
      </c>
      <c r="C127" s="34">
        <f>IF(AND($A126&lt;&gt;"",'算罪台'!$B$4&lt;&gt;"",ISNUMBER(SEARCH($A126,'算罪台'!$B$4))),1,0)</f>
        <v/>
      </c>
      <c r="D127" s="34">
        <f>IF(AND($A126&lt;&gt;"",'算罪台'!$B$5&lt;&gt;"",ISNUMBER(SEARCH($A126,'算罪台'!$B$5))),1,0)</f>
        <v/>
      </c>
      <c r="E127" s="34">
        <f>IF(AND($A126&lt;&gt;"",'算罪台'!$B$6&lt;&gt;"",ISNUMBER(SEARCH($A126,'算罪台'!$B$6))),1,0)</f>
        <v/>
      </c>
    </row>
    <row r="128">
      <c r="A128" s="34" t="inlineStr">
        <is>
          <t>洗劫</t>
        </is>
      </c>
      <c r="B128" s="34" t="inlineStr">
        <is>
          <t>抢劫罪</t>
        </is>
      </c>
      <c r="C128" s="34">
        <f>IF(AND($A127&lt;&gt;"",'算罪台'!$B$4&lt;&gt;"",ISNUMBER(SEARCH($A127,'算罪台'!$B$4))),1,0)</f>
        <v/>
      </c>
      <c r="D128" s="34">
        <f>IF(AND($A127&lt;&gt;"",'算罪台'!$B$5&lt;&gt;"",ISNUMBER(SEARCH($A127,'算罪台'!$B$5))),1,0)</f>
        <v/>
      </c>
      <c r="E128" s="34">
        <f>IF(AND($A127&lt;&gt;"",'算罪台'!$B$6&lt;&gt;"",ISNUMBER(SEARCH($A127,'算罪台'!$B$6))),1,0)</f>
        <v/>
      </c>
    </row>
    <row r="129">
      <c r="A129" s="34" t="inlineStr">
        <is>
          <t>抢了</t>
        </is>
      </c>
      <c r="B129" s="34" t="inlineStr">
        <is>
          <t>抢劫罪</t>
        </is>
      </c>
      <c r="C129" s="34">
        <f>IF(AND($A128&lt;&gt;"",'算罪台'!$B$4&lt;&gt;"",ISNUMBER(SEARCH($A128,'算罪台'!$B$4))),1,0)</f>
        <v/>
      </c>
      <c r="D129" s="34">
        <f>IF(AND($A128&lt;&gt;"",'算罪台'!$B$5&lt;&gt;"",ISNUMBER(SEARCH($A128,'算罪台'!$B$5))),1,0)</f>
        <v/>
      </c>
      <c r="E129" s="34">
        <f>IF(AND($A128&lt;&gt;"",'算罪台'!$B$6&lt;&gt;"",ISNUMBER(SEARCH($A128,'算罪台'!$B$6))),1,0)</f>
        <v/>
      </c>
    </row>
    <row r="130">
      <c r="A130" s="34" t="inlineStr">
        <is>
          <t>盗窃</t>
        </is>
      </c>
      <c r="B130" s="34" t="inlineStr">
        <is>
          <t>盗窃罪</t>
        </is>
      </c>
      <c r="C130" s="34">
        <f>IF(AND($A129&lt;&gt;"",'算罪台'!$B$4&lt;&gt;"",ISNUMBER(SEARCH($A129,'算罪台'!$B$4))),1,0)</f>
        <v/>
      </c>
      <c r="D130" s="34">
        <f>IF(AND($A129&lt;&gt;"",'算罪台'!$B$5&lt;&gt;"",ISNUMBER(SEARCH($A129,'算罪台'!$B$5))),1,0)</f>
        <v/>
      </c>
      <c r="E130" s="34">
        <f>IF(AND($A129&lt;&gt;"",'算罪台'!$B$6&lt;&gt;"",ISNUMBER(SEARCH($A129,'算罪台'!$B$6))),1,0)</f>
        <v/>
      </c>
    </row>
    <row r="131">
      <c r="A131" s="34" t="inlineStr">
        <is>
          <t>偷窃</t>
        </is>
      </c>
      <c r="B131" s="34" t="inlineStr">
        <is>
          <t>盗窃罪</t>
        </is>
      </c>
      <c r="C131" s="34">
        <f>IF(AND($A130&lt;&gt;"",'算罪台'!$B$4&lt;&gt;"",ISNUMBER(SEARCH($A130,'算罪台'!$B$4))),1,0)</f>
        <v/>
      </c>
      <c r="D131" s="34">
        <f>IF(AND($A130&lt;&gt;"",'算罪台'!$B$5&lt;&gt;"",ISNUMBER(SEARCH($A130,'算罪台'!$B$5))),1,0)</f>
        <v/>
      </c>
      <c r="E131" s="34">
        <f>IF(AND($A130&lt;&gt;"",'算罪台'!$B$6&lt;&gt;"",ISNUMBER(SEARCH($A130,'算罪台'!$B$6))),1,0)</f>
        <v/>
      </c>
    </row>
    <row r="132">
      <c r="A132" s="34" t="inlineStr">
        <is>
          <t>偷东西</t>
        </is>
      </c>
      <c r="B132" s="34" t="inlineStr">
        <is>
          <t>盗窃罪</t>
        </is>
      </c>
      <c r="C132" s="34">
        <f>IF(AND($A131&lt;&gt;"",'算罪台'!$B$4&lt;&gt;"",ISNUMBER(SEARCH($A131,'算罪台'!$B$4))),1,0)</f>
        <v/>
      </c>
      <c r="D132" s="34">
        <f>IF(AND($A131&lt;&gt;"",'算罪台'!$B$5&lt;&gt;"",ISNUMBER(SEARCH($A131,'算罪台'!$B$5))),1,0)</f>
        <v/>
      </c>
      <c r="E132" s="34">
        <f>IF(AND($A131&lt;&gt;"",'算罪台'!$B$6&lt;&gt;"",ISNUMBER(SEARCH($A131,'算罪台'!$B$6))),1,0)</f>
        <v/>
      </c>
    </row>
    <row r="133">
      <c r="A133" s="34" t="inlineStr">
        <is>
          <t>顺走</t>
        </is>
      </c>
      <c r="B133" s="34" t="inlineStr">
        <is>
          <t>盗窃罪</t>
        </is>
      </c>
      <c r="C133" s="34">
        <f>IF(AND($A132&lt;&gt;"",'算罪台'!$B$4&lt;&gt;"",ISNUMBER(SEARCH($A132,'算罪台'!$B$4))),1,0)</f>
        <v/>
      </c>
      <c r="D133" s="34">
        <f>IF(AND($A132&lt;&gt;"",'算罪台'!$B$5&lt;&gt;"",ISNUMBER(SEARCH($A132,'算罪台'!$B$5))),1,0)</f>
        <v/>
      </c>
      <c r="E133" s="34">
        <f>IF(AND($A132&lt;&gt;"",'算罪台'!$B$6&lt;&gt;"",ISNUMBER(SEARCH($A132,'算罪台'!$B$6))),1,0)</f>
        <v/>
      </c>
    </row>
    <row r="134">
      <c r="A134" s="34" t="inlineStr">
        <is>
          <t>擅自使用他人财物</t>
        </is>
      </c>
      <c r="B134" s="34" t="inlineStr">
        <is>
          <t>盗窃罪</t>
        </is>
      </c>
      <c r="C134" s="34">
        <f>IF(AND($A133&lt;&gt;"",'算罪台'!$B$4&lt;&gt;"",ISNUMBER(SEARCH($A133,'算罪台'!$B$4))),1,0)</f>
        <v/>
      </c>
      <c r="D134" s="34">
        <f>IF(AND($A133&lt;&gt;"",'算罪台'!$B$5&lt;&gt;"",ISNUMBER(SEARCH($A133,'算罪台'!$B$5))),1,0)</f>
        <v/>
      </c>
      <c r="E134" s="34">
        <f>IF(AND($A133&lt;&gt;"",'算罪台'!$B$6&lt;&gt;"",ISNUMBER(SEARCH($A133,'算罪台'!$B$6))),1,0)</f>
        <v/>
      </c>
    </row>
    <row r="135">
      <c r="A135" s="34" t="inlineStr">
        <is>
          <t>偷走</t>
        </is>
      </c>
      <c r="B135" s="34" t="inlineStr">
        <is>
          <t>盗窃罪</t>
        </is>
      </c>
      <c r="C135" s="34">
        <f>IF(AND($A134&lt;&gt;"",'算罪台'!$B$4&lt;&gt;"",ISNUMBER(SEARCH($A134,'算罪台'!$B$4))),1,0)</f>
        <v/>
      </c>
      <c r="D135" s="34">
        <f>IF(AND($A134&lt;&gt;"",'算罪台'!$B$5&lt;&gt;"",ISNUMBER(SEARCH($A134,'算罪台'!$B$5))),1,0)</f>
        <v/>
      </c>
      <c r="E135" s="34">
        <f>IF(AND($A134&lt;&gt;"",'算罪台'!$B$6&lt;&gt;"",ISNUMBER(SEARCH($A134,'算罪台'!$B$6))),1,0)</f>
        <v/>
      </c>
    </row>
    <row r="136">
      <c r="A136" s="34" t="inlineStr">
        <is>
          <t>小偷</t>
        </is>
      </c>
      <c r="B136" s="34" t="inlineStr">
        <is>
          <t>盗窃罪</t>
        </is>
      </c>
      <c r="C136" s="34">
        <f>IF(AND($A135&lt;&gt;"",'算罪台'!$B$4&lt;&gt;"",ISNUMBER(SEARCH($A135,'算罪台'!$B$4))),1,0)</f>
        <v/>
      </c>
      <c r="D136" s="34">
        <f>IF(AND($A135&lt;&gt;"",'算罪台'!$B$5&lt;&gt;"",ISNUMBER(SEARCH($A135,'算罪台'!$B$5))),1,0)</f>
        <v/>
      </c>
      <c r="E136" s="34">
        <f>IF(AND($A135&lt;&gt;"",'算罪台'!$B$6&lt;&gt;"",ISNUMBER(SEARCH($A135,'算罪台'!$B$6))),1,0)</f>
        <v/>
      </c>
    </row>
    <row r="137">
      <c r="A137" s="34" t="inlineStr">
        <is>
          <t>扒窃</t>
        </is>
      </c>
      <c r="B137" s="34" t="inlineStr">
        <is>
          <t>盗窃罪</t>
        </is>
      </c>
      <c r="C137" s="34">
        <f>IF(AND($A136&lt;&gt;"",'算罪台'!$B$4&lt;&gt;"",ISNUMBER(SEARCH($A136,'算罪台'!$B$4))),1,0)</f>
        <v/>
      </c>
      <c r="D137" s="34">
        <f>IF(AND($A136&lt;&gt;"",'算罪台'!$B$5&lt;&gt;"",ISNUMBER(SEARCH($A136,'算罪台'!$B$5))),1,0)</f>
        <v/>
      </c>
      <c r="E137" s="34">
        <f>IF(AND($A136&lt;&gt;"",'算罪台'!$B$6&lt;&gt;"",ISNUMBER(SEARCH($A136,'算罪台'!$B$6))),1,0)</f>
        <v/>
      </c>
    </row>
    <row r="138">
      <c r="A138" s="34" t="inlineStr">
        <is>
          <t>顺手牵羊</t>
        </is>
      </c>
      <c r="B138" s="34" t="inlineStr">
        <is>
          <t>盗窃罪</t>
        </is>
      </c>
      <c r="C138" s="34">
        <f>IF(AND($A137&lt;&gt;"",'算罪台'!$B$4&lt;&gt;"",ISNUMBER(SEARCH($A137,'算罪台'!$B$4))),1,0)</f>
        <v/>
      </c>
      <c r="D138" s="34">
        <f>IF(AND($A137&lt;&gt;"",'算罪台'!$B$5&lt;&gt;"",ISNUMBER(SEARCH($A137,'算罪台'!$B$5))),1,0)</f>
        <v/>
      </c>
      <c r="E138" s="34">
        <f>IF(AND($A137&lt;&gt;"",'算罪台'!$B$6&lt;&gt;"",ISNUMBER(SEARCH($A137,'算罪台'!$B$6))),1,0)</f>
        <v/>
      </c>
    </row>
    <row r="139">
      <c r="A139" s="34" t="inlineStr">
        <is>
          <t>偷拿</t>
        </is>
      </c>
      <c r="B139" s="34" t="inlineStr">
        <is>
          <t>盗窃罪</t>
        </is>
      </c>
      <c r="C139" s="34">
        <f>IF(AND($A138&lt;&gt;"",'算罪台'!$B$4&lt;&gt;"",ISNUMBER(SEARCH($A138,'算罪台'!$B$4))),1,0)</f>
        <v/>
      </c>
      <c r="D139" s="34">
        <f>IF(AND($A138&lt;&gt;"",'算罪台'!$B$5&lt;&gt;"",ISNUMBER(SEARCH($A138,'算罪台'!$B$5))),1,0)</f>
        <v/>
      </c>
      <c r="E139" s="34">
        <f>IF(AND($A138&lt;&gt;"",'算罪台'!$B$6&lt;&gt;"",ISNUMBER(SEARCH($A138,'算罪台'!$B$6))),1,0)</f>
        <v/>
      </c>
    </row>
    <row r="140">
      <c r="A140" s="34" t="inlineStr">
        <is>
          <t>偷了</t>
        </is>
      </c>
      <c r="B140" s="34" t="inlineStr">
        <is>
          <t>盗窃罪</t>
        </is>
      </c>
      <c r="C140" s="34">
        <f>IF(AND($A139&lt;&gt;"",'算罪台'!$B$4&lt;&gt;"",ISNUMBER(SEARCH($A139,'算罪台'!$B$4))),1,0)</f>
        <v/>
      </c>
      <c r="D140" s="34">
        <f>IF(AND($A139&lt;&gt;"",'算罪台'!$B$5&lt;&gt;"",ISNUMBER(SEARCH($A139,'算罪台'!$B$5))),1,0)</f>
        <v/>
      </c>
      <c r="E140" s="34">
        <f>IF(AND($A139&lt;&gt;"",'算罪台'!$B$6&lt;&gt;"",ISNUMBER(SEARCH($A139,'算罪台'!$B$6))),1,0)</f>
        <v/>
      </c>
    </row>
    <row r="141">
      <c r="A141" s="34" t="inlineStr">
        <is>
          <t>盗窃车辆</t>
        </is>
      </c>
      <c r="B141" s="34" t="inlineStr">
        <is>
          <t>盗窃车辆罪</t>
        </is>
      </c>
      <c r="C141" s="34">
        <f>IF(AND($A140&lt;&gt;"",'算罪台'!$B$4&lt;&gt;"",ISNUMBER(SEARCH($A140,'算罪台'!$B$4))),1,0)</f>
        <v/>
      </c>
      <c r="D141" s="34">
        <f>IF(AND($A140&lt;&gt;"",'算罪台'!$B$5&lt;&gt;"",ISNUMBER(SEARCH($A140,'算罪台'!$B$5))),1,0)</f>
        <v/>
      </c>
      <c r="E141" s="34">
        <f>IF(AND($A140&lt;&gt;"",'算罪台'!$B$6&lt;&gt;"",ISNUMBER(SEARCH($A140,'算罪台'!$B$6))),1,0)</f>
        <v/>
      </c>
    </row>
    <row r="142">
      <c r="A142" s="34" t="inlineStr">
        <is>
          <t>偷车</t>
        </is>
      </c>
      <c r="B142" s="34" t="inlineStr">
        <is>
          <t>盗窃车辆罪</t>
        </is>
      </c>
      <c r="C142" s="34">
        <f>IF(AND($A141&lt;&gt;"",'算罪台'!$B$4&lt;&gt;"",ISNUMBER(SEARCH($A141,'算罪台'!$B$4))),1,0)</f>
        <v/>
      </c>
      <c r="D142" s="34">
        <f>IF(AND($A141&lt;&gt;"",'算罪台'!$B$5&lt;&gt;"",ISNUMBER(SEARCH($A141,'算罪台'!$B$5))),1,0)</f>
        <v/>
      </c>
      <c r="E142" s="34">
        <f>IF(AND($A141&lt;&gt;"",'算罪台'!$B$6&lt;&gt;"",ISNUMBER(SEARCH($A141,'算罪台'!$B$6))),1,0)</f>
        <v/>
      </c>
    </row>
    <row r="143">
      <c r="A143" s="34" t="inlineStr">
        <is>
          <t>偷公务车</t>
        </is>
      </c>
      <c r="B143" s="34" t="inlineStr">
        <is>
          <t>盗窃车辆罪</t>
        </is>
      </c>
      <c r="C143" s="34">
        <f>IF(AND($A142&lt;&gt;"",'算罪台'!$B$4&lt;&gt;"",ISNUMBER(SEARCH($A142,'算罪台'!$B$4))),1,0)</f>
        <v/>
      </c>
      <c r="D143" s="34">
        <f>IF(AND($A142&lt;&gt;"",'算罪台'!$B$5&lt;&gt;"",ISNUMBER(SEARCH($A142,'算罪台'!$B$5))),1,0)</f>
        <v/>
      </c>
      <c r="E143" s="34">
        <f>IF(AND($A142&lt;&gt;"",'算罪台'!$B$6&lt;&gt;"",ISNUMBER(SEARCH($A142,'算罪台'!$B$6))),1,0)</f>
        <v/>
      </c>
    </row>
    <row r="144">
      <c r="A144" s="34" t="inlineStr">
        <is>
          <t>开走他人车</t>
        </is>
      </c>
      <c r="B144" s="34" t="inlineStr">
        <is>
          <t>盗窃车辆罪</t>
        </is>
      </c>
      <c r="C144" s="34">
        <f>IF(AND($A143&lt;&gt;"",'算罪台'!$B$4&lt;&gt;"",ISNUMBER(SEARCH($A143,'算罪台'!$B$4))),1,0)</f>
        <v/>
      </c>
      <c r="D144" s="34">
        <f>IF(AND($A143&lt;&gt;"",'算罪台'!$B$5&lt;&gt;"",ISNUMBER(SEARCH($A143,'算罪台'!$B$5))),1,0)</f>
        <v/>
      </c>
      <c r="E144" s="34">
        <f>IF(AND($A143&lt;&gt;"",'算罪台'!$B$6&lt;&gt;"",ISNUMBER(SEARCH($A143,'算罪台'!$B$6))),1,0)</f>
        <v/>
      </c>
    </row>
    <row r="145">
      <c r="A145" s="34" t="inlineStr">
        <is>
          <t>擅自开走</t>
        </is>
      </c>
      <c r="B145" s="34" t="inlineStr">
        <is>
          <t>盗窃车辆罪</t>
        </is>
      </c>
      <c r="C145" s="34">
        <f>IF(AND($A144&lt;&gt;"",'算罪台'!$B$4&lt;&gt;"",ISNUMBER(SEARCH($A144,'算罪台'!$B$4))),1,0)</f>
        <v/>
      </c>
      <c r="D145" s="34">
        <f>IF(AND($A144&lt;&gt;"",'算罪台'!$B$5&lt;&gt;"",ISNUMBER(SEARCH($A144,'算罪台'!$B$5))),1,0)</f>
        <v/>
      </c>
      <c r="E145" s="34">
        <f>IF(AND($A144&lt;&gt;"",'算罪台'!$B$6&lt;&gt;"",ISNUMBER(SEARCH($A144,'算罪台'!$B$6))),1,0)</f>
        <v/>
      </c>
    </row>
    <row r="146">
      <c r="A146" s="34" t="inlineStr">
        <is>
          <t>顺走车</t>
        </is>
      </c>
      <c r="B146" s="34" t="inlineStr">
        <is>
          <t>盗窃车辆罪</t>
        </is>
      </c>
      <c r="C146" s="34">
        <f>IF(AND($A145&lt;&gt;"",'算罪台'!$B$4&lt;&gt;"",ISNUMBER(SEARCH($A145,'算罪台'!$B$4))),1,0)</f>
        <v/>
      </c>
      <c r="D146" s="34">
        <f>IF(AND($A145&lt;&gt;"",'算罪台'!$B$5&lt;&gt;"",ISNUMBER(SEARCH($A145,'算罪台'!$B$5))),1,0)</f>
        <v/>
      </c>
      <c r="E146" s="34">
        <f>IF(AND($A145&lt;&gt;"",'算罪台'!$B$6&lt;&gt;"",ISNUMBER(SEARCH($A145,'算罪台'!$B$6))),1,0)</f>
        <v/>
      </c>
    </row>
    <row r="147">
      <c r="A147" s="34" t="inlineStr">
        <is>
          <t>撬车</t>
        </is>
      </c>
      <c r="B147" s="34" t="inlineStr">
        <is>
          <t>盗窃车辆罪</t>
        </is>
      </c>
      <c r="C147" s="34">
        <f>IF(AND($A146&lt;&gt;"",'算罪台'!$B$4&lt;&gt;"",ISNUMBER(SEARCH($A146,'算罪台'!$B$4))),1,0)</f>
        <v/>
      </c>
      <c r="D147" s="34">
        <f>IF(AND($A146&lt;&gt;"",'算罪台'!$B$5&lt;&gt;"",ISNUMBER(SEARCH($A146,'算罪台'!$B$5))),1,0)</f>
        <v/>
      </c>
      <c r="E147" s="34">
        <f>IF(AND($A146&lt;&gt;"",'算罪台'!$B$6&lt;&gt;"",ISNUMBER(SEARCH($A146,'算罪台'!$B$6))),1,0)</f>
        <v/>
      </c>
    </row>
    <row r="148">
      <c r="A148" s="34" t="inlineStr">
        <is>
          <t>把车开走</t>
        </is>
      </c>
      <c r="B148" s="34" t="inlineStr">
        <is>
          <t>盗窃车辆罪</t>
        </is>
      </c>
      <c r="C148" s="34">
        <f>IF(AND($A147&lt;&gt;"",'算罪台'!$B$4&lt;&gt;"",ISNUMBER(SEARCH($A147,'算罪台'!$B$4))),1,0)</f>
        <v/>
      </c>
      <c r="D148" s="34">
        <f>IF(AND($A147&lt;&gt;"",'算罪台'!$B$5&lt;&gt;"",ISNUMBER(SEARCH($A147,'算罪台'!$B$5))),1,0)</f>
        <v/>
      </c>
      <c r="E148" s="34">
        <f>IF(AND($A147&lt;&gt;"",'算罪台'!$B$6&lt;&gt;"",ISNUMBER(SEARCH($A147,'算罪台'!$B$6))),1,0)</f>
        <v/>
      </c>
    </row>
    <row r="149">
      <c r="A149" s="34" t="inlineStr">
        <is>
          <t>偷了车</t>
        </is>
      </c>
      <c r="B149" s="34" t="inlineStr">
        <is>
          <t>盗窃车辆罪</t>
        </is>
      </c>
      <c r="C149" s="34">
        <f>IF(AND($A148&lt;&gt;"",'算罪台'!$B$4&lt;&gt;"",ISNUMBER(SEARCH($A148,'算罪台'!$B$4))),1,0)</f>
        <v/>
      </c>
      <c r="D149" s="34">
        <f>IF(AND($A148&lt;&gt;"",'算罪台'!$B$5&lt;&gt;"",ISNUMBER(SEARCH($A148,'算罪台'!$B$5))),1,0)</f>
        <v/>
      </c>
      <c r="E149" s="34">
        <f>IF(AND($A148&lt;&gt;"",'算罪台'!$B$6&lt;&gt;"",ISNUMBER(SEARCH($A148,'算罪台'!$B$6))),1,0)</f>
        <v/>
      </c>
    </row>
    <row r="150">
      <c r="A150" s="34" t="inlineStr">
        <is>
          <t>收受赃物</t>
        </is>
      </c>
      <c r="B150" s="34" t="inlineStr">
        <is>
          <t>收受赃物罪</t>
        </is>
      </c>
      <c r="C150" s="34">
        <f>IF(AND($A149&lt;&gt;"",'算罪台'!$B$4&lt;&gt;"",ISNUMBER(SEARCH($A149,'算罪台'!$B$4))),1,0)</f>
        <v/>
      </c>
      <c r="D150" s="34">
        <f>IF(AND($A149&lt;&gt;"",'算罪台'!$B$5&lt;&gt;"",ISNUMBER(SEARCH($A149,'算罪台'!$B$5))),1,0)</f>
        <v/>
      </c>
      <c r="E150" s="34">
        <f>IF(AND($A149&lt;&gt;"",'算罪台'!$B$6&lt;&gt;"",ISNUMBER(SEARCH($A149,'算罪台'!$B$6))),1,0)</f>
        <v/>
      </c>
    </row>
    <row r="151">
      <c r="A151" s="34" t="inlineStr">
        <is>
          <t>销赃</t>
        </is>
      </c>
      <c r="B151" s="34" t="inlineStr">
        <is>
          <t>收受赃物罪</t>
        </is>
      </c>
      <c r="C151" s="34">
        <f>IF(AND($A150&lt;&gt;"",'算罪台'!$B$4&lt;&gt;"",ISNUMBER(SEARCH($A150,'算罪台'!$B$4))),1,0)</f>
        <v/>
      </c>
      <c r="D151" s="34">
        <f>IF(AND($A150&lt;&gt;"",'算罪台'!$B$5&lt;&gt;"",ISNUMBER(SEARCH($A150,'算罪台'!$B$5))),1,0)</f>
        <v/>
      </c>
      <c r="E151" s="34">
        <f>IF(AND($A150&lt;&gt;"",'算罪台'!$B$6&lt;&gt;"",ISNUMBER(SEARCH($A150,'算罪台'!$B$6))),1,0)</f>
        <v/>
      </c>
    </row>
    <row r="152">
      <c r="A152" s="34" t="inlineStr">
        <is>
          <t>买赃物</t>
        </is>
      </c>
      <c r="B152" s="34" t="inlineStr">
        <is>
          <t>收受赃物罪</t>
        </is>
      </c>
      <c r="C152" s="34">
        <f>IF(AND($A151&lt;&gt;"",'算罪台'!$B$4&lt;&gt;"",ISNUMBER(SEARCH($A151,'算罪台'!$B$4))),1,0)</f>
        <v/>
      </c>
      <c r="D152" s="34">
        <f>IF(AND($A151&lt;&gt;"",'算罪台'!$B$5&lt;&gt;"",ISNUMBER(SEARCH($A151,'算罪台'!$B$5))),1,0)</f>
        <v/>
      </c>
      <c r="E152" s="34">
        <f>IF(AND($A151&lt;&gt;"",'算罪台'!$B$6&lt;&gt;"",ISNUMBER(SEARCH($A151,'算罪台'!$B$6))),1,0)</f>
        <v/>
      </c>
    </row>
    <row r="153">
      <c r="A153" s="34" t="inlineStr">
        <is>
          <t>藏赃</t>
        </is>
      </c>
      <c r="B153" s="34" t="inlineStr">
        <is>
          <t>收受赃物罪</t>
        </is>
      </c>
      <c r="C153" s="34">
        <f>IF(AND($A152&lt;&gt;"",'算罪台'!$B$4&lt;&gt;"",ISNUMBER(SEARCH($A152,'算罪台'!$B$4))),1,0)</f>
        <v/>
      </c>
      <c r="D153" s="34">
        <f>IF(AND($A152&lt;&gt;"",'算罪台'!$B$5&lt;&gt;"",ISNUMBER(SEARCH($A152,'算罪台'!$B$5))),1,0)</f>
        <v/>
      </c>
      <c r="E153" s="34">
        <f>IF(AND($A152&lt;&gt;"",'算罪台'!$B$6&lt;&gt;"",ISNUMBER(SEARCH($A152,'算罪台'!$B$6))),1,0)</f>
        <v/>
      </c>
    </row>
    <row r="154">
      <c r="A154" s="34" t="inlineStr">
        <is>
          <t>收赃</t>
        </is>
      </c>
      <c r="B154" s="34" t="inlineStr">
        <is>
          <t>收受赃物罪</t>
        </is>
      </c>
      <c r="C154" s="34">
        <f>IF(AND($A153&lt;&gt;"",'算罪台'!$B$4&lt;&gt;"",ISNUMBER(SEARCH($A153,'算罪台'!$B$4))),1,0)</f>
        <v/>
      </c>
      <c r="D154" s="34">
        <f>IF(AND($A153&lt;&gt;"",'算罪台'!$B$5&lt;&gt;"",ISNUMBER(SEARCH($A153,'算罪台'!$B$5))),1,0)</f>
        <v/>
      </c>
      <c r="E154" s="34">
        <f>IF(AND($A153&lt;&gt;"",'算罪台'!$B$6&lt;&gt;"",ISNUMBER(SEARCH($A153,'算罪台'!$B$6))),1,0)</f>
        <v/>
      </c>
    </row>
    <row r="155">
      <c r="A155" s="34" t="inlineStr">
        <is>
          <t>收黑货</t>
        </is>
      </c>
      <c r="B155" s="34" t="inlineStr">
        <is>
          <t>收受赃物罪</t>
        </is>
      </c>
      <c r="C155" s="34">
        <f>IF(AND($A154&lt;&gt;"",'算罪台'!$B$4&lt;&gt;"",ISNUMBER(SEARCH($A154,'算罪台'!$B$4))),1,0)</f>
        <v/>
      </c>
      <c r="D155" s="34">
        <f>IF(AND($A154&lt;&gt;"",'算罪台'!$B$5&lt;&gt;"",ISNUMBER(SEARCH($A154,'算罪台'!$B$5))),1,0)</f>
        <v/>
      </c>
      <c r="E155" s="34">
        <f>IF(AND($A154&lt;&gt;"",'算罪台'!$B$6&lt;&gt;"",ISNUMBER(SEARCH($A154,'算罪台'!$B$6))),1,0)</f>
        <v/>
      </c>
    </row>
    <row r="156">
      <c r="A156" s="34" t="inlineStr">
        <is>
          <t>买黑车</t>
        </is>
      </c>
      <c r="B156" s="34" t="inlineStr">
        <is>
          <t>收受赃物罪</t>
        </is>
      </c>
      <c r="C156" s="34">
        <f>IF(AND($A155&lt;&gt;"",'算罪台'!$B$4&lt;&gt;"",ISNUMBER(SEARCH($A155,'算罪台'!$B$4))),1,0)</f>
        <v/>
      </c>
      <c r="D156" s="34">
        <f>IF(AND($A155&lt;&gt;"",'算罪台'!$B$5&lt;&gt;"",ISNUMBER(SEARCH($A155,'算罪台'!$B$5))),1,0)</f>
        <v/>
      </c>
      <c r="E156" s="34">
        <f>IF(AND($A155&lt;&gt;"",'算罪台'!$B$6&lt;&gt;"",ISNUMBER(SEARCH($A155,'算罪台'!$B$6))),1,0)</f>
        <v/>
      </c>
    </row>
    <row r="157">
      <c r="A157" s="34" t="inlineStr">
        <is>
          <t>敲诈</t>
        </is>
      </c>
      <c r="B157" s="34" t="inlineStr">
        <is>
          <t>敲诈勒索罪</t>
        </is>
      </c>
      <c r="C157" s="34">
        <f>IF(AND($A156&lt;&gt;"",'算罪台'!$B$4&lt;&gt;"",ISNUMBER(SEARCH($A156,'算罪台'!$B$4))),1,0)</f>
        <v/>
      </c>
      <c r="D157" s="34">
        <f>IF(AND($A156&lt;&gt;"",'算罪台'!$B$5&lt;&gt;"",ISNUMBER(SEARCH($A156,'算罪台'!$B$5))),1,0)</f>
        <v/>
      </c>
      <c r="E157" s="34">
        <f>IF(AND($A156&lt;&gt;"",'算罪台'!$B$6&lt;&gt;"",ISNUMBER(SEARCH($A156,'算罪台'!$B$6))),1,0)</f>
        <v/>
      </c>
    </row>
    <row r="158">
      <c r="A158" s="34" t="inlineStr">
        <is>
          <t>勒索</t>
        </is>
      </c>
      <c r="B158" s="34" t="inlineStr">
        <is>
          <t>敲诈勒索罪</t>
        </is>
      </c>
      <c r="C158" s="34">
        <f>IF(AND($A157&lt;&gt;"",'算罪台'!$B$4&lt;&gt;"",ISNUMBER(SEARCH($A157,'算罪台'!$B$4))),1,0)</f>
        <v/>
      </c>
      <c r="D158" s="34">
        <f>IF(AND($A157&lt;&gt;"",'算罪台'!$B$5&lt;&gt;"",ISNUMBER(SEARCH($A157,'算罪台'!$B$5))),1,0)</f>
        <v/>
      </c>
      <c r="E158" s="34">
        <f>IF(AND($A157&lt;&gt;"",'算罪台'!$B$6&lt;&gt;"",ISNUMBER(SEARCH($A157,'算罪台'!$B$6))),1,0)</f>
        <v/>
      </c>
    </row>
    <row r="159">
      <c r="A159" s="34" t="inlineStr">
        <is>
          <t>敲诈勒索</t>
        </is>
      </c>
      <c r="B159" s="34" t="inlineStr">
        <is>
          <t>敲诈勒索罪</t>
        </is>
      </c>
      <c r="C159" s="34">
        <f>IF(AND($A158&lt;&gt;"",'算罪台'!$B$4&lt;&gt;"",ISNUMBER(SEARCH($A158,'算罪台'!$B$4))),1,0)</f>
        <v/>
      </c>
      <c r="D159" s="34">
        <f>IF(AND($A158&lt;&gt;"",'算罪台'!$B$5&lt;&gt;"",ISNUMBER(SEARCH($A158,'算罪台'!$B$5))),1,0)</f>
        <v/>
      </c>
      <c r="E159" s="34">
        <f>IF(AND($A158&lt;&gt;"",'算罪台'!$B$6&lt;&gt;"",ISNUMBER(SEARCH($A158,'算罪台'!$B$6))),1,0)</f>
        <v/>
      </c>
    </row>
    <row r="160">
      <c r="A160" s="34" t="inlineStr">
        <is>
          <t>威胁索财</t>
        </is>
      </c>
      <c r="B160" s="34" t="inlineStr">
        <is>
          <t>敲诈勒索罪</t>
        </is>
      </c>
      <c r="C160" s="34">
        <f>IF(AND($A159&lt;&gt;"",'算罪台'!$B$4&lt;&gt;"",ISNUMBER(SEARCH($A159,'算罪台'!$B$4))),1,0)</f>
        <v/>
      </c>
      <c r="D160" s="34">
        <f>IF(AND($A159&lt;&gt;"",'算罪台'!$B$5&lt;&gt;"",ISNUMBER(SEARCH($A159,'算罪台'!$B$5))),1,0)</f>
        <v/>
      </c>
      <c r="E160" s="34">
        <f>IF(AND($A159&lt;&gt;"",'算罪台'!$B$6&lt;&gt;"",ISNUMBER(SEARCH($A159,'算罪台'!$B$6))),1,0)</f>
        <v/>
      </c>
    </row>
    <row r="161">
      <c r="A161" s="34" t="inlineStr">
        <is>
          <t>强迫交钱</t>
        </is>
      </c>
      <c r="B161" s="34" t="inlineStr">
        <is>
          <t>敲诈勒索罪</t>
        </is>
      </c>
      <c r="C161" s="34">
        <f>IF(AND($A160&lt;&gt;"",'算罪台'!$B$4&lt;&gt;"",ISNUMBER(SEARCH($A160,'算罪台'!$B$4))),1,0)</f>
        <v/>
      </c>
      <c r="D161" s="34">
        <f>IF(AND($A160&lt;&gt;"",'算罪台'!$B$5&lt;&gt;"",ISNUMBER(SEARCH($A160,'算罪台'!$B$5))),1,0)</f>
        <v/>
      </c>
      <c r="E161" s="34">
        <f>IF(AND($A160&lt;&gt;"",'算罪台'!$B$6&lt;&gt;"",ISNUMBER(SEARCH($A160,'算罪台'!$B$6))),1,0)</f>
        <v/>
      </c>
    </row>
    <row r="162">
      <c r="A162" s="34" t="inlineStr">
        <is>
          <t>收保护费</t>
        </is>
      </c>
      <c r="B162" s="34" t="inlineStr">
        <is>
          <t>敲诈勒索罪</t>
        </is>
      </c>
      <c r="C162" s="34">
        <f>IF(AND($A161&lt;&gt;"",'算罪台'!$B$4&lt;&gt;"",ISNUMBER(SEARCH($A161,'算罪台'!$B$4))),1,0)</f>
        <v/>
      </c>
      <c r="D162" s="34">
        <f>IF(AND($A161&lt;&gt;"",'算罪台'!$B$5&lt;&gt;"",ISNUMBER(SEARCH($A161,'算罪台'!$B$5))),1,0)</f>
        <v/>
      </c>
      <c r="E162" s="34">
        <f>IF(AND($A161&lt;&gt;"",'算罪台'!$B$6&lt;&gt;"",ISNUMBER(SEARCH($A161,'算罪台'!$B$6))),1,0)</f>
        <v/>
      </c>
    </row>
    <row r="163">
      <c r="A163" s="34" t="inlineStr">
        <is>
          <t>逼着给钱</t>
        </is>
      </c>
      <c r="B163" s="34" t="inlineStr">
        <is>
          <t>敲诈勒索罪</t>
        </is>
      </c>
      <c r="C163" s="34">
        <f>IF(AND($A162&lt;&gt;"",'算罪台'!$B$4&lt;&gt;"",ISNUMBER(SEARCH($A162,'算罪台'!$B$4))),1,0)</f>
        <v/>
      </c>
      <c r="D163" s="34">
        <f>IF(AND($A162&lt;&gt;"",'算罪台'!$B$5&lt;&gt;"",ISNUMBER(SEARCH($A162,'算罪台'!$B$5))),1,0)</f>
        <v/>
      </c>
      <c r="E163" s="34">
        <f>IF(AND($A162&lt;&gt;"",'算罪台'!$B$6&lt;&gt;"",ISNUMBER(SEARCH($A162,'算罪台'!$B$6))),1,0)</f>
        <v/>
      </c>
    </row>
    <row r="164">
      <c r="A164" s="34" t="inlineStr">
        <is>
          <t>逼钱</t>
        </is>
      </c>
      <c r="B164" s="34" t="inlineStr">
        <is>
          <t>敲诈勒索罪</t>
        </is>
      </c>
      <c r="C164" s="34">
        <f>IF(AND($A163&lt;&gt;"",'算罪台'!$B$4&lt;&gt;"",ISNUMBER(SEARCH($A163,'算罪台'!$B$4))),1,0)</f>
        <v/>
      </c>
      <c r="D164" s="34">
        <f>IF(AND($A163&lt;&gt;"",'算罪台'!$B$5&lt;&gt;"",ISNUMBER(SEARCH($A163,'算罪台'!$B$5))),1,0)</f>
        <v/>
      </c>
      <c r="E164" s="34">
        <f>IF(AND($A163&lt;&gt;"",'算罪台'!$B$6&lt;&gt;"",ISNUMBER(SEARCH($A163,'算罪台'!$B$6))),1,0)</f>
        <v/>
      </c>
    </row>
    <row r="165">
      <c r="A165" s="34" t="inlineStr">
        <is>
          <t>蓄意破坏</t>
        </is>
      </c>
      <c r="B165" s="34" t="inlineStr">
        <is>
          <t>蓄意破坏罪</t>
        </is>
      </c>
      <c r="C165" s="34">
        <f>IF(AND($A164&lt;&gt;"",'算罪台'!$B$4&lt;&gt;"",ISNUMBER(SEARCH($A164,'算罪台'!$B$4))),1,0)</f>
        <v/>
      </c>
      <c r="D165" s="34">
        <f>IF(AND($A164&lt;&gt;"",'算罪台'!$B$5&lt;&gt;"",ISNUMBER(SEARCH($A164,'算罪台'!$B$5))),1,0)</f>
        <v/>
      </c>
      <c r="E165" s="34">
        <f>IF(AND($A164&lt;&gt;"",'算罪台'!$B$6&lt;&gt;"",ISNUMBER(SEARCH($A164,'算罪台'!$B$6))),1,0)</f>
        <v/>
      </c>
    </row>
    <row r="166">
      <c r="A166" s="34" t="inlineStr">
        <is>
          <t>破坏财物</t>
        </is>
      </c>
      <c r="B166" s="34" t="inlineStr">
        <is>
          <t>蓄意破坏罪</t>
        </is>
      </c>
      <c r="C166" s="34">
        <f>IF(AND($A165&lt;&gt;"",'算罪台'!$B$4&lt;&gt;"",ISNUMBER(SEARCH($A165,'算罪台'!$B$4))),1,0)</f>
        <v/>
      </c>
      <c r="D166" s="34">
        <f>IF(AND($A165&lt;&gt;"",'算罪台'!$B$5&lt;&gt;"",ISNUMBER(SEARCH($A165,'算罪台'!$B$5))),1,0)</f>
        <v/>
      </c>
      <c r="E166" s="34">
        <f>IF(AND($A165&lt;&gt;"",'算罪台'!$B$6&lt;&gt;"",ISNUMBER(SEARCH($A165,'算罪台'!$B$6))),1,0)</f>
        <v/>
      </c>
    </row>
    <row r="167">
      <c r="A167" s="34" t="inlineStr">
        <is>
          <t>毁损</t>
        </is>
      </c>
      <c r="B167" s="34" t="inlineStr">
        <is>
          <t>蓄意破坏罪</t>
        </is>
      </c>
      <c r="C167" s="34">
        <f>IF(AND($A166&lt;&gt;"",'算罪台'!$B$4&lt;&gt;"",ISNUMBER(SEARCH($A166,'算罪台'!$B$4))),1,0)</f>
        <v/>
      </c>
      <c r="D167" s="34">
        <f>IF(AND($A166&lt;&gt;"",'算罪台'!$B$5&lt;&gt;"",ISNUMBER(SEARCH($A166,'算罪台'!$B$5))),1,0)</f>
        <v/>
      </c>
      <c r="E167" s="34">
        <f>IF(AND($A166&lt;&gt;"",'算罪台'!$B$6&lt;&gt;"",ISNUMBER(SEARCH($A166,'算罪台'!$B$6))),1,0)</f>
        <v/>
      </c>
    </row>
    <row r="168">
      <c r="A168" s="34" t="inlineStr">
        <is>
          <t>砸车</t>
        </is>
      </c>
      <c r="B168" s="34" t="inlineStr">
        <is>
          <t>蓄意破坏罪</t>
        </is>
      </c>
      <c r="C168" s="34">
        <f>IF(AND($A167&lt;&gt;"",'算罪台'!$B$4&lt;&gt;"",ISNUMBER(SEARCH($A167,'算罪台'!$B$4))),1,0)</f>
        <v/>
      </c>
      <c r="D168" s="34">
        <f>IF(AND($A167&lt;&gt;"",'算罪台'!$B$5&lt;&gt;"",ISNUMBER(SEARCH($A167,'算罪台'!$B$5))),1,0)</f>
        <v/>
      </c>
      <c r="E168" s="34">
        <f>IF(AND($A167&lt;&gt;"",'算罪台'!$B$6&lt;&gt;"",ISNUMBER(SEARCH($A167,'算罪台'!$B$6))),1,0)</f>
        <v/>
      </c>
    </row>
    <row r="169">
      <c r="A169" s="34" t="inlineStr">
        <is>
          <t>打砸</t>
        </is>
      </c>
      <c r="B169" s="34" t="inlineStr">
        <is>
          <t>蓄意破坏罪</t>
        </is>
      </c>
      <c r="C169" s="34">
        <f>IF(AND($A168&lt;&gt;"",'算罪台'!$B$4&lt;&gt;"",ISNUMBER(SEARCH($A168,'算罪台'!$B$4))),1,0)</f>
        <v/>
      </c>
      <c r="D169" s="34">
        <f>IF(AND($A168&lt;&gt;"",'算罪台'!$B$5&lt;&gt;"",ISNUMBER(SEARCH($A168,'算罪台'!$B$5))),1,0)</f>
        <v/>
      </c>
      <c r="E169" s="34">
        <f>IF(AND($A168&lt;&gt;"",'算罪台'!$B$6&lt;&gt;"",ISNUMBER(SEARCH($A168,'算罪台'!$B$6))),1,0)</f>
        <v/>
      </c>
    </row>
    <row r="170">
      <c r="A170" s="34" t="inlineStr">
        <is>
          <t>损毁车辆</t>
        </is>
      </c>
      <c r="B170" s="34" t="inlineStr">
        <is>
          <t>蓄意破坏罪</t>
        </is>
      </c>
      <c r="C170" s="34">
        <f>IF(AND($A169&lt;&gt;"",'算罪台'!$B$4&lt;&gt;"",ISNUMBER(SEARCH($A169,'算罪台'!$B$4))),1,0)</f>
        <v/>
      </c>
      <c r="D170" s="34">
        <f>IF(AND($A169&lt;&gt;"",'算罪台'!$B$5&lt;&gt;"",ISNUMBER(SEARCH($A169,'算罪台'!$B$5))),1,0)</f>
        <v/>
      </c>
      <c r="E170" s="34">
        <f>IF(AND($A169&lt;&gt;"",'算罪台'!$B$6&lt;&gt;"",ISNUMBER(SEARCH($A169,'算罪台'!$B$6))),1,0)</f>
        <v/>
      </c>
    </row>
    <row r="171">
      <c r="A171" s="34" t="inlineStr">
        <is>
          <t>故意损坏</t>
        </is>
      </c>
      <c r="B171" s="34" t="inlineStr">
        <is>
          <t>蓄意破坏罪</t>
        </is>
      </c>
      <c r="C171" s="34">
        <f>IF(AND($A170&lt;&gt;"",'算罪台'!$B$4&lt;&gt;"",ISNUMBER(SEARCH($A170,'算罪台'!$B$4))),1,0)</f>
        <v/>
      </c>
      <c r="D171" s="34">
        <f>IF(AND($A170&lt;&gt;"",'算罪台'!$B$5&lt;&gt;"",ISNUMBER(SEARCH($A170,'算罪台'!$B$5))),1,0)</f>
        <v/>
      </c>
      <c r="E171" s="34">
        <f>IF(AND($A170&lt;&gt;"",'算罪台'!$B$6&lt;&gt;"",ISNUMBER(SEARCH($A170,'算罪台'!$B$6))),1,0)</f>
        <v/>
      </c>
    </row>
    <row r="172">
      <c r="A172" s="34" t="inlineStr">
        <is>
          <t>砸东西</t>
        </is>
      </c>
      <c r="B172" s="34" t="inlineStr">
        <is>
          <t>蓄意破坏罪</t>
        </is>
      </c>
      <c r="C172" s="34">
        <f>IF(AND($A171&lt;&gt;"",'算罪台'!$B$4&lt;&gt;"",ISNUMBER(SEARCH($A171,'算罪台'!$B$4))),1,0)</f>
        <v/>
      </c>
      <c r="D172" s="34">
        <f>IF(AND($A171&lt;&gt;"",'算罪台'!$B$5&lt;&gt;"",ISNUMBER(SEARCH($A171,'算罪台'!$B$5))),1,0)</f>
        <v/>
      </c>
      <c r="E172" s="34">
        <f>IF(AND($A171&lt;&gt;"",'算罪台'!$B$6&lt;&gt;"",ISNUMBER(SEARCH($A171,'算罪台'!$B$6))),1,0)</f>
        <v/>
      </c>
    </row>
    <row r="173">
      <c r="A173" s="34" t="inlineStr">
        <is>
          <t>砸玻璃</t>
        </is>
      </c>
      <c r="B173" s="34" t="inlineStr">
        <is>
          <t>蓄意破坏罪</t>
        </is>
      </c>
      <c r="C173" s="34">
        <f>IF(AND($A172&lt;&gt;"",'算罪台'!$B$4&lt;&gt;"",ISNUMBER(SEARCH($A172,'算罪台'!$B$4))),1,0)</f>
        <v/>
      </c>
      <c r="D173" s="34">
        <f>IF(AND($A172&lt;&gt;"",'算罪台'!$B$5&lt;&gt;"",ISNUMBER(SEARCH($A172,'算罪台'!$B$5))),1,0)</f>
        <v/>
      </c>
      <c r="E173" s="34">
        <f>IF(AND($A172&lt;&gt;"",'算罪台'!$B$6&lt;&gt;"",ISNUMBER(SEARCH($A172,'算罪台'!$B$6))),1,0)</f>
        <v/>
      </c>
    </row>
    <row r="174">
      <c r="A174" s="34" t="inlineStr">
        <is>
          <t>破坏设施</t>
        </is>
      </c>
      <c r="B174" s="34" t="inlineStr">
        <is>
          <t>蓄意破坏罪</t>
        </is>
      </c>
      <c r="C174" s="34">
        <f>IF(AND($A173&lt;&gt;"",'算罪台'!$B$4&lt;&gt;"",ISNUMBER(SEARCH($A173,'算罪台'!$B$4))),1,0)</f>
        <v/>
      </c>
      <c r="D174" s="34">
        <f>IF(AND($A173&lt;&gt;"",'算罪台'!$B$5&lt;&gt;"",ISNUMBER(SEARCH($A173,'算罪台'!$B$5))),1,0)</f>
        <v/>
      </c>
      <c r="E174" s="34">
        <f>IF(AND($A173&lt;&gt;"",'算罪台'!$B$6&lt;&gt;"",ISNUMBER(SEARCH($A173,'算罪台'!$B$6))),1,0)</f>
        <v/>
      </c>
    </row>
    <row r="175">
      <c r="A175" s="34" t="inlineStr">
        <is>
          <t>划车</t>
        </is>
      </c>
      <c r="B175" s="34" t="inlineStr">
        <is>
          <t>蓄意破坏罪</t>
        </is>
      </c>
      <c r="C175" s="34">
        <f>IF(AND($A174&lt;&gt;"",'算罪台'!$B$4&lt;&gt;"",ISNUMBER(SEARCH($A174,'算罪台'!$B$4))),1,0)</f>
        <v/>
      </c>
      <c r="D175" s="34">
        <f>IF(AND($A174&lt;&gt;"",'算罪台'!$B$5&lt;&gt;"",ISNUMBER(SEARCH($A174,'算罪台'!$B$5))),1,0)</f>
        <v/>
      </c>
      <c r="E175" s="34">
        <f>IF(AND($A174&lt;&gt;"",'算罪台'!$B$6&lt;&gt;"",ISNUMBER(SEARCH($A174,'算罪台'!$B$6))),1,0)</f>
        <v/>
      </c>
    </row>
    <row r="176">
      <c r="A176" s="34" t="inlineStr">
        <is>
          <t>撞坏</t>
        </is>
      </c>
      <c r="B176" s="34" t="inlineStr">
        <is>
          <t>蓄意破坏罪</t>
        </is>
      </c>
      <c r="C176" s="34">
        <f>IF(AND($A175&lt;&gt;"",'算罪台'!$B$4&lt;&gt;"",ISNUMBER(SEARCH($A175,'算罪台'!$B$4))),1,0)</f>
        <v/>
      </c>
      <c r="D176" s="34">
        <f>IF(AND($A175&lt;&gt;"",'算罪台'!$B$5&lt;&gt;"",ISNUMBER(SEARCH($A175,'算罪台'!$B$5))),1,0)</f>
        <v/>
      </c>
      <c r="E176" s="34">
        <f>IF(AND($A175&lt;&gt;"",'算罪台'!$B$6&lt;&gt;"",ISNUMBER(SEARCH($A175,'算罪台'!$B$6))),1,0)</f>
        <v/>
      </c>
    </row>
    <row r="177">
      <c r="A177" s="34" t="inlineStr">
        <is>
          <t>砸店</t>
        </is>
      </c>
      <c r="B177" s="34" t="inlineStr">
        <is>
          <t>蓄意破坏罪</t>
        </is>
      </c>
      <c r="C177" s="34">
        <f>IF(AND($A176&lt;&gt;"",'算罪台'!$B$4&lt;&gt;"",ISNUMBER(SEARCH($A176,'算罪台'!$B$4))),1,0)</f>
        <v/>
      </c>
      <c r="D177" s="34">
        <f>IF(AND($A176&lt;&gt;"",'算罪台'!$B$5&lt;&gt;"",ISNUMBER(SEARCH($A176,'算罪台'!$B$5))),1,0)</f>
        <v/>
      </c>
      <c r="E177" s="34">
        <f>IF(AND($A176&lt;&gt;"",'算罪台'!$B$6&lt;&gt;"",ISNUMBER(SEARCH($A176,'算罪台'!$B$6))),1,0)</f>
        <v/>
      </c>
    </row>
    <row r="178">
      <c r="A178" s="34" t="inlineStr">
        <is>
          <t>挪用公款</t>
        </is>
      </c>
      <c r="B178" s="34" t="inlineStr">
        <is>
          <t>挪用公款公物罪</t>
        </is>
      </c>
      <c r="C178" s="34">
        <f>IF(AND($A177&lt;&gt;"",'算罪台'!$B$4&lt;&gt;"",ISNUMBER(SEARCH($A177,'算罪台'!$B$4))),1,0)</f>
        <v/>
      </c>
      <c r="D178" s="34">
        <f>IF(AND($A177&lt;&gt;"",'算罪台'!$B$5&lt;&gt;"",ISNUMBER(SEARCH($A177,'算罪台'!$B$5))),1,0)</f>
        <v/>
      </c>
      <c r="E178" s="34">
        <f>IF(AND($A177&lt;&gt;"",'算罪台'!$B$6&lt;&gt;"",ISNUMBER(SEARCH($A177,'算罪台'!$B$6))),1,0)</f>
        <v/>
      </c>
    </row>
    <row r="179">
      <c r="A179" s="34" t="inlineStr">
        <is>
          <t>挪用公物</t>
        </is>
      </c>
      <c r="B179" s="34" t="inlineStr">
        <is>
          <t>挪用公款公物罪</t>
        </is>
      </c>
      <c r="C179" s="34">
        <f>IF(AND($A178&lt;&gt;"",'算罪台'!$B$4&lt;&gt;"",ISNUMBER(SEARCH($A178,'算罪台'!$B$4))),1,0)</f>
        <v/>
      </c>
      <c r="D179" s="34">
        <f>IF(AND($A178&lt;&gt;"",'算罪台'!$B$5&lt;&gt;"",ISNUMBER(SEARCH($A178,'算罪台'!$B$5))),1,0)</f>
        <v/>
      </c>
      <c r="E179" s="34">
        <f>IF(AND($A178&lt;&gt;"",'算罪台'!$B$6&lt;&gt;"",ISNUMBER(SEARCH($A178,'算罪台'!$B$6))),1,0)</f>
        <v/>
      </c>
    </row>
    <row r="180">
      <c r="A180" s="34" t="inlineStr">
        <is>
          <t>侵占公款</t>
        </is>
      </c>
      <c r="B180" s="34" t="inlineStr">
        <is>
          <t>挪用公款公物罪</t>
        </is>
      </c>
      <c r="C180" s="34">
        <f>IF(AND($A179&lt;&gt;"",'算罪台'!$B$4&lt;&gt;"",ISNUMBER(SEARCH($A179,'算罪台'!$B$4))),1,0)</f>
        <v/>
      </c>
      <c r="D180" s="34">
        <f>IF(AND($A179&lt;&gt;"",'算罪台'!$B$5&lt;&gt;"",ISNUMBER(SEARCH($A179,'算罪台'!$B$5))),1,0)</f>
        <v/>
      </c>
      <c r="E180" s="34">
        <f>IF(AND($A179&lt;&gt;"",'算罪台'!$B$6&lt;&gt;"",ISNUMBER(SEARCH($A179,'算罪台'!$B$6))),1,0)</f>
        <v/>
      </c>
    </row>
    <row r="181">
      <c r="A181" s="34" t="inlineStr">
        <is>
          <t>职务侵占</t>
        </is>
      </c>
      <c r="B181" s="34" t="inlineStr">
        <is>
          <t>挪用公款公物罪</t>
        </is>
      </c>
      <c r="C181" s="34">
        <f>IF(AND($A180&lt;&gt;"",'算罪台'!$B$4&lt;&gt;"",ISNUMBER(SEARCH($A180,'算罪台'!$B$4))),1,0)</f>
        <v/>
      </c>
      <c r="D181" s="34">
        <f>IF(AND($A180&lt;&gt;"",'算罪台'!$B$5&lt;&gt;"",ISNUMBER(SEARCH($A180,'算罪台'!$B$5))),1,0)</f>
        <v/>
      </c>
      <c r="E181" s="34">
        <f>IF(AND($A180&lt;&gt;"",'算罪台'!$B$6&lt;&gt;"",ISNUMBER(SEARCH($A180,'算罪台'!$B$6))),1,0)</f>
        <v/>
      </c>
    </row>
    <row r="182">
      <c r="A182" s="34" t="inlineStr">
        <is>
          <t>挪用公家</t>
        </is>
      </c>
      <c r="B182" s="34" t="inlineStr">
        <is>
          <t>挪用公款公物罪</t>
        </is>
      </c>
      <c r="C182" s="34">
        <f>IF(AND($A181&lt;&gt;"",'算罪台'!$B$4&lt;&gt;"",ISNUMBER(SEARCH($A181,'算罪台'!$B$4))),1,0)</f>
        <v/>
      </c>
      <c r="D182" s="34">
        <f>IF(AND($A181&lt;&gt;"",'算罪台'!$B$5&lt;&gt;"",ISNUMBER(SEARCH($A181,'算罪台'!$B$5))),1,0)</f>
        <v/>
      </c>
      <c r="E182" s="34">
        <f>IF(AND($A181&lt;&gt;"",'算罪台'!$B$6&lt;&gt;"",ISNUMBER(SEARCH($A181,'算罪台'!$B$6))),1,0)</f>
        <v/>
      </c>
    </row>
    <row r="183">
      <c r="A183" s="34" t="inlineStr">
        <is>
          <t>持有失窃物品</t>
        </is>
      </c>
      <c r="B183" s="34" t="inlineStr">
        <is>
          <t>持有失窃物品罪</t>
        </is>
      </c>
      <c r="C183" s="34">
        <f>IF(AND($A182&lt;&gt;"",'算罪台'!$B$4&lt;&gt;"",ISNUMBER(SEARCH($A182,'算罪台'!$B$4))),1,0)</f>
        <v/>
      </c>
      <c r="D183" s="34">
        <f>IF(AND($A182&lt;&gt;"",'算罪台'!$B$5&lt;&gt;"",ISNUMBER(SEARCH($A182,'算罪台'!$B$5))),1,0)</f>
        <v/>
      </c>
      <c r="E183" s="34">
        <f>IF(AND($A182&lt;&gt;"",'算罪台'!$B$6&lt;&gt;"",ISNUMBER(SEARCH($A182,'算罪台'!$B$6))),1,0)</f>
        <v/>
      </c>
    </row>
    <row r="184">
      <c r="A184" s="34" t="inlineStr">
        <is>
          <t>持有失窃</t>
        </is>
      </c>
      <c r="B184" s="34" t="inlineStr">
        <is>
          <t>持有失窃物品罪</t>
        </is>
      </c>
      <c r="C184" s="34">
        <f>IF(AND($A183&lt;&gt;"",'算罪台'!$B$4&lt;&gt;"",ISNUMBER(SEARCH($A183,'算罪台'!$B$4))),1,0)</f>
        <v/>
      </c>
      <c r="D184" s="34">
        <f>IF(AND($A183&lt;&gt;"",'算罪台'!$B$5&lt;&gt;"",ISNUMBER(SEARCH($A183,'算罪台'!$B$5))),1,0)</f>
        <v/>
      </c>
      <c r="E184" s="34">
        <f>IF(AND($A183&lt;&gt;"",'算罪台'!$B$6&lt;&gt;"",ISNUMBER(SEARCH($A183,'算罪台'!$B$6))),1,0)</f>
        <v/>
      </c>
    </row>
    <row r="185">
      <c r="A185" s="34" t="inlineStr">
        <is>
          <t>捡到不还</t>
        </is>
      </c>
      <c r="B185" s="34" t="inlineStr">
        <is>
          <t>持有失窃物品罪</t>
        </is>
      </c>
      <c r="C185" s="34">
        <f>IF(AND($A184&lt;&gt;"",'算罪台'!$B$4&lt;&gt;"",ISNUMBER(SEARCH($A184,'算罪台'!$B$4))),1,0)</f>
        <v/>
      </c>
      <c r="D185" s="34">
        <f>IF(AND($A184&lt;&gt;"",'算罪台'!$B$5&lt;&gt;"",ISNUMBER(SEARCH($A184,'算罪台'!$B$5))),1,0)</f>
        <v/>
      </c>
      <c r="E185" s="34">
        <f>IF(AND($A184&lt;&gt;"",'算罪台'!$B$6&lt;&gt;"",ISNUMBER(SEARCH($A184,'算罪台'!$B$6))),1,0)</f>
        <v/>
      </c>
    </row>
    <row r="186">
      <c r="A186" s="34" t="inlineStr">
        <is>
          <t>非法占有遗失物</t>
        </is>
      </c>
      <c r="B186" s="34" t="inlineStr">
        <is>
          <t>持有失窃物品罪</t>
        </is>
      </c>
      <c r="C186" s="34">
        <f>IF(AND($A185&lt;&gt;"",'算罪台'!$B$4&lt;&gt;"",ISNUMBER(SEARCH($A185,'算罪台'!$B$4))),1,0)</f>
        <v/>
      </c>
      <c r="D186" s="34">
        <f>IF(AND($A185&lt;&gt;"",'算罪台'!$B$5&lt;&gt;"",ISNUMBER(SEARCH($A185,'算罪台'!$B$5))),1,0)</f>
        <v/>
      </c>
      <c r="E186" s="34">
        <f>IF(AND($A185&lt;&gt;"",'算罪台'!$B$6&lt;&gt;"",ISNUMBER(SEARCH($A185,'算罪台'!$B$6))),1,0)</f>
        <v/>
      </c>
    </row>
    <row r="187">
      <c r="A187" s="34" t="inlineStr">
        <is>
          <t>藏着别人丢的</t>
        </is>
      </c>
      <c r="B187" s="34" t="inlineStr">
        <is>
          <t>持有失窃物品罪</t>
        </is>
      </c>
      <c r="C187" s="34">
        <f>IF(AND($A186&lt;&gt;"",'算罪台'!$B$4&lt;&gt;"",ISNUMBER(SEARCH($A186,'算罪台'!$B$4))),1,0)</f>
        <v/>
      </c>
      <c r="D187" s="34">
        <f>IF(AND($A186&lt;&gt;"",'算罪台'!$B$5&lt;&gt;"",ISNUMBER(SEARCH($A186,'算罪台'!$B$5))),1,0)</f>
        <v/>
      </c>
      <c r="E187" s="34">
        <f>IF(AND($A186&lt;&gt;"",'算罪台'!$B$6&lt;&gt;"",ISNUMBER(SEARCH($A186,'算罪台'!$B$6))),1,0)</f>
        <v/>
      </c>
    </row>
    <row r="188">
      <c r="A188" s="34" t="inlineStr">
        <is>
          <t>公共场合淫秽</t>
        </is>
      </c>
      <c r="B188" s="34" t="inlineStr">
        <is>
          <t>在公共场合从事淫秽行为罪</t>
        </is>
      </c>
      <c r="C188" s="34">
        <f>IF(AND($A187&lt;&gt;"",'算罪台'!$B$4&lt;&gt;"",ISNUMBER(SEARCH($A187,'算罪台'!$B$4))),1,0)</f>
        <v/>
      </c>
      <c r="D188" s="34">
        <f>IF(AND($A187&lt;&gt;"",'算罪台'!$B$5&lt;&gt;"",ISNUMBER(SEARCH($A187,'算罪台'!$B$5))),1,0)</f>
        <v/>
      </c>
      <c r="E188" s="34">
        <f>IF(AND($A187&lt;&gt;"",'算罪台'!$B$6&lt;&gt;"",ISNUMBER(SEARCH($A187,'算罪台'!$B$6))),1,0)</f>
        <v/>
      </c>
    </row>
    <row r="189">
      <c r="A189" s="34" t="inlineStr">
        <is>
          <t>公然猥亵</t>
        </is>
      </c>
      <c r="B189" s="34" t="inlineStr">
        <is>
          <t>在公共场合从事淫秽行为罪</t>
        </is>
      </c>
      <c r="C189" s="34">
        <f>IF(AND($A188&lt;&gt;"",'算罪台'!$B$4&lt;&gt;"",ISNUMBER(SEARCH($A188,'算罪台'!$B$4))),1,0)</f>
        <v/>
      </c>
      <c r="D189" s="34">
        <f>IF(AND($A188&lt;&gt;"",'算罪台'!$B$5&lt;&gt;"",ISNUMBER(SEARCH($A188,'算罪台'!$B$5))),1,0)</f>
        <v/>
      </c>
      <c r="E189" s="34">
        <f>IF(AND($A188&lt;&gt;"",'算罪台'!$B$6&lt;&gt;"",ISNUMBER(SEARCH($A188,'算罪台'!$B$6))),1,0)</f>
        <v/>
      </c>
    </row>
    <row r="190">
      <c r="A190" s="34" t="inlineStr">
        <is>
          <t>淫秽行为</t>
        </is>
      </c>
      <c r="B190" s="34" t="inlineStr">
        <is>
          <t>在公共场合从事淫秽行为罪</t>
        </is>
      </c>
      <c r="C190" s="34">
        <f>IF(AND($A189&lt;&gt;"",'算罪台'!$B$4&lt;&gt;"",ISNUMBER(SEARCH($A189,'算罪台'!$B$4))),1,0)</f>
        <v/>
      </c>
      <c r="D190" s="34">
        <f>IF(AND($A189&lt;&gt;"",'算罪台'!$B$5&lt;&gt;"",ISNUMBER(SEARCH($A189,'算罪台'!$B$5))),1,0)</f>
        <v/>
      </c>
      <c r="E190" s="34">
        <f>IF(AND($A189&lt;&gt;"",'算罪台'!$B$6&lt;&gt;"",ISNUMBER(SEARCH($A189,'算罪台'!$B$6))),1,0)</f>
        <v/>
      </c>
    </row>
    <row r="191">
      <c r="A191" s="34" t="inlineStr">
        <is>
          <t>招嫖</t>
        </is>
      </c>
      <c r="B191" s="34" t="inlineStr">
        <is>
          <t>在公共场合从事淫秽行为罪</t>
        </is>
      </c>
      <c r="C191" s="34">
        <f>IF(AND($A190&lt;&gt;"",'算罪台'!$B$4&lt;&gt;"",ISNUMBER(SEARCH($A190,'算罪台'!$B$4))),1,0)</f>
        <v/>
      </c>
      <c r="D191" s="34">
        <f>IF(AND($A190&lt;&gt;"",'算罪台'!$B$5&lt;&gt;"",ISNUMBER(SEARCH($A190,'算罪台'!$B$5))),1,0)</f>
        <v/>
      </c>
      <c r="E191" s="34">
        <f>IF(AND($A190&lt;&gt;"",'算罪台'!$B$6&lt;&gt;"",ISNUMBER(SEARCH($A190,'算罪台'!$B$6))),1,0)</f>
        <v/>
      </c>
    </row>
    <row r="192">
      <c r="A192" s="34" t="inlineStr">
        <is>
          <t>公开招募性交易</t>
        </is>
      </c>
      <c r="B192" s="34" t="inlineStr">
        <is>
          <t>在公共场合从事淫秽行为罪</t>
        </is>
      </c>
      <c r="C192" s="34">
        <f>IF(AND($A191&lt;&gt;"",'算罪台'!$B$4&lt;&gt;"",ISNUMBER(SEARCH($A191,'算罪台'!$B$4))),1,0)</f>
        <v/>
      </c>
      <c r="D192" s="34">
        <f>IF(AND($A191&lt;&gt;"",'算罪台'!$B$5&lt;&gt;"",ISNUMBER(SEARCH($A191,'算罪台'!$B$5))),1,0)</f>
        <v/>
      </c>
      <c r="E192" s="34">
        <f>IF(AND($A191&lt;&gt;"",'算罪台'!$B$6&lt;&gt;"",ISNUMBER(SEARCH($A191,'算罪台'!$B$6))),1,0)</f>
        <v/>
      </c>
    </row>
    <row r="193">
      <c r="A193" s="34" t="inlineStr">
        <is>
          <t>当街猥亵</t>
        </is>
      </c>
      <c r="B193" s="34" t="inlineStr">
        <is>
          <t>在公共场合从事淫秽行为罪</t>
        </is>
      </c>
      <c r="C193" s="34">
        <f>IF(AND($A192&lt;&gt;"",'算罪台'!$B$4&lt;&gt;"",ISNUMBER(SEARCH($A192,'算罪台'!$B$4))),1,0)</f>
        <v/>
      </c>
      <c r="D193" s="34">
        <f>IF(AND($A192&lt;&gt;"",'算罪台'!$B$5&lt;&gt;"",ISNUMBER(SEARCH($A192,'算罪台'!$B$5))),1,0)</f>
        <v/>
      </c>
      <c r="E193" s="34">
        <f>IF(AND($A192&lt;&gt;"",'算罪台'!$B$6&lt;&gt;"",ISNUMBER(SEARCH($A192,'算罪台'!$B$6))),1,0)</f>
        <v/>
      </c>
    </row>
    <row r="194">
      <c r="A194" s="34" t="inlineStr">
        <is>
          <t>猥亵</t>
        </is>
      </c>
      <c r="B194" s="34" t="inlineStr">
        <is>
          <t>在公共场合从事淫秽行为罪</t>
        </is>
      </c>
      <c r="C194" s="34">
        <f>IF(AND($A193&lt;&gt;"",'算罪台'!$B$4&lt;&gt;"",ISNUMBER(SEARCH($A193,'算罪台'!$B$4))),1,0)</f>
        <v/>
      </c>
      <c r="D194" s="34">
        <f>IF(AND($A193&lt;&gt;"",'算罪台'!$B$5&lt;&gt;"",ISNUMBER(SEARCH($A193,'算罪台'!$B$5))),1,0)</f>
        <v/>
      </c>
      <c r="E194" s="34">
        <f>IF(AND($A193&lt;&gt;"",'算罪台'!$B$6&lt;&gt;"",ISNUMBER(SEARCH($A193,'算罪台'!$B$6))),1,0)</f>
        <v/>
      </c>
    </row>
    <row r="195">
      <c r="A195" s="34" t="inlineStr">
        <is>
          <t>组织卖淫</t>
        </is>
      </c>
      <c r="B195" s="34" t="inlineStr">
        <is>
          <t>组织卖淫罪</t>
        </is>
      </c>
      <c r="C195" s="34">
        <f>IF(AND($A194&lt;&gt;"",'算罪台'!$B$4&lt;&gt;"",ISNUMBER(SEARCH($A194,'算罪台'!$B$4))),1,0)</f>
        <v/>
      </c>
      <c r="D195" s="34">
        <f>IF(AND($A194&lt;&gt;"",'算罪台'!$B$5&lt;&gt;"",ISNUMBER(SEARCH($A194,'算罪台'!$B$5))),1,0)</f>
        <v/>
      </c>
      <c r="E195" s="34">
        <f>IF(AND($A194&lt;&gt;"",'算罪台'!$B$6&lt;&gt;"",ISNUMBER(SEARCH($A194,'算罪台'!$B$6))),1,0)</f>
        <v/>
      </c>
    </row>
    <row r="196">
      <c r="A196" s="34" t="inlineStr">
        <is>
          <t>拉皮条</t>
        </is>
      </c>
      <c r="B196" s="34" t="inlineStr">
        <is>
          <t>组织卖淫罪</t>
        </is>
      </c>
      <c r="C196" s="34">
        <f>IF(AND($A195&lt;&gt;"",'算罪台'!$B$4&lt;&gt;"",ISNUMBER(SEARCH($A195,'算罪台'!$B$4))),1,0)</f>
        <v/>
      </c>
      <c r="D196" s="34">
        <f>IF(AND($A195&lt;&gt;"",'算罪台'!$B$5&lt;&gt;"",ISNUMBER(SEARCH($A195,'算罪台'!$B$5))),1,0)</f>
        <v/>
      </c>
      <c r="E196" s="34">
        <f>IF(AND($A195&lt;&gt;"",'算罪台'!$B$6&lt;&gt;"",ISNUMBER(SEARCH($A195,'算罪台'!$B$6))),1,0)</f>
        <v/>
      </c>
    </row>
    <row r="197">
      <c r="A197" s="34" t="inlineStr">
        <is>
          <t>强迫卖淫</t>
        </is>
      </c>
      <c r="B197" s="34" t="inlineStr">
        <is>
          <t>组织卖淫罪</t>
        </is>
      </c>
      <c r="C197" s="34">
        <f>IF(AND($A196&lt;&gt;"",'算罪台'!$B$4&lt;&gt;"",ISNUMBER(SEARCH($A196,'算罪台'!$B$4))),1,0)</f>
        <v/>
      </c>
      <c r="D197" s="34">
        <f>IF(AND($A196&lt;&gt;"",'算罪台'!$B$5&lt;&gt;"",ISNUMBER(SEARCH($A196,'算罪台'!$B$5))),1,0)</f>
        <v/>
      </c>
      <c r="E197" s="34">
        <f>IF(AND($A196&lt;&gt;"",'算罪台'!$B$6&lt;&gt;"",ISNUMBER(SEARCH($A196,'算罪台'!$B$6))),1,0)</f>
        <v/>
      </c>
    </row>
    <row r="198">
      <c r="A198" s="34" t="inlineStr">
        <is>
          <t>介绍卖淫</t>
        </is>
      </c>
      <c r="B198" s="34" t="inlineStr">
        <is>
          <t>组织卖淫罪</t>
        </is>
      </c>
      <c r="C198" s="34">
        <f>IF(AND($A197&lt;&gt;"",'算罪台'!$B$4&lt;&gt;"",ISNUMBER(SEARCH($A197,'算罪台'!$B$4))),1,0)</f>
        <v/>
      </c>
      <c r="D198" s="34">
        <f>IF(AND($A197&lt;&gt;"",'算罪台'!$B$5&lt;&gt;"",ISNUMBER(SEARCH($A197,'算罪台'!$B$5))),1,0)</f>
        <v/>
      </c>
      <c r="E198" s="34">
        <f>IF(AND($A197&lt;&gt;"",'算罪台'!$B$6&lt;&gt;"",ISNUMBER(SEARCH($A197,'算罪台'!$B$6))),1,0)</f>
        <v/>
      </c>
    </row>
    <row r="199">
      <c r="A199" s="34" t="inlineStr">
        <is>
          <t>开妓院</t>
        </is>
      </c>
      <c r="B199" s="34" t="inlineStr">
        <is>
          <t>组织卖淫罪</t>
        </is>
      </c>
      <c r="C199" s="34">
        <f>IF(AND($A198&lt;&gt;"",'算罪台'!$B$4&lt;&gt;"",ISNUMBER(SEARCH($A198,'算罪台'!$B$4))),1,0)</f>
        <v/>
      </c>
      <c r="D199" s="34">
        <f>IF(AND($A198&lt;&gt;"",'算罪台'!$B$5&lt;&gt;"",ISNUMBER(SEARCH($A198,'算罪台'!$B$5))),1,0)</f>
        <v/>
      </c>
      <c r="E199" s="34">
        <f>IF(AND($A198&lt;&gt;"",'算罪台'!$B$6&lt;&gt;"",ISNUMBER(SEARCH($A198,'算罪台'!$B$6))),1,0)</f>
        <v/>
      </c>
    </row>
    <row r="200">
      <c r="A200" s="34" t="inlineStr">
        <is>
          <t>卖淫</t>
        </is>
      </c>
      <c r="B200" s="34" t="inlineStr">
        <is>
          <t>卖淫罪</t>
        </is>
      </c>
      <c r="C200" s="34">
        <f>IF(AND($A199&lt;&gt;"",'算罪台'!$B$4&lt;&gt;"",ISNUMBER(SEARCH($A199,'算罪台'!$B$4))),1,0)</f>
        <v/>
      </c>
      <c r="D200" s="34">
        <f>IF(AND($A199&lt;&gt;"",'算罪台'!$B$5&lt;&gt;"",ISNUMBER(SEARCH($A199,'算罪台'!$B$5))),1,0)</f>
        <v/>
      </c>
      <c r="E200" s="34">
        <f>IF(AND($A199&lt;&gt;"",'算罪台'!$B$6&lt;&gt;"",ISNUMBER(SEARCH($A199,'算罪台'!$B$6))),1,0)</f>
        <v/>
      </c>
    </row>
    <row r="201">
      <c r="A201" s="34" t="inlineStr">
        <is>
          <t>性交易</t>
        </is>
      </c>
      <c r="B201" s="34" t="inlineStr">
        <is>
          <t>卖淫罪</t>
        </is>
      </c>
      <c r="C201" s="34">
        <f>IF(AND($A200&lt;&gt;"",'算罪台'!$B$4&lt;&gt;"",ISNUMBER(SEARCH($A200,'算罪台'!$B$4))),1,0)</f>
        <v/>
      </c>
      <c r="D201" s="34">
        <f>IF(AND($A200&lt;&gt;"",'算罪台'!$B$5&lt;&gt;"",ISNUMBER(SEARCH($A200,'算罪台'!$B$5))),1,0)</f>
        <v/>
      </c>
      <c r="E201" s="34">
        <f>IF(AND($A200&lt;&gt;"",'算罪台'!$B$6&lt;&gt;"",ISNUMBER(SEARCH($A200,'算罪台'!$B$6))),1,0)</f>
        <v/>
      </c>
    </row>
    <row r="202">
      <c r="A202" s="34" t="inlineStr">
        <is>
          <t>提供性服务</t>
        </is>
      </c>
      <c r="B202" s="34" t="inlineStr">
        <is>
          <t>卖淫罪</t>
        </is>
      </c>
      <c r="C202" s="34">
        <f>IF(AND($A201&lt;&gt;"",'算罪台'!$B$4&lt;&gt;"",ISNUMBER(SEARCH($A201,'算罪台'!$B$4))),1,0)</f>
        <v/>
      </c>
      <c r="D202" s="34">
        <f>IF(AND($A201&lt;&gt;"",'算罪台'!$B$5&lt;&gt;"",ISNUMBER(SEARCH($A201,'算罪台'!$B$5))),1,0)</f>
        <v/>
      </c>
      <c r="E202" s="34">
        <f>IF(AND($A201&lt;&gt;"",'算罪台'!$B$6&lt;&gt;"",ISNUMBER(SEARCH($A201,'算罪台'!$B$6))),1,0)</f>
        <v/>
      </c>
    </row>
    <row r="203">
      <c r="A203" s="34" t="inlineStr">
        <is>
          <t>接客</t>
        </is>
      </c>
      <c r="B203" s="34" t="inlineStr">
        <is>
          <t>卖淫罪</t>
        </is>
      </c>
      <c r="C203" s="34">
        <f>IF(AND($A202&lt;&gt;"",'算罪台'!$B$4&lt;&gt;"",ISNUMBER(SEARCH($A202,'算罪台'!$B$4))),1,0)</f>
        <v/>
      </c>
      <c r="D203" s="34">
        <f>IF(AND($A202&lt;&gt;"",'算罪台'!$B$5&lt;&gt;"",ISNUMBER(SEARCH($A202,'算罪台'!$B$5))),1,0)</f>
        <v/>
      </c>
      <c r="E203" s="34">
        <f>IF(AND($A202&lt;&gt;"",'算罪台'!$B$6&lt;&gt;"",ISNUMBER(SEARCH($A202,'算罪台'!$B$6))),1,0)</f>
        <v/>
      </c>
    </row>
    <row r="204">
      <c r="A204" s="34" t="inlineStr">
        <is>
          <t>强奸</t>
        </is>
      </c>
      <c r="B204" s="34" t="inlineStr">
        <is>
          <t>强奸罪</t>
        </is>
      </c>
      <c r="C204" s="34">
        <f>IF(AND($A203&lt;&gt;"",'算罪台'!$B$4&lt;&gt;"",ISNUMBER(SEARCH($A203,'算罪台'!$B$4))),1,0)</f>
        <v/>
      </c>
      <c r="D204" s="34">
        <f>IF(AND($A203&lt;&gt;"",'算罪台'!$B$5&lt;&gt;"",ISNUMBER(SEARCH($A203,'算罪台'!$B$5))),1,0)</f>
        <v/>
      </c>
      <c r="E204" s="34">
        <f>IF(AND($A203&lt;&gt;"",'算罪台'!$B$6&lt;&gt;"",ISNUMBER(SEARCH($A203,'算罪台'!$B$6))),1,0)</f>
        <v/>
      </c>
    </row>
    <row r="205">
      <c r="A205" s="34" t="inlineStr">
        <is>
          <t>性侵</t>
        </is>
      </c>
      <c r="B205" s="34" t="inlineStr">
        <is>
          <t>强奸罪</t>
        </is>
      </c>
      <c r="C205" s="34">
        <f>IF(AND($A204&lt;&gt;"",'算罪台'!$B$4&lt;&gt;"",ISNUMBER(SEARCH($A204,'算罪台'!$B$4))),1,0)</f>
        <v/>
      </c>
      <c r="D205" s="34">
        <f>IF(AND($A204&lt;&gt;"",'算罪台'!$B$5&lt;&gt;"",ISNUMBER(SEARCH($A204,'算罪台'!$B$5))),1,0)</f>
        <v/>
      </c>
      <c r="E205" s="34">
        <f>IF(AND($A204&lt;&gt;"",'算罪台'!$B$6&lt;&gt;"",ISNUMBER(SEARCH($A204,'算罪台'!$B$6))),1,0)</f>
        <v/>
      </c>
    </row>
    <row r="206">
      <c r="A206" s="34" t="inlineStr">
        <is>
          <t>强迫性行为</t>
        </is>
      </c>
      <c r="B206" s="34" t="inlineStr">
        <is>
          <t>强奸罪</t>
        </is>
      </c>
      <c r="C206" s="34">
        <f>IF(AND($A205&lt;&gt;"",'算罪台'!$B$4&lt;&gt;"",ISNUMBER(SEARCH($A205,'算罪台'!$B$4))),1,0)</f>
        <v/>
      </c>
      <c r="D206" s="34">
        <f>IF(AND($A205&lt;&gt;"",'算罪台'!$B$5&lt;&gt;"",ISNUMBER(SEARCH($A205,'算罪台'!$B$5))),1,0)</f>
        <v/>
      </c>
      <c r="E206" s="34">
        <f>IF(AND($A205&lt;&gt;"",'算罪台'!$B$6&lt;&gt;"",ISNUMBER(SEARCH($A205,'算罪台'!$B$6))),1,0)</f>
        <v/>
      </c>
    </row>
    <row r="207">
      <c r="A207" s="34" t="inlineStr">
        <is>
          <t>强迫发生关系</t>
        </is>
      </c>
      <c r="B207" s="34" t="inlineStr">
        <is>
          <t>强奸罪</t>
        </is>
      </c>
      <c r="C207" s="34">
        <f>IF(AND($A206&lt;&gt;"",'算罪台'!$B$4&lt;&gt;"",ISNUMBER(SEARCH($A206,'算罪台'!$B$4))),1,0)</f>
        <v/>
      </c>
      <c r="D207" s="34">
        <f>IF(AND($A206&lt;&gt;"",'算罪台'!$B$5&lt;&gt;"",ISNUMBER(SEARCH($A206,'算罪台'!$B$5))),1,0)</f>
        <v/>
      </c>
      <c r="E207" s="34">
        <f>IF(AND($A206&lt;&gt;"",'算罪台'!$B$6&lt;&gt;"",ISNUMBER(SEARCH($A206,'算罪台'!$B$6))),1,0)</f>
        <v/>
      </c>
    </row>
    <row r="208">
      <c r="A208" s="34" t="inlineStr">
        <is>
          <t>迷奸</t>
        </is>
      </c>
      <c r="B208" s="34" t="inlineStr">
        <is>
          <t>强奸罪</t>
        </is>
      </c>
      <c r="C208" s="34">
        <f>IF(AND($A207&lt;&gt;"",'算罪台'!$B$4&lt;&gt;"",ISNUMBER(SEARCH($A207,'算罪台'!$B$4))),1,0)</f>
        <v/>
      </c>
      <c r="D208" s="34">
        <f>IF(AND($A207&lt;&gt;"",'算罪台'!$B$5&lt;&gt;"",ISNUMBER(SEARCH($A207,'算罪台'!$B$5))),1,0)</f>
        <v/>
      </c>
      <c r="E208" s="34">
        <f>IF(AND($A207&lt;&gt;"",'算罪台'!$B$6&lt;&gt;"",ISNUMBER(SEARCH($A207,'算罪台'!$B$6))),1,0)</f>
        <v/>
      </c>
    </row>
    <row r="209">
      <c r="A209" s="34" t="inlineStr">
        <is>
          <t>传播淫秽</t>
        </is>
      </c>
      <c r="B209" s="34" t="inlineStr">
        <is>
          <t>传播淫秽色情罪</t>
        </is>
      </c>
      <c r="C209" s="34">
        <f>IF(AND($A208&lt;&gt;"",'算罪台'!$B$4&lt;&gt;"",ISNUMBER(SEARCH($A208,'算罪台'!$B$4))),1,0)</f>
        <v/>
      </c>
      <c r="D209" s="34">
        <f>IF(AND($A208&lt;&gt;"",'算罪台'!$B$5&lt;&gt;"",ISNUMBER(SEARCH($A208,'算罪台'!$B$5))),1,0)</f>
        <v/>
      </c>
      <c r="E209" s="34">
        <f>IF(AND($A208&lt;&gt;"",'算罪台'!$B$6&lt;&gt;"",ISNUMBER(SEARCH($A208,'算罪台'!$B$6))),1,0)</f>
        <v/>
      </c>
    </row>
    <row r="210">
      <c r="A210" s="34" t="inlineStr">
        <is>
          <t>传播色情</t>
        </is>
      </c>
      <c r="B210" s="34" t="inlineStr">
        <is>
          <t>传播淫秽色情罪</t>
        </is>
      </c>
      <c r="C210" s="34">
        <f>IF(AND($A209&lt;&gt;"",'算罪台'!$B$4&lt;&gt;"",ISNUMBER(SEARCH($A209,'算罪台'!$B$4))),1,0)</f>
        <v/>
      </c>
      <c r="D210" s="34">
        <f>IF(AND($A209&lt;&gt;"",'算罪台'!$B$5&lt;&gt;"",ISNUMBER(SEARCH($A209,'算罪台'!$B$5))),1,0)</f>
        <v/>
      </c>
      <c r="E210" s="34">
        <f>IF(AND($A209&lt;&gt;"",'算罪台'!$B$6&lt;&gt;"",ISNUMBER(SEARCH($A209,'算罪台'!$B$6))),1,0)</f>
        <v/>
      </c>
    </row>
    <row r="211">
      <c r="A211" s="34" t="inlineStr">
        <is>
          <t>淫秽内容</t>
        </is>
      </c>
      <c r="B211" s="34" t="inlineStr">
        <is>
          <t>传播淫秽色情罪</t>
        </is>
      </c>
      <c r="C211" s="34">
        <f>IF(AND($A210&lt;&gt;"",'算罪台'!$B$4&lt;&gt;"",ISNUMBER(SEARCH($A210,'算罪台'!$B$4))),1,0)</f>
        <v/>
      </c>
      <c r="D211" s="34">
        <f>IF(AND($A210&lt;&gt;"",'算罪台'!$B$5&lt;&gt;"",ISNUMBER(SEARCH($A210,'算罪台'!$B$5))),1,0)</f>
        <v/>
      </c>
      <c r="E211" s="34">
        <f>IF(AND($A210&lt;&gt;"",'算罪台'!$B$6&lt;&gt;"",ISNUMBER(SEARCH($A210,'算罪台'!$B$6))),1,0)</f>
        <v/>
      </c>
    </row>
    <row r="212">
      <c r="A212" s="34" t="inlineStr">
        <is>
          <t>色情视频</t>
        </is>
      </c>
      <c r="B212" s="34" t="inlineStr">
        <is>
          <t>传播淫秽色情罪</t>
        </is>
      </c>
      <c r="C212" s="34">
        <f>IF(AND($A211&lt;&gt;"",'算罪台'!$B$4&lt;&gt;"",ISNUMBER(SEARCH($A211,'算罪台'!$B$4))),1,0)</f>
        <v/>
      </c>
      <c r="D212" s="34">
        <f>IF(AND($A211&lt;&gt;"",'算罪台'!$B$5&lt;&gt;"",ISNUMBER(SEARCH($A211,'算罪台'!$B$5))),1,0)</f>
        <v/>
      </c>
      <c r="E212" s="34">
        <f>IF(AND($A211&lt;&gt;"",'算罪台'!$B$6&lt;&gt;"",ISNUMBER(SEARCH($A211,'算罪台'!$B$6))),1,0)</f>
        <v/>
      </c>
    </row>
    <row r="213">
      <c r="A213" s="34" t="inlineStr">
        <is>
          <t>贩卖色情</t>
        </is>
      </c>
      <c r="B213" s="34" t="inlineStr">
        <is>
          <t>传播淫秽色情罪</t>
        </is>
      </c>
      <c r="C213" s="34">
        <f>IF(AND($A212&lt;&gt;"",'算罪台'!$B$4&lt;&gt;"",ISNUMBER(SEARCH($A212,'算罪台'!$B$4))),1,0)</f>
        <v/>
      </c>
      <c r="D213" s="34">
        <f>IF(AND($A212&lt;&gt;"",'算罪台'!$B$5&lt;&gt;"",ISNUMBER(SEARCH($A212,'算罪台'!$B$5))),1,0)</f>
        <v/>
      </c>
      <c r="E213" s="34">
        <f>IF(AND($A212&lt;&gt;"",'算罪台'!$B$6&lt;&gt;"",ISNUMBER(SEARCH($A212,'算罪台'!$B$6))),1,0)</f>
        <v/>
      </c>
    </row>
    <row r="214">
      <c r="A214" s="34" t="inlineStr">
        <is>
          <t>发黄图</t>
        </is>
      </c>
      <c r="B214" s="34" t="inlineStr">
        <is>
          <t>传播淫秽色情罪</t>
        </is>
      </c>
      <c r="C214" s="34">
        <f>IF(AND($A213&lt;&gt;"",'算罪台'!$B$4&lt;&gt;"",ISNUMBER(SEARCH($A213,'算罪台'!$B$4))),1,0)</f>
        <v/>
      </c>
      <c r="D214" s="34">
        <f>IF(AND($A213&lt;&gt;"",'算罪台'!$B$5&lt;&gt;"",ISNUMBER(SEARCH($A213,'算罪台'!$B$5))),1,0)</f>
        <v/>
      </c>
      <c r="E214" s="34">
        <f>IF(AND($A213&lt;&gt;"",'算罪台'!$B$6&lt;&gt;"",ISNUMBER(SEARCH($A213,'算罪台'!$B$6))),1,0)</f>
        <v/>
      </c>
    </row>
    <row r="215">
      <c r="A215" s="34" t="inlineStr">
        <is>
          <t>传黄片</t>
        </is>
      </c>
      <c r="B215" s="34" t="inlineStr">
        <is>
          <t>传播淫秽色情罪</t>
        </is>
      </c>
      <c r="C215" s="34">
        <f>IF(AND($A214&lt;&gt;"",'算罪台'!$B$4&lt;&gt;"",ISNUMBER(SEARCH($A214,'算罪台'!$B$4))),1,0)</f>
        <v/>
      </c>
      <c r="D215" s="34">
        <f>IF(AND($A214&lt;&gt;"",'算罪台'!$B$5&lt;&gt;"",ISNUMBER(SEARCH($A214,'算罪台'!$B$5))),1,0)</f>
        <v/>
      </c>
      <c r="E215" s="34">
        <f>IF(AND($A214&lt;&gt;"",'算罪台'!$B$6&lt;&gt;"",ISNUMBER(SEARCH($A214,'算罪台'!$B$6))),1,0)</f>
        <v/>
      </c>
    </row>
    <row r="216">
      <c r="A216" s="34" t="inlineStr">
        <is>
          <t>歧视</t>
        </is>
      </c>
      <c r="B216" s="34" t="inlineStr">
        <is>
          <t>歧视罪</t>
        </is>
      </c>
      <c r="C216" s="34">
        <f>IF(AND($A215&lt;&gt;"",'算罪台'!$B$4&lt;&gt;"",ISNUMBER(SEARCH($A215,'算罪台'!$B$4))),1,0)</f>
        <v/>
      </c>
      <c r="D216" s="34">
        <f>IF(AND($A215&lt;&gt;"",'算罪台'!$B$5&lt;&gt;"",ISNUMBER(SEARCH($A215,'算罪台'!$B$5))),1,0)</f>
        <v/>
      </c>
      <c r="E216" s="34">
        <f>IF(AND($A215&lt;&gt;"",'算罪台'!$B$6&lt;&gt;"",ISNUMBER(SEARCH($A215,'算罪台'!$B$6))),1,0)</f>
        <v/>
      </c>
    </row>
    <row r="217">
      <c r="A217" s="34" t="inlineStr">
        <is>
          <t>种族歧视</t>
        </is>
      </c>
      <c r="B217" s="34" t="inlineStr">
        <is>
          <t>歧视罪</t>
        </is>
      </c>
      <c r="C217" s="34">
        <f>IF(AND($A216&lt;&gt;"",'算罪台'!$B$4&lt;&gt;"",ISNUMBER(SEARCH($A216,'算罪台'!$B$4))),1,0)</f>
        <v/>
      </c>
      <c r="D217" s="34">
        <f>IF(AND($A216&lt;&gt;"",'算罪台'!$B$5&lt;&gt;"",ISNUMBER(SEARCH($A216,'算罪台'!$B$5))),1,0)</f>
        <v/>
      </c>
      <c r="E217" s="34">
        <f>IF(AND($A216&lt;&gt;"",'算罪台'!$B$6&lt;&gt;"",ISNUMBER(SEARCH($A216,'算罪台'!$B$6))),1,0)</f>
        <v/>
      </c>
    </row>
    <row r="218">
      <c r="A218" s="34" t="inlineStr">
        <is>
          <t>辱骂</t>
        </is>
      </c>
      <c r="B218" s="34" t="inlineStr">
        <is>
          <t>歧视罪</t>
        </is>
      </c>
      <c r="C218" s="34">
        <f>IF(AND($A217&lt;&gt;"",'算罪台'!$B$4&lt;&gt;"",ISNUMBER(SEARCH($A217,'算罪台'!$B$4))),1,0)</f>
        <v/>
      </c>
      <c r="D218" s="34">
        <f>IF(AND($A217&lt;&gt;"",'算罪台'!$B$5&lt;&gt;"",ISNUMBER(SEARCH($A217,'算罪台'!$B$5))),1,0)</f>
        <v/>
      </c>
      <c r="E218" s="34">
        <f>IF(AND($A217&lt;&gt;"",'算罪台'!$B$6&lt;&gt;"",ISNUMBER(SEARCH($A217,'算罪台'!$B$6))),1,0)</f>
        <v/>
      </c>
    </row>
    <row r="219">
      <c r="A219" s="34" t="inlineStr">
        <is>
          <t>侮辱</t>
        </is>
      </c>
      <c r="B219" s="34" t="inlineStr">
        <is>
          <t>歧视罪</t>
        </is>
      </c>
      <c r="C219" s="34">
        <f>IF(AND($A218&lt;&gt;"",'算罪台'!$B$4&lt;&gt;"",ISNUMBER(SEARCH($A218,'算罪台'!$B$4))),1,0)</f>
        <v/>
      </c>
      <c r="D219" s="34">
        <f>IF(AND($A218&lt;&gt;"",'算罪台'!$B$5&lt;&gt;"",ISNUMBER(SEARCH($A218,'算罪台'!$B$5))),1,0)</f>
        <v/>
      </c>
      <c r="E219" s="34">
        <f>IF(AND($A218&lt;&gt;"",'算罪台'!$B$6&lt;&gt;"",ISNUMBER(SEARCH($A218,'算罪台'!$B$6))),1,0)</f>
        <v/>
      </c>
    </row>
    <row r="220">
      <c r="A220" s="34" t="inlineStr">
        <is>
          <t>贬低</t>
        </is>
      </c>
      <c r="B220" s="34" t="inlineStr">
        <is>
          <t>歧视罪</t>
        </is>
      </c>
      <c r="C220" s="34">
        <f>IF(AND($A219&lt;&gt;"",'算罪台'!$B$4&lt;&gt;"",ISNUMBER(SEARCH($A219,'算罪台'!$B$4))),1,0)</f>
        <v/>
      </c>
      <c r="D220" s="34">
        <f>IF(AND($A219&lt;&gt;"",'算罪台'!$B$5&lt;&gt;"",ISNUMBER(SEARCH($A219,'算罪台'!$B$5))),1,0)</f>
        <v/>
      </c>
      <c r="E220" s="34">
        <f>IF(AND($A219&lt;&gt;"",'算罪台'!$B$6&lt;&gt;"",ISNUMBER(SEARCH($A219,'算罪台'!$B$6))),1,0)</f>
        <v/>
      </c>
    </row>
    <row r="221">
      <c r="A221" s="34" t="inlineStr">
        <is>
          <t>地图炮</t>
        </is>
      </c>
      <c r="B221" s="34" t="inlineStr">
        <is>
          <t>歧视罪</t>
        </is>
      </c>
      <c r="C221" s="34">
        <f>IF(AND($A220&lt;&gt;"",'算罪台'!$B$4&lt;&gt;"",ISNUMBER(SEARCH($A220,'算罪台'!$B$4))),1,0)</f>
        <v/>
      </c>
      <c r="D221" s="34">
        <f>IF(AND($A220&lt;&gt;"",'算罪台'!$B$5&lt;&gt;"",ISNUMBER(SEARCH($A220,'算罪台'!$B$5))),1,0)</f>
        <v/>
      </c>
      <c r="E221" s="34">
        <f>IF(AND($A220&lt;&gt;"",'算罪台'!$B$6&lt;&gt;"",ISNUMBER(SEARCH($A220,'算罪台'!$B$6))),1,0)</f>
        <v/>
      </c>
    </row>
    <row r="222">
      <c r="A222" s="34" t="inlineStr">
        <is>
          <t>诽谤</t>
        </is>
      </c>
      <c r="B222" s="34" t="inlineStr">
        <is>
          <t>诽谤罪</t>
        </is>
      </c>
      <c r="C222" s="34">
        <f>IF(AND($A221&lt;&gt;"",'算罪台'!$B$4&lt;&gt;"",ISNUMBER(SEARCH($A221,'算罪台'!$B$4))),1,0)</f>
        <v/>
      </c>
      <c r="D222" s="34">
        <f>IF(AND($A221&lt;&gt;"",'算罪台'!$B$5&lt;&gt;"",ISNUMBER(SEARCH($A221,'算罪台'!$B$5))),1,0)</f>
        <v/>
      </c>
      <c r="E222" s="34">
        <f>IF(AND($A221&lt;&gt;"",'算罪台'!$B$6&lt;&gt;"",ISNUMBER(SEARCH($A221,'算罪台'!$B$6))),1,0)</f>
        <v/>
      </c>
    </row>
    <row r="223">
      <c r="A223" s="34" t="inlineStr">
        <is>
          <t>造谣</t>
        </is>
      </c>
      <c r="B223" s="34" t="inlineStr">
        <is>
          <t>诽谤罪</t>
        </is>
      </c>
      <c r="C223" s="34">
        <f>IF(AND($A222&lt;&gt;"",'算罪台'!$B$4&lt;&gt;"",ISNUMBER(SEARCH($A222,'算罪台'!$B$4))),1,0)</f>
        <v/>
      </c>
      <c r="D223" s="34">
        <f>IF(AND($A222&lt;&gt;"",'算罪台'!$B$5&lt;&gt;"",ISNUMBER(SEARCH($A222,'算罪台'!$B$5))),1,0)</f>
        <v/>
      </c>
      <c r="E223" s="34">
        <f>IF(AND($A222&lt;&gt;"",'算罪台'!$B$6&lt;&gt;"",ISNUMBER(SEARCH($A222,'算罪台'!$B$6))),1,0)</f>
        <v/>
      </c>
    </row>
    <row r="224">
      <c r="A224" s="34" t="inlineStr">
        <is>
          <t>污蔑</t>
        </is>
      </c>
      <c r="B224" s="34" t="inlineStr">
        <is>
          <t>诽谤罪</t>
        </is>
      </c>
      <c r="C224" s="34">
        <f>IF(AND($A223&lt;&gt;"",'算罪台'!$B$4&lt;&gt;"",ISNUMBER(SEARCH($A223,'算罪台'!$B$4))),1,0)</f>
        <v/>
      </c>
      <c r="D224" s="34">
        <f>IF(AND($A223&lt;&gt;"",'算罪台'!$B$5&lt;&gt;"",ISNUMBER(SEARCH($A223,'算罪台'!$B$5))),1,0)</f>
        <v/>
      </c>
      <c r="E224" s="34">
        <f>IF(AND($A223&lt;&gt;"",'算罪台'!$B$6&lt;&gt;"",ISNUMBER(SEARCH($A223,'算罪台'!$B$6))),1,0)</f>
        <v/>
      </c>
    </row>
    <row r="225">
      <c r="A225" s="34" t="inlineStr">
        <is>
          <t>捏造</t>
        </is>
      </c>
      <c r="B225" s="34" t="inlineStr">
        <is>
          <t>诽谤罪</t>
        </is>
      </c>
      <c r="C225" s="34">
        <f>IF(AND($A224&lt;&gt;"",'算罪台'!$B$4&lt;&gt;"",ISNUMBER(SEARCH($A224,'算罪台'!$B$4))),1,0)</f>
        <v/>
      </c>
      <c r="D225" s="34">
        <f>IF(AND($A224&lt;&gt;"",'算罪台'!$B$5&lt;&gt;"",ISNUMBER(SEARCH($A224,'算罪台'!$B$5))),1,0)</f>
        <v/>
      </c>
      <c r="E225" s="34">
        <f>IF(AND($A224&lt;&gt;"",'算罪台'!$B$6&lt;&gt;"",ISNUMBER(SEARCH($A224,'算罪台'!$B$6))),1,0)</f>
        <v/>
      </c>
    </row>
    <row r="226">
      <c r="A226" s="34" t="inlineStr">
        <is>
          <t>损害名誉</t>
        </is>
      </c>
      <c r="B226" s="34" t="inlineStr">
        <is>
          <t>诽谤罪</t>
        </is>
      </c>
      <c r="C226" s="34">
        <f>IF(AND($A225&lt;&gt;"",'算罪台'!$B$4&lt;&gt;"",ISNUMBER(SEARCH($A225,'算罪台'!$B$4))),1,0)</f>
        <v/>
      </c>
      <c r="D226" s="34">
        <f>IF(AND($A225&lt;&gt;"",'算罪台'!$B$5&lt;&gt;"",ISNUMBER(SEARCH($A225,'算罪台'!$B$5))),1,0)</f>
        <v/>
      </c>
      <c r="E226" s="34">
        <f>IF(AND($A225&lt;&gt;"",'算罪台'!$B$6&lt;&gt;"",ISNUMBER(SEARCH($A225,'算罪台'!$B$6))),1,0)</f>
        <v/>
      </c>
    </row>
    <row r="227">
      <c r="A227" s="34" t="inlineStr">
        <is>
          <t>传播虚假信息</t>
        </is>
      </c>
      <c r="B227" s="34" t="inlineStr">
        <is>
          <t>诽谤罪</t>
        </is>
      </c>
      <c r="C227" s="34">
        <f>IF(AND($A226&lt;&gt;"",'算罪台'!$B$4&lt;&gt;"",ISNUMBER(SEARCH($A226,'算罪台'!$B$4))),1,0)</f>
        <v/>
      </c>
      <c r="D227" s="34">
        <f>IF(AND($A226&lt;&gt;"",'算罪台'!$B$5&lt;&gt;"",ISNUMBER(SEARCH($A226,'算罪台'!$B$5))),1,0)</f>
        <v/>
      </c>
      <c r="E227" s="34">
        <f>IF(AND($A226&lt;&gt;"",'算罪台'!$B$6&lt;&gt;"",ISNUMBER(SEARCH($A226,'算罪台'!$B$6))),1,0)</f>
        <v/>
      </c>
    </row>
    <row r="228">
      <c r="A228" s="34" t="inlineStr">
        <is>
          <t>抹黑</t>
        </is>
      </c>
      <c r="B228" s="34" t="inlineStr">
        <is>
          <t>诽谤罪</t>
        </is>
      </c>
      <c r="C228" s="34">
        <f>IF(AND($A227&lt;&gt;"",'算罪台'!$B$4&lt;&gt;"",ISNUMBER(SEARCH($A227,'算罪台'!$B$4))),1,0)</f>
        <v/>
      </c>
      <c r="D228" s="34">
        <f>IF(AND($A227&lt;&gt;"",'算罪台'!$B$5&lt;&gt;"",ISNUMBER(SEARCH($A227,'算罪台'!$B$5))),1,0)</f>
        <v/>
      </c>
      <c r="E228" s="34">
        <f>IF(AND($A227&lt;&gt;"",'算罪台'!$B$6&lt;&gt;"",ISNUMBER(SEARCH($A227,'算罪台'!$B$6))),1,0)</f>
        <v/>
      </c>
    </row>
    <row r="229">
      <c r="A229" s="34" t="inlineStr">
        <is>
          <t>造黄谣</t>
        </is>
      </c>
      <c r="B229" s="34" t="inlineStr">
        <is>
          <t>诽谤罪</t>
        </is>
      </c>
      <c r="C229" s="34">
        <f>IF(AND($A228&lt;&gt;"",'算罪台'!$B$4&lt;&gt;"",ISNUMBER(SEARCH($A228,'算罪台'!$B$4))),1,0)</f>
        <v/>
      </c>
      <c r="D229" s="34">
        <f>IF(AND($A228&lt;&gt;"",'算罪台'!$B$5&lt;&gt;"",ISNUMBER(SEARCH($A228,'算罪台'!$B$5))),1,0)</f>
        <v/>
      </c>
      <c r="E229" s="34">
        <f>IF(AND($A228&lt;&gt;"",'算罪台'!$B$6&lt;&gt;"",ISNUMBER(SEARCH($A228,'算罪台'!$B$6))),1,0)</f>
        <v/>
      </c>
    </row>
    <row r="230">
      <c r="A230" s="34" t="inlineStr">
        <is>
          <t>行贿</t>
        </is>
      </c>
      <c r="B230" s="34" t="inlineStr">
        <is>
          <t>行贿罪</t>
        </is>
      </c>
      <c r="C230" s="34">
        <f>IF(AND($A229&lt;&gt;"",'算罪台'!$B$4&lt;&gt;"",ISNUMBER(SEARCH($A229,'算罪台'!$B$4))),1,0)</f>
        <v/>
      </c>
      <c r="D230" s="34">
        <f>IF(AND($A229&lt;&gt;"",'算罪台'!$B$5&lt;&gt;"",ISNUMBER(SEARCH($A229,'算罪台'!$B$5))),1,0)</f>
        <v/>
      </c>
      <c r="E230" s="34">
        <f>IF(AND($A229&lt;&gt;"",'算罪台'!$B$6&lt;&gt;"",ISNUMBER(SEARCH($A229,'算罪台'!$B$6))),1,0)</f>
        <v/>
      </c>
    </row>
    <row r="231">
      <c r="A231" s="34" t="inlineStr">
        <is>
          <t>贿赂</t>
        </is>
      </c>
      <c r="B231" s="34" t="inlineStr">
        <is>
          <t>行贿罪</t>
        </is>
      </c>
      <c r="C231" s="34">
        <f>IF(AND($A230&lt;&gt;"",'算罪台'!$B$4&lt;&gt;"",ISNUMBER(SEARCH($A230,'算罪台'!$B$4))),1,0)</f>
        <v/>
      </c>
      <c r="D231" s="34">
        <f>IF(AND($A230&lt;&gt;"",'算罪台'!$B$5&lt;&gt;"",ISNUMBER(SEARCH($A230,'算罪台'!$B$5))),1,0)</f>
        <v/>
      </c>
      <c r="E231" s="34">
        <f>IF(AND($A230&lt;&gt;"",'算罪台'!$B$6&lt;&gt;"",ISNUMBER(SEARCH($A230,'算罪台'!$B$6))),1,0)</f>
        <v/>
      </c>
    </row>
    <row r="232">
      <c r="A232" s="34" t="inlineStr">
        <is>
          <t>送钱给</t>
        </is>
      </c>
      <c r="B232" s="34" t="inlineStr">
        <is>
          <t>行贿罪</t>
        </is>
      </c>
      <c r="C232" s="34">
        <f>IF(AND($A231&lt;&gt;"",'算罪台'!$B$4&lt;&gt;"",ISNUMBER(SEARCH($A231,'算罪台'!$B$4))),1,0)</f>
        <v/>
      </c>
      <c r="D232" s="34">
        <f>IF(AND($A231&lt;&gt;"",'算罪台'!$B$5&lt;&gt;"",ISNUMBER(SEARCH($A231,'算罪台'!$B$5))),1,0)</f>
        <v/>
      </c>
      <c r="E232" s="34">
        <f>IF(AND($A231&lt;&gt;"",'算罪台'!$B$6&lt;&gt;"",ISNUMBER(SEARCH($A231,'算罪台'!$B$6))),1,0)</f>
        <v/>
      </c>
    </row>
    <row r="233">
      <c r="A233" s="34" t="inlineStr">
        <is>
          <t>塞钱</t>
        </is>
      </c>
      <c r="B233" s="34" t="inlineStr">
        <is>
          <t>行贿罪</t>
        </is>
      </c>
      <c r="C233" s="34">
        <f>IF(AND($A232&lt;&gt;"",'算罪台'!$B$4&lt;&gt;"",ISNUMBER(SEARCH($A232,'算罪台'!$B$4))),1,0)</f>
        <v/>
      </c>
      <c r="D233" s="34">
        <f>IF(AND($A232&lt;&gt;"",'算罪台'!$B$5&lt;&gt;"",ISNUMBER(SEARCH($A232,'算罪台'!$B$5))),1,0)</f>
        <v/>
      </c>
      <c r="E233" s="34">
        <f>IF(AND($A232&lt;&gt;"",'算罪台'!$B$6&lt;&gt;"",ISNUMBER(SEARCH($A232,'算罪台'!$B$6))),1,0)</f>
        <v/>
      </c>
    </row>
    <row r="234">
      <c r="A234" s="34" t="inlineStr">
        <is>
          <t>贿赂政府</t>
        </is>
      </c>
      <c r="B234" s="34" t="inlineStr">
        <is>
          <t>行贿罪</t>
        </is>
      </c>
      <c r="C234" s="34">
        <f>IF(AND($A233&lt;&gt;"",'算罪台'!$B$4&lt;&gt;"",ISNUMBER(SEARCH($A233,'算罪台'!$B$4))),1,0)</f>
        <v/>
      </c>
      <c r="D234" s="34">
        <f>IF(AND($A233&lt;&gt;"",'算罪台'!$B$5&lt;&gt;"",ISNUMBER(SEARCH($A233,'算罪台'!$B$5))),1,0)</f>
        <v/>
      </c>
      <c r="E234" s="34">
        <f>IF(AND($A233&lt;&gt;"",'算罪台'!$B$6&lt;&gt;"",ISNUMBER(SEARCH($A233,'算罪台'!$B$6))),1,0)</f>
        <v/>
      </c>
    </row>
    <row r="235">
      <c r="A235" s="34" t="inlineStr">
        <is>
          <t>给警察塞钱</t>
        </is>
      </c>
      <c r="B235" s="34" t="inlineStr">
        <is>
          <t>行贿罪</t>
        </is>
      </c>
      <c r="C235" s="34">
        <f>IF(AND($A234&lt;&gt;"",'算罪台'!$B$4&lt;&gt;"",ISNUMBER(SEARCH($A234,'算罪台'!$B$4))),1,0)</f>
        <v/>
      </c>
      <c r="D235" s="34">
        <f>IF(AND($A234&lt;&gt;"",'算罪台'!$B$5&lt;&gt;"",ISNUMBER(SEARCH($A234,'算罪台'!$B$5))),1,0)</f>
        <v/>
      </c>
      <c r="E235" s="34">
        <f>IF(AND($A234&lt;&gt;"",'算罪台'!$B$6&lt;&gt;"",ISNUMBER(SEARCH($A234,'算罪台'!$B$6))),1,0)</f>
        <v/>
      </c>
    </row>
    <row r="236">
      <c r="A236" s="34" t="inlineStr">
        <is>
          <t>买通</t>
        </is>
      </c>
      <c r="B236" s="34" t="inlineStr">
        <is>
          <t>行贿罪</t>
        </is>
      </c>
      <c r="C236" s="34">
        <f>IF(AND($A235&lt;&gt;"",'算罪台'!$B$4&lt;&gt;"",ISNUMBER(SEARCH($A235,'算罪台'!$B$4))),1,0)</f>
        <v/>
      </c>
      <c r="D236" s="34">
        <f>IF(AND($A235&lt;&gt;"",'算罪台'!$B$5&lt;&gt;"",ISNUMBER(SEARCH($A235,'算罪台'!$B$5))),1,0)</f>
        <v/>
      </c>
      <c r="E236" s="34">
        <f>IF(AND($A235&lt;&gt;"",'算罪台'!$B$6&lt;&gt;"",ISNUMBER(SEARCH($A235,'算罪台'!$B$6))),1,0)</f>
        <v/>
      </c>
    </row>
    <row r="237">
      <c r="A237" s="34" t="inlineStr">
        <is>
          <t>塞红包</t>
        </is>
      </c>
      <c r="B237" s="34" t="inlineStr">
        <is>
          <t>行贿罪</t>
        </is>
      </c>
      <c r="C237" s="34">
        <f>IF(AND($A236&lt;&gt;"",'算罪台'!$B$4&lt;&gt;"",ISNUMBER(SEARCH($A236,'算罪台'!$B$4))),1,0)</f>
        <v/>
      </c>
      <c r="D237" s="34">
        <f>IF(AND($A236&lt;&gt;"",'算罪台'!$B$5&lt;&gt;"",ISNUMBER(SEARCH($A236,'算罪台'!$B$5))),1,0)</f>
        <v/>
      </c>
      <c r="E237" s="34">
        <f>IF(AND($A236&lt;&gt;"",'算罪台'!$B$6&lt;&gt;"",ISNUMBER(SEARCH($A236,'算罪台'!$B$6))),1,0)</f>
        <v/>
      </c>
    </row>
    <row r="238">
      <c r="A238" s="34" t="inlineStr">
        <is>
          <t>妨碍司法</t>
        </is>
      </c>
      <c r="B238" s="34" t="inlineStr">
        <is>
          <t>妨碍司法罪</t>
        </is>
      </c>
      <c r="C238" s="34">
        <f>IF(AND($A237&lt;&gt;"",'算罪台'!$B$4&lt;&gt;"",ISNUMBER(SEARCH($A237,'算罪台'!$B$4))),1,0)</f>
        <v/>
      </c>
      <c r="D238" s="34">
        <f>IF(AND($A237&lt;&gt;"",'算罪台'!$B$5&lt;&gt;"",ISNUMBER(SEARCH($A237,'算罪台'!$B$5))),1,0)</f>
        <v/>
      </c>
      <c r="E238" s="34">
        <f>IF(AND($A237&lt;&gt;"",'算罪台'!$B$6&lt;&gt;"",ISNUMBER(SEARCH($A237,'算罪台'!$B$6))),1,0)</f>
        <v/>
      </c>
    </row>
    <row r="239">
      <c r="A239" s="34" t="inlineStr">
        <is>
          <t>阻碍司法</t>
        </is>
      </c>
      <c r="B239" s="34" t="inlineStr">
        <is>
          <t>妨碍司法罪</t>
        </is>
      </c>
      <c r="C239" s="34">
        <f>IF(AND($A238&lt;&gt;"",'算罪台'!$B$4&lt;&gt;"",ISNUMBER(SEARCH($A238,'算罪台'!$B$4))),1,0)</f>
        <v/>
      </c>
      <c r="D239" s="34">
        <f>IF(AND($A238&lt;&gt;"",'算罪台'!$B$5&lt;&gt;"",ISNUMBER(SEARCH($A238,'算罪台'!$B$5))),1,0)</f>
        <v/>
      </c>
      <c r="E239" s="34">
        <f>IF(AND($A238&lt;&gt;"",'算罪台'!$B$6&lt;&gt;"",ISNUMBER(SEARCH($A238,'算罪台'!$B$6))),1,0)</f>
        <v/>
      </c>
    </row>
    <row r="240">
      <c r="A240" s="34" t="inlineStr">
        <is>
          <t>阻碍法律文书</t>
        </is>
      </c>
      <c r="B240" s="34" t="inlineStr">
        <is>
          <t>妨碍司法罪</t>
        </is>
      </c>
      <c r="C240" s="34">
        <f>IF(AND($A239&lt;&gt;"",'算罪台'!$B$4&lt;&gt;"",ISNUMBER(SEARCH($A239,'算罪台'!$B$4))),1,0)</f>
        <v/>
      </c>
      <c r="D240" s="34">
        <f>IF(AND($A239&lt;&gt;"",'算罪台'!$B$5&lt;&gt;"",ISNUMBER(SEARCH($A239,'算罪台'!$B$5))),1,0)</f>
        <v/>
      </c>
      <c r="E240" s="34">
        <f>IF(AND($A239&lt;&gt;"",'算罪台'!$B$6&lt;&gt;"",ISNUMBER(SEARCH($A239,'算罪台'!$B$6))),1,0)</f>
        <v/>
      </c>
    </row>
    <row r="241">
      <c r="A241" s="34" t="inlineStr">
        <is>
          <t>拒绝命令</t>
        </is>
      </c>
      <c r="B241" s="34" t="inlineStr">
        <is>
          <t>拒绝听从执法人员命令与检查罪</t>
        </is>
      </c>
      <c r="C241" s="34">
        <f>IF(AND($A240&lt;&gt;"",'算罪台'!$B$4&lt;&gt;"",ISNUMBER(SEARCH($A240,'算罪台'!$B$4))),1,0)</f>
        <v/>
      </c>
      <c r="D241" s="34">
        <f>IF(AND($A240&lt;&gt;"",'算罪台'!$B$5&lt;&gt;"",ISNUMBER(SEARCH($A240,'算罪台'!$B$5))),1,0)</f>
        <v/>
      </c>
      <c r="E241" s="34">
        <f>IF(AND($A240&lt;&gt;"",'算罪台'!$B$6&lt;&gt;"",ISNUMBER(SEARCH($A240,'算罪台'!$B$6))),1,0)</f>
        <v/>
      </c>
    </row>
    <row r="242">
      <c r="A242" s="34" t="inlineStr">
        <is>
          <t>不服从命令</t>
        </is>
      </c>
      <c r="B242" s="34" t="inlineStr">
        <is>
          <t>拒绝听从执法人员命令与检查罪</t>
        </is>
      </c>
      <c r="C242" s="34">
        <f>IF(AND($A241&lt;&gt;"",'算罪台'!$B$4&lt;&gt;"",ISNUMBER(SEARCH($A241,'算罪台'!$B$4))),1,0)</f>
        <v/>
      </c>
      <c r="D242" s="34">
        <f>IF(AND($A241&lt;&gt;"",'算罪台'!$B$5&lt;&gt;"",ISNUMBER(SEARCH($A241,'算罪台'!$B$5))),1,0)</f>
        <v/>
      </c>
      <c r="E242" s="34">
        <f>IF(AND($A241&lt;&gt;"",'算罪台'!$B$6&lt;&gt;"",ISNUMBER(SEARCH($A241,'算罪台'!$B$6))),1,0)</f>
        <v/>
      </c>
    </row>
    <row r="243">
      <c r="A243" s="34" t="inlineStr">
        <is>
          <t>拒绝检查</t>
        </is>
      </c>
      <c r="B243" s="34" t="inlineStr">
        <is>
          <t>拒绝听从执法人员命令与检查罪</t>
        </is>
      </c>
      <c r="C243" s="34">
        <f>IF(AND($A242&lt;&gt;"",'算罪台'!$B$4&lt;&gt;"",ISNUMBER(SEARCH($A242,'算罪台'!$B$4))),1,0)</f>
        <v/>
      </c>
      <c r="D243" s="34">
        <f>IF(AND($A242&lt;&gt;"",'算罪台'!$B$5&lt;&gt;"",ISNUMBER(SEARCH($A242,'算罪台'!$B$5))),1,0)</f>
        <v/>
      </c>
      <c r="E243" s="34">
        <f>IF(AND($A242&lt;&gt;"",'算罪台'!$B$6&lt;&gt;"",ISNUMBER(SEARCH($A242,'算罪台'!$B$6))),1,0)</f>
        <v/>
      </c>
    </row>
    <row r="244">
      <c r="A244" s="34" t="inlineStr">
        <is>
          <t>不配合检查</t>
        </is>
      </c>
      <c r="B244" s="34" t="inlineStr">
        <is>
          <t>拒绝听从执法人员命令与检查罪</t>
        </is>
      </c>
      <c r="C244" s="34">
        <f>IF(AND($A243&lt;&gt;"",'算罪台'!$B$4&lt;&gt;"",ISNUMBER(SEARCH($A243,'算罪台'!$B$4))),1,0)</f>
        <v/>
      </c>
      <c r="D244" s="34">
        <f>IF(AND($A243&lt;&gt;"",'算罪台'!$B$5&lt;&gt;"",ISNUMBER(SEARCH($A243,'算罪台'!$B$5))),1,0)</f>
        <v/>
      </c>
      <c r="E244" s="34">
        <f>IF(AND($A243&lt;&gt;"",'算罪台'!$B$6&lt;&gt;"",ISNUMBER(SEARCH($A243,'算罪台'!$B$6))),1,0)</f>
        <v/>
      </c>
    </row>
    <row r="245">
      <c r="A245" s="34" t="inlineStr">
        <is>
          <t>拒绝指示</t>
        </is>
      </c>
      <c r="B245" s="34" t="inlineStr">
        <is>
          <t>拒绝听从执法人员命令与检查罪</t>
        </is>
      </c>
      <c r="C245" s="34">
        <f>IF(AND($A244&lt;&gt;"",'算罪台'!$B$4&lt;&gt;"",ISNUMBER(SEARCH($A244,'算罪台'!$B$4))),1,0)</f>
        <v/>
      </c>
      <c r="D245" s="34">
        <f>IF(AND($A244&lt;&gt;"",'算罪台'!$B$5&lt;&gt;"",ISNUMBER(SEARCH($A244,'算罪台'!$B$5))),1,0)</f>
        <v/>
      </c>
      <c r="E245" s="34">
        <f>IF(AND($A244&lt;&gt;"",'算罪台'!$B$6&lt;&gt;"",ISNUMBER(SEARCH($A244,'算罪台'!$B$6))),1,0)</f>
        <v/>
      </c>
    </row>
    <row r="246">
      <c r="A246" s="34" t="inlineStr">
        <is>
          <t>不听指挥</t>
        </is>
      </c>
      <c r="B246" s="34" t="inlineStr">
        <is>
          <t>拒绝听从执法人员命令与检查罪</t>
        </is>
      </c>
      <c r="C246" s="34">
        <f>IF(AND($A245&lt;&gt;"",'算罪台'!$B$4&lt;&gt;"",ISNUMBER(SEARCH($A245,'算罪台'!$B$4))),1,0)</f>
        <v/>
      </c>
      <c r="D246" s="34">
        <f>IF(AND($A245&lt;&gt;"",'算罪台'!$B$5&lt;&gt;"",ISNUMBER(SEARCH($A245,'算罪台'!$B$5))),1,0)</f>
        <v/>
      </c>
      <c r="E246" s="34">
        <f>IF(AND($A245&lt;&gt;"",'算罪台'!$B$6&lt;&gt;"",ISNUMBER(SEARCH($A245,'算罪台'!$B$6))),1,0)</f>
        <v/>
      </c>
    </row>
    <row r="247">
      <c r="A247" s="34" t="inlineStr">
        <is>
          <t>不配合</t>
        </is>
      </c>
      <c r="B247" s="34" t="inlineStr">
        <is>
          <t>拒绝听从执法人员命令与检查罪</t>
        </is>
      </c>
      <c r="C247" s="34">
        <f>IF(AND($A246&lt;&gt;"",'算罪台'!$B$4&lt;&gt;"",ISNUMBER(SEARCH($A246,'算罪台'!$B$4))),1,0)</f>
        <v/>
      </c>
      <c r="D247" s="34">
        <f>IF(AND($A246&lt;&gt;"",'算罪台'!$B$5&lt;&gt;"",ISNUMBER(SEARCH($A246,'算罪台'!$B$5))),1,0)</f>
        <v/>
      </c>
      <c r="E247" s="34">
        <f>IF(AND($A246&lt;&gt;"",'算罪台'!$B$6&lt;&gt;"",ISNUMBER(SEARCH($A246,'算罪台'!$B$6))),1,0)</f>
        <v/>
      </c>
    </row>
    <row r="248">
      <c r="A248" s="34" t="inlineStr">
        <is>
          <t>无视警察命令</t>
        </is>
      </c>
      <c r="B248" s="34" t="inlineStr">
        <is>
          <t>拒绝听从执法人员命令与检查罪</t>
        </is>
      </c>
      <c r="C248" s="34">
        <f>IF(AND($A247&lt;&gt;"",'算罪台'!$B$4&lt;&gt;"",ISNUMBER(SEARCH($A247,'算罪台'!$B$4))),1,0)</f>
        <v/>
      </c>
      <c r="D248" s="34">
        <f>IF(AND($A247&lt;&gt;"",'算罪台'!$B$5&lt;&gt;"",ISNUMBER(SEARCH($A247,'算罪台'!$B$5))),1,0)</f>
        <v/>
      </c>
      <c r="E248" s="34">
        <f>IF(AND($A247&lt;&gt;"",'算罪台'!$B$6&lt;&gt;"",ISNUMBER(SEARCH($A247,'算罪台'!$B$6))),1,0)</f>
        <v/>
      </c>
    </row>
    <row r="249">
      <c r="A249" s="34" t="inlineStr">
        <is>
          <t>不靠边</t>
        </is>
      </c>
      <c r="B249" s="34" t="inlineStr">
        <is>
          <t>拒绝听从执法人员命令与检查罪</t>
        </is>
      </c>
      <c r="C249" s="34">
        <f>IF(AND($A248&lt;&gt;"",'算罪台'!$B$4&lt;&gt;"",ISNUMBER(SEARCH($A248,'算罪台'!$B$4))),1,0)</f>
        <v/>
      </c>
      <c r="D249" s="34">
        <f>IF(AND($A248&lt;&gt;"",'算罪台'!$B$5&lt;&gt;"",ISNUMBER(SEARCH($A248,'算罪台'!$B$5))),1,0)</f>
        <v/>
      </c>
      <c r="E249" s="34">
        <f>IF(AND($A248&lt;&gt;"",'算罪台'!$B$6&lt;&gt;"",ISNUMBER(SEARCH($A248,'算罪台'!$B$6))),1,0)</f>
        <v/>
      </c>
    </row>
    <row r="250">
      <c r="A250" s="34" t="inlineStr">
        <is>
          <t>拒绝提供身份</t>
        </is>
      </c>
      <c r="B250" s="34" t="inlineStr">
        <is>
          <t>拒绝提供身份罪</t>
        </is>
      </c>
      <c r="C250" s="34">
        <f>IF(AND($A249&lt;&gt;"",'算罪台'!$B$4&lt;&gt;"",ISNUMBER(SEARCH($A249,'算罪台'!$B$4))),1,0)</f>
        <v/>
      </c>
      <c r="D250" s="34">
        <f>IF(AND($A249&lt;&gt;"",'算罪台'!$B$5&lt;&gt;"",ISNUMBER(SEARCH($A249,'算罪台'!$B$5))),1,0)</f>
        <v/>
      </c>
      <c r="E250" s="34">
        <f>IF(AND($A249&lt;&gt;"",'算罪台'!$B$6&lt;&gt;"",ISNUMBER(SEARCH($A249,'算罪台'!$B$6))),1,0)</f>
        <v/>
      </c>
    </row>
    <row r="251">
      <c r="A251" s="34" t="inlineStr">
        <is>
          <t>拒报身份</t>
        </is>
      </c>
      <c r="B251" s="34" t="inlineStr">
        <is>
          <t>拒绝提供身份罪</t>
        </is>
      </c>
      <c r="C251" s="34">
        <f>IF(AND($A250&lt;&gt;"",'算罪台'!$B$4&lt;&gt;"",ISNUMBER(SEARCH($A250,'算罪台'!$B$4))),1,0)</f>
        <v/>
      </c>
      <c r="D251" s="34">
        <f>IF(AND($A250&lt;&gt;"",'算罪台'!$B$5&lt;&gt;"",ISNUMBER(SEARCH($A250,'算罪台'!$B$5))),1,0)</f>
        <v/>
      </c>
      <c r="E251" s="34">
        <f>IF(AND($A250&lt;&gt;"",'算罪台'!$B$6&lt;&gt;"",ISNUMBER(SEARCH($A250,'算罪台'!$B$6))),1,0)</f>
        <v/>
      </c>
    </row>
    <row r="252">
      <c r="A252" s="34" t="inlineStr">
        <is>
          <t>不提供身份</t>
        </is>
      </c>
      <c r="B252" s="34" t="inlineStr">
        <is>
          <t>拒绝提供身份罪</t>
        </is>
      </c>
      <c r="C252" s="34">
        <f>IF(AND($A251&lt;&gt;"",'算罪台'!$B$4&lt;&gt;"",ISNUMBER(SEARCH($A251,'算罪台'!$B$4))),1,0)</f>
        <v/>
      </c>
      <c r="D252" s="34">
        <f>IF(AND($A251&lt;&gt;"",'算罪台'!$B$5&lt;&gt;"",ISNUMBER(SEARCH($A251,'算罪台'!$B$5))),1,0)</f>
        <v/>
      </c>
      <c r="E252" s="34">
        <f>IF(AND($A251&lt;&gt;"",'算罪台'!$B$6&lt;&gt;"",ISNUMBER(SEARCH($A251,'算罪台'!$B$6))),1,0)</f>
        <v/>
      </c>
    </row>
    <row r="253">
      <c r="A253" s="34" t="inlineStr">
        <is>
          <t>拒绝出示证件</t>
        </is>
      </c>
      <c r="B253" s="34" t="inlineStr">
        <is>
          <t>拒绝提供身份罪</t>
        </is>
      </c>
      <c r="C253" s="34">
        <f>IF(AND($A252&lt;&gt;"",'算罪台'!$B$4&lt;&gt;"",ISNUMBER(SEARCH($A252,'算罪台'!$B$4))),1,0)</f>
        <v/>
      </c>
      <c r="D253" s="34">
        <f>IF(AND($A252&lt;&gt;"",'算罪台'!$B$5&lt;&gt;"",ISNUMBER(SEARCH($A252,'算罪台'!$B$5))),1,0)</f>
        <v/>
      </c>
      <c r="E253" s="34">
        <f>IF(AND($A252&lt;&gt;"",'算罪台'!$B$6&lt;&gt;"",ISNUMBER(SEARCH($A252,'算罪台'!$B$6))),1,0)</f>
        <v/>
      </c>
    </row>
    <row r="254">
      <c r="A254" s="34" t="inlineStr">
        <is>
          <t>不报姓名</t>
        </is>
      </c>
      <c r="B254" s="34" t="inlineStr">
        <is>
          <t>拒绝提供身份罪</t>
        </is>
      </c>
      <c r="C254" s="34">
        <f>IF(AND($A253&lt;&gt;"",'算罪台'!$B$4&lt;&gt;"",ISNUMBER(SEARCH($A253,'算罪台'!$B$4))),1,0)</f>
        <v/>
      </c>
      <c r="D254" s="34">
        <f>IF(AND($A253&lt;&gt;"",'算罪台'!$B$5&lt;&gt;"",ISNUMBER(SEARCH($A253,'算罪台'!$B$5))),1,0)</f>
        <v/>
      </c>
      <c r="E254" s="34">
        <f>IF(AND($A253&lt;&gt;"",'算罪台'!$B$6&lt;&gt;"",ISNUMBER(SEARCH($A253,'算罪台'!$B$6))),1,0)</f>
        <v/>
      </c>
    </row>
    <row r="255">
      <c r="A255" s="34" t="inlineStr">
        <is>
          <t>不给看证件</t>
        </is>
      </c>
      <c r="B255" s="34" t="inlineStr">
        <is>
          <t>拒绝提供身份罪</t>
        </is>
      </c>
      <c r="C255" s="34">
        <f>IF(AND($A254&lt;&gt;"",'算罪台'!$B$4&lt;&gt;"",ISNUMBER(SEARCH($A254,'算罪台'!$B$4))),1,0)</f>
        <v/>
      </c>
      <c r="D255" s="34">
        <f>IF(AND($A254&lt;&gt;"",'算罪台'!$B$5&lt;&gt;"",ISNUMBER(SEARCH($A254,'算罪台'!$B$5))),1,0)</f>
        <v/>
      </c>
      <c r="E255" s="34">
        <f>IF(AND($A254&lt;&gt;"",'算罪台'!$B$6&lt;&gt;"",ISNUMBER(SEARCH($A254,'算罪台'!$B$6))),1,0)</f>
        <v/>
      </c>
    </row>
    <row r="256">
      <c r="A256" s="34" t="inlineStr">
        <is>
          <t>拒绝报名字</t>
        </is>
      </c>
      <c r="B256" s="34" t="inlineStr">
        <is>
          <t>拒绝提供身份罪</t>
        </is>
      </c>
      <c r="C256" s="34">
        <f>IF(AND($A255&lt;&gt;"",'算罪台'!$B$4&lt;&gt;"",ISNUMBER(SEARCH($A255,'算罪台'!$B$4))),1,0)</f>
        <v/>
      </c>
      <c r="D256" s="34">
        <f>IF(AND($A255&lt;&gt;"",'算罪台'!$B$5&lt;&gt;"",ISNUMBER(SEARCH($A255,'算罪台'!$B$5))),1,0)</f>
        <v/>
      </c>
      <c r="E256" s="34">
        <f>IF(AND($A255&lt;&gt;"",'算罪台'!$B$6&lt;&gt;"",ISNUMBER(SEARCH($A255,'算罪台'!$B$6))),1,0)</f>
        <v/>
      </c>
    </row>
    <row r="257">
      <c r="A257" s="34" t="inlineStr">
        <is>
          <t>破坏证据</t>
        </is>
      </c>
      <c r="B257" s="34" t="inlineStr">
        <is>
          <t>破坏证据罪</t>
        </is>
      </c>
      <c r="C257" s="34">
        <f>IF(AND($A256&lt;&gt;"",'算罪台'!$B$4&lt;&gt;"",ISNUMBER(SEARCH($A256,'算罪台'!$B$4))),1,0)</f>
        <v/>
      </c>
      <c r="D257" s="34">
        <f>IF(AND($A256&lt;&gt;"",'算罪台'!$B$5&lt;&gt;"",ISNUMBER(SEARCH($A256,'算罪台'!$B$5))),1,0)</f>
        <v/>
      </c>
      <c r="E257" s="34">
        <f>IF(AND($A256&lt;&gt;"",'算罪台'!$B$6&lt;&gt;"",ISNUMBER(SEARCH($A256,'算罪台'!$B$6))),1,0)</f>
        <v/>
      </c>
    </row>
    <row r="258">
      <c r="A258" s="34" t="inlineStr">
        <is>
          <t>销毁证据</t>
        </is>
      </c>
      <c r="B258" s="34" t="inlineStr">
        <is>
          <t>破坏证据罪</t>
        </is>
      </c>
      <c r="C258" s="34">
        <f>IF(AND($A257&lt;&gt;"",'算罪台'!$B$4&lt;&gt;"",ISNUMBER(SEARCH($A257,'算罪台'!$B$4))),1,0)</f>
        <v/>
      </c>
      <c r="D258" s="34">
        <f>IF(AND($A257&lt;&gt;"",'算罪台'!$B$5&lt;&gt;"",ISNUMBER(SEARCH($A257,'算罪台'!$B$5))),1,0)</f>
        <v/>
      </c>
      <c r="E258" s="34">
        <f>IF(AND($A257&lt;&gt;"",'算罪台'!$B$6&lt;&gt;"",ISNUMBER(SEARCH($A257,'算罪台'!$B$6))),1,0)</f>
        <v/>
      </c>
    </row>
    <row r="259">
      <c r="A259" s="34" t="inlineStr">
        <is>
          <t>毁灭证据</t>
        </is>
      </c>
      <c r="B259" s="34" t="inlineStr">
        <is>
          <t>破坏证据罪</t>
        </is>
      </c>
      <c r="C259" s="34">
        <f>IF(AND($A258&lt;&gt;"",'算罪台'!$B$4&lt;&gt;"",ISNUMBER(SEARCH($A258,'算罪台'!$B$4))),1,0)</f>
        <v/>
      </c>
      <c r="D259" s="34">
        <f>IF(AND($A258&lt;&gt;"",'算罪台'!$B$5&lt;&gt;"",ISNUMBER(SEARCH($A258,'算罪台'!$B$5))),1,0)</f>
        <v/>
      </c>
      <c r="E259" s="34">
        <f>IF(AND($A258&lt;&gt;"",'算罪台'!$B$6&lt;&gt;"",ISNUMBER(SEARCH($A258,'算罪台'!$B$6))),1,0)</f>
        <v/>
      </c>
    </row>
    <row r="260">
      <c r="A260" s="34" t="inlineStr">
        <is>
          <t>篡改证据</t>
        </is>
      </c>
      <c r="B260" s="34" t="inlineStr">
        <is>
          <t>破坏证据罪</t>
        </is>
      </c>
      <c r="C260" s="34">
        <f>IF(AND($A259&lt;&gt;"",'算罪台'!$B$4&lt;&gt;"",ISNUMBER(SEARCH($A259,'算罪台'!$B$4))),1,0)</f>
        <v/>
      </c>
      <c r="D260" s="34">
        <f>IF(AND($A259&lt;&gt;"",'算罪台'!$B$5&lt;&gt;"",ISNUMBER(SEARCH($A259,'算罪台'!$B$5))),1,0)</f>
        <v/>
      </c>
      <c r="E260" s="34">
        <f>IF(AND($A259&lt;&gt;"",'算罪台'!$B$6&lt;&gt;"",ISNUMBER(SEARCH($A259,'算罪台'!$B$6))),1,0)</f>
        <v/>
      </c>
    </row>
    <row r="261">
      <c r="A261" s="34" t="inlineStr">
        <is>
          <t>伪造证据</t>
        </is>
      </c>
      <c r="B261" s="34" t="inlineStr">
        <is>
          <t>破坏证据罪</t>
        </is>
      </c>
      <c r="C261" s="34">
        <f>IF(AND($A260&lt;&gt;"",'算罪台'!$B$4&lt;&gt;"",ISNUMBER(SEARCH($A260,'算罪台'!$B$4))),1,0)</f>
        <v/>
      </c>
      <c r="D261" s="34">
        <f>IF(AND($A260&lt;&gt;"",'算罪台'!$B$5&lt;&gt;"",ISNUMBER(SEARCH($A260,'算罪台'!$B$5))),1,0)</f>
        <v/>
      </c>
      <c r="E261" s="34">
        <f>IF(AND($A260&lt;&gt;"",'算罪台'!$B$6&lt;&gt;"",ISNUMBER(SEARCH($A260,'算罪台'!$B$6))),1,0)</f>
        <v/>
      </c>
    </row>
    <row r="262">
      <c r="A262" s="34" t="inlineStr">
        <is>
          <t>藏匿证据</t>
        </is>
      </c>
      <c r="B262" s="34" t="inlineStr">
        <is>
          <t>破坏证据罪</t>
        </is>
      </c>
      <c r="C262" s="34">
        <f>IF(AND($A261&lt;&gt;"",'算罪台'!$B$4&lt;&gt;"",ISNUMBER(SEARCH($A261,'算罪台'!$B$4))),1,0)</f>
        <v/>
      </c>
      <c r="D262" s="34">
        <f>IF(AND($A261&lt;&gt;"",'算罪台'!$B$5&lt;&gt;"",ISNUMBER(SEARCH($A261,'算罪台'!$B$5))),1,0)</f>
        <v/>
      </c>
      <c r="E262" s="34">
        <f>IF(AND($A261&lt;&gt;"",'算罪台'!$B$6&lt;&gt;"",ISNUMBER(SEARCH($A261,'算罪台'!$B$6))),1,0)</f>
        <v/>
      </c>
    </row>
    <row r="263">
      <c r="A263" s="34" t="inlineStr">
        <is>
          <t>丢掉证据</t>
        </is>
      </c>
      <c r="B263" s="34" t="inlineStr">
        <is>
          <t>破坏证据罪</t>
        </is>
      </c>
      <c r="C263" s="34">
        <f>IF(AND($A262&lt;&gt;"",'算罪台'!$B$4&lt;&gt;"",ISNUMBER(SEARCH($A262,'算罪台'!$B$4))),1,0)</f>
        <v/>
      </c>
      <c r="D263" s="34">
        <f>IF(AND($A262&lt;&gt;"",'算罪台'!$B$5&lt;&gt;"",ISNUMBER(SEARCH($A262,'算罪台'!$B$5))),1,0)</f>
        <v/>
      </c>
      <c r="E263" s="34">
        <f>IF(AND($A262&lt;&gt;"",'算罪台'!$B$6&lt;&gt;"",ISNUMBER(SEARCH($A262,'算罪台'!$B$6))),1,0)</f>
        <v/>
      </c>
    </row>
    <row r="264">
      <c r="A264" s="34" t="inlineStr">
        <is>
          <t>扔掉毒品</t>
        </is>
      </c>
      <c r="B264" s="34" t="inlineStr">
        <is>
          <t>破坏证据罪</t>
        </is>
      </c>
      <c r="C264" s="34">
        <f>IF(AND($A263&lt;&gt;"",'算罪台'!$B$4&lt;&gt;"",ISNUMBER(SEARCH($A263,'算罪台'!$B$4))),1,0)</f>
        <v/>
      </c>
      <c r="D264" s="34">
        <f>IF(AND($A263&lt;&gt;"",'算罪台'!$B$5&lt;&gt;"",ISNUMBER(SEARCH($A263,'算罪台'!$B$5))),1,0)</f>
        <v/>
      </c>
      <c r="E264" s="34">
        <f>IF(AND($A263&lt;&gt;"",'算罪台'!$B$6&lt;&gt;"",ISNUMBER(SEARCH($A263,'算罪台'!$B$6))),1,0)</f>
        <v/>
      </c>
    </row>
    <row r="265">
      <c r="A265" s="34" t="inlineStr">
        <is>
          <t>冒充政府</t>
        </is>
      </c>
      <c r="B265" s="34" t="inlineStr">
        <is>
          <t>冒充政府雇员罪</t>
        </is>
      </c>
      <c r="C265" s="34">
        <f>IF(AND($A264&lt;&gt;"",'算罪台'!$B$4&lt;&gt;"",ISNUMBER(SEARCH($A264,'算罪台'!$B$4))),1,0)</f>
        <v/>
      </c>
      <c r="D265" s="34">
        <f>IF(AND($A264&lt;&gt;"",'算罪台'!$B$5&lt;&gt;"",ISNUMBER(SEARCH($A264,'算罪台'!$B$5))),1,0)</f>
        <v/>
      </c>
      <c r="E265" s="34">
        <f>IF(AND($A264&lt;&gt;"",'算罪台'!$B$6&lt;&gt;"",ISNUMBER(SEARCH($A264,'算罪台'!$B$6))),1,0)</f>
        <v/>
      </c>
    </row>
    <row r="266">
      <c r="A266" s="34" t="inlineStr">
        <is>
          <t>冒充警察</t>
        </is>
      </c>
      <c r="B266" s="34" t="inlineStr">
        <is>
          <t>冒充政府雇员罪</t>
        </is>
      </c>
      <c r="C266" s="34">
        <f>IF(AND($A265&lt;&gt;"",'算罪台'!$B$4&lt;&gt;"",ISNUMBER(SEARCH($A265,'算罪台'!$B$4))),1,0)</f>
        <v/>
      </c>
      <c r="D266" s="34">
        <f>IF(AND($A265&lt;&gt;"",'算罪台'!$B$5&lt;&gt;"",ISNUMBER(SEARCH($A265,'算罪台'!$B$5))),1,0)</f>
        <v/>
      </c>
      <c r="E266" s="34">
        <f>IF(AND($A265&lt;&gt;"",'算罪台'!$B$6&lt;&gt;"",ISNUMBER(SEARCH($A265,'算罪台'!$B$6))),1,0)</f>
        <v/>
      </c>
    </row>
    <row r="267">
      <c r="A267" s="34" t="inlineStr">
        <is>
          <t>假冒警察</t>
        </is>
      </c>
      <c r="B267" s="34" t="inlineStr">
        <is>
          <t>冒充政府雇员罪</t>
        </is>
      </c>
      <c r="C267" s="34">
        <f>IF(AND($A266&lt;&gt;"",'算罪台'!$B$4&lt;&gt;"",ISNUMBER(SEARCH($A266,'算罪台'!$B$4))),1,0)</f>
        <v/>
      </c>
      <c r="D267" s="34">
        <f>IF(AND($A266&lt;&gt;"",'算罪台'!$B$5&lt;&gt;"",ISNUMBER(SEARCH($A266,'算罪台'!$B$5))),1,0)</f>
        <v/>
      </c>
      <c r="E267" s="34">
        <f>IF(AND($A266&lt;&gt;"",'算罪台'!$B$6&lt;&gt;"",ISNUMBER(SEARCH($A266,'算罪台'!$B$6))),1,0)</f>
        <v/>
      </c>
    </row>
    <row r="268">
      <c r="A268" s="34" t="inlineStr">
        <is>
          <t>冒充公职</t>
        </is>
      </c>
      <c r="B268" s="34" t="inlineStr">
        <is>
          <t>冒充政府雇员罪</t>
        </is>
      </c>
      <c r="C268" s="34">
        <f>IF(AND($A267&lt;&gt;"",'算罪台'!$B$4&lt;&gt;"",ISNUMBER(SEARCH($A267,'算罪台'!$B$4))),1,0)</f>
        <v/>
      </c>
      <c r="D268" s="34">
        <f>IF(AND($A267&lt;&gt;"",'算罪台'!$B$5&lt;&gt;"",ISNUMBER(SEARCH($A267,'算罪台'!$B$5))),1,0)</f>
        <v/>
      </c>
      <c r="E268" s="34">
        <f>IF(AND($A267&lt;&gt;"",'算罪台'!$B$6&lt;&gt;"",ISNUMBER(SEARCH($A267,'算罪台'!$B$6))),1,0)</f>
        <v/>
      </c>
    </row>
    <row r="269">
      <c r="A269" s="34" t="inlineStr">
        <is>
          <t>假扮警察</t>
        </is>
      </c>
      <c r="B269" s="34" t="inlineStr">
        <is>
          <t>冒充政府雇员罪</t>
        </is>
      </c>
      <c r="C269" s="34">
        <f>IF(AND($A268&lt;&gt;"",'算罪台'!$B$4&lt;&gt;"",ISNUMBER(SEARCH($A268,'算罪台'!$B$4))),1,0)</f>
        <v/>
      </c>
      <c r="D269" s="34">
        <f>IF(AND($A268&lt;&gt;"",'算罪台'!$B$5&lt;&gt;"",ISNUMBER(SEARCH($A268,'算罪台'!$B$5))),1,0)</f>
        <v/>
      </c>
      <c r="E269" s="34">
        <f>IF(AND($A268&lt;&gt;"",'算罪台'!$B$6&lt;&gt;"",ISNUMBER(SEARCH($A268,'算罪台'!$B$6))),1,0)</f>
        <v/>
      </c>
    </row>
    <row r="270">
      <c r="A270" s="34" t="inlineStr">
        <is>
          <t>假冒执法</t>
        </is>
      </c>
      <c r="B270" s="34" t="inlineStr">
        <is>
          <t>冒充政府雇员罪</t>
        </is>
      </c>
      <c r="C270" s="34">
        <f>IF(AND($A269&lt;&gt;"",'算罪台'!$B$4&lt;&gt;"",ISNUMBER(SEARCH($A269,'算罪台'!$B$4))),1,0)</f>
        <v/>
      </c>
      <c r="D270" s="34">
        <f>IF(AND($A269&lt;&gt;"",'算罪台'!$B$5&lt;&gt;"",ISNUMBER(SEARCH($A269,'算罪台'!$B$5))),1,0)</f>
        <v/>
      </c>
      <c r="E270" s="34">
        <f>IF(AND($A269&lt;&gt;"",'算罪台'!$B$6&lt;&gt;"",ISNUMBER(SEARCH($A269,'算罪台'!$B$6))),1,0)</f>
        <v/>
      </c>
    </row>
    <row r="271">
      <c r="A271" s="34" t="inlineStr">
        <is>
          <t>冒充公务员</t>
        </is>
      </c>
      <c r="B271" s="34" t="inlineStr">
        <is>
          <t>冒充政府雇员罪</t>
        </is>
      </c>
      <c r="C271" s="34">
        <f>IF(AND($A270&lt;&gt;"",'算罪台'!$B$4&lt;&gt;"",ISNUMBER(SEARCH($A270,'算罪台'!$B$4))),1,0)</f>
        <v/>
      </c>
      <c r="D271" s="34">
        <f>IF(AND($A270&lt;&gt;"",'算罪台'!$B$5&lt;&gt;"",ISNUMBER(SEARCH($A270,'算罪台'!$B$5))),1,0)</f>
        <v/>
      </c>
      <c r="E271" s="34">
        <f>IF(AND($A270&lt;&gt;"",'算罪台'!$B$6&lt;&gt;"",ISNUMBER(SEARCH($A270,'算罪台'!$B$6))),1,0)</f>
        <v/>
      </c>
    </row>
    <row r="272">
      <c r="A272" s="34" t="inlineStr">
        <is>
          <t>假警察</t>
        </is>
      </c>
      <c r="B272" s="34" t="inlineStr">
        <is>
          <t>冒充政府雇员罪</t>
        </is>
      </c>
      <c r="C272" s="34">
        <f>IF(AND($A271&lt;&gt;"",'算罪台'!$B$4&lt;&gt;"",ISNUMBER(SEARCH($A271,'算罪台'!$B$4))),1,0)</f>
        <v/>
      </c>
      <c r="D272" s="34">
        <f>IF(AND($A271&lt;&gt;"",'算罪台'!$B$5&lt;&gt;"",ISNUMBER(SEARCH($A271,'算罪台'!$B$5))),1,0)</f>
        <v/>
      </c>
      <c r="E272" s="34">
        <f>IF(AND($A271&lt;&gt;"",'算罪台'!$B$6&lt;&gt;"",ISNUMBER(SEARCH($A271,'算罪台'!$B$6))),1,0)</f>
        <v/>
      </c>
    </row>
    <row r="273">
      <c r="A273" s="34" t="inlineStr">
        <is>
          <t>虚假逮捕</t>
        </is>
      </c>
      <c r="B273" s="34" t="inlineStr">
        <is>
          <t>虚假逮捕罪</t>
        </is>
      </c>
      <c r="C273" s="34">
        <f>IF(AND($A272&lt;&gt;"",'算罪台'!$B$4&lt;&gt;"",ISNUMBER(SEARCH($A272,'算罪台'!$B$4))),1,0)</f>
        <v/>
      </c>
      <c r="D273" s="34">
        <f>IF(AND($A272&lt;&gt;"",'算罪台'!$B$5&lt;&gt;"",ISNUMBER(SEARCH($A272,'算罪台'!$B$5))),1,0)</f>
        <v/>
      </c>
      <c r="E273" s="34">
        <f>IF(AND($A272&lt;&gt;"",'算罪台'!$B$6&lt;&gt;"",ISNUMBER(SEARCH($A272,'算罪台'!$B$6))),1,0)</f>
        <v/>
      </c>
    </row>
    <row r="274">
      <c r="A274" s="34" t="inlineStr">
        <is>
          <t>非法逮捕</t>
        </is>
      </c>
      <c r="B274" s="34" t="inlineStr">
        <is>
          <t>虚假逮捕罪</t>
        </is>
      </c>
      <c r="C274" s="34">
        <f>IF(AND($A273&lt;&gt;"",'算罪台'!$B$4&lt;&gt;"",ISNUMBER(SEARCH($A273,'算罪台'!$B$4))),1,0)</f>
        <v/>
      </c>
      <c r="D274" s="34">
        <f>IF(AND($A273&lt;&gt;"",'算罪台'!$B$5&lt;&gt;"",ISNUMBER(SEARCH($A273,'算罪台'!$B$5))),1,0)</f>
        <v/>
      </c>
      <c r="E274" s="34">
        <f>IF(AND($A273&lt;&gt;"",'算罪台'!$B$6&lt;&gt;"",ISNUMBER(SEARCH($A273,'算罪台'!$B$6))),1,0)</f>
        <v/>
      </c>
    </row>
    <row r="275">
      <c r="A275" s="34" t="inlineStr">
        <is>
          <t>非法扣押</t>
        </is>
      </c>
      <c r="B275" s="34" t="inlineStr">
        <is>
          <t>虚假逮捕罪</t>
        </is>
      </c>
      <c r="C275" s="34">
        <f>IF(AND($A274&lt;&gt;"",'算罪台'!$B$4&lt;&gt;"",ISNUMBER(SEARCH($A274,'算罪台'!$B$4))),1,0)</f>
        <v/>
      </c>
      <c r="D275" s="34">
        <f>IF(AND($A274&lt;&gt;"",'算罪台'!$B$5&lt;&gt;"",ISNUMBER(SEARCH($A274,'算罪台'!$B$5))),1,0)</f>
        <v/>
      </c>
      <c r="E275" s="34">
        <f>IF(AND($A274&lt;&gt;"",'算罪台'!$B$6&lt;&gt;"",ISNUMBER(SEARCH($A274,'算罪台'!$B$6))),1,0)</f>
        <v/>
      </c>
    </row>
    <row r="276">
      <c r="A276" s="34" t="inlineStr">
        <is>
          <t>无依据逮捕</t>
        </is>
      </c>
      <c r="B276" s="34" t="inlineStr">
        <is>
          <t>虚假逮捕罪</t>
        </is>
      </c>
      <c r="C276" s="34">
        <f>IF(AND($A275&lt;&gt;"",'算罪台'!$B$4&lt;&gt;"",ISNUMBER(SEARCH($A275,'算罪台'!$B$4))),1,0)</f>
        <v/>
      </c>
      <c r="D276" s="34">
        <f>IF(AND($A275&lt;&gt;"",'算罪台'!$B$5&lt;&gt;"",ISNUMBER(SEARCH($A275,'算罪台'!$B$5))),1,0)</f>
        <v/>
      </c>
      <c r="E276" s="34">
        <f>IF(AND($A275&lt;&gt;"",'算罪台'!$B$6&lt;&gt;"",ISNUMBER(SEARCH($A275,'算罪台'!$B$6))),1,0)</f>
        <v/>
      </c>
    </row>
    <row r="277">
      <c r="A277" s="34" t="inlineStr">
        <is>
          <t>乱抓人</t>
        </is>
      </c>
      <c r="B277" s="34" t="inlineStr">
        <is>
          <t>虚假逮捕罪</t>
        </is>
      </c>
      <c r="C277" s="34">
        <f>IF(AND($A276&lt;&gt;"",'算罪台'!$B$4&lt;&gt;"",ISNUMBER(SEARCH($A276,'算罪台'!$B$4))),1,0)</f>
        <v/>
      </c>
      <c r="D277" s="34">
        <f>IF(AND($A276&lt;&gt;"",'算罪台'!$B$5&lt;&gt;"",ISNUMBER(SEARCH($A276,'算罪台'!$B$5))),1,0)</f>
        <v/>
      </c>
      <c r="E277" s="34">
        <f>IF(AND($A276&lt;&gt;"",'算罪台'!$B$6&lt;&gt;"",ISNUMBER(SEARCH($A276,'算罪台'!$B$6))),1,0)</f>
        <v/>
      </c>
    </row>
    <row r="278">
      <c r="A278" s="34" t="inlineStr">
        <is>
          <t>伪证</t>
        </is>
      </c>
      <c r="B278" s="34" t="inlineStr">
        <is>
          <t>伪证罪</t>
        </is>
      </c>
      <c r="C278" s="34">
        <f>IF(AND($A277&lt;&gt;"",'算罪台'!$B$4&lt;&gt;"",ISNUMBER(SEARCH($A277,'算罪台'!$B$4))),1,0)</f>
        <v/>
      </c>
      <c r="D278" s="34">
        <f>IF(AND($A277&lt;&gt;"",'算罪台'!$B$5&lt;&gt;"",ISNUMBER(SEARCH($A277,'算罪台'!$B$5))),1,0)</f>
        <v/>
      </c>
      <c r="E278" s="34">
        <f>IF(AND($A277&lt;&gt;"",'算罪台'!$B$6&lt;&gt;"",ISNUMBER(SEARCH($A277,'算罪台'!$B$6))),1,0)</f>
        <v/>
      </c>
    </row>
    <row r="279">
      <c r="A279" s="34" t="inlineStr">
        <is>
          <t>作伪证</t>
        </is>
      </c>
      <c r="B279" s="34" t="inlineStr">
        <is>
          <t>伪证罪</t>
        </is>
      </c>
      <c r="C279" s="34">
        <f>IF(AND($A278&lt;&gt;"",'算罪台'!$B$4&lt;&gt;"",ISNUMBER(SEARCH($A278,'算罪台'!$B$4))),1,0)</f>
        <v/>
      </c>
      <c r="D279" s="34">
        <f>IF(AND($A278&lt;&gt;"",'算罪台'!$B$5&lt;&gt;"",ISNUMBER(SEARCH($A278,'算罪台'!$B$5))),1,0)</f>
        <v/>
      </c>
      <c r="E279" s="34">
        <f>IF(AND($A278&lt;&gt;"",'算罪台'!$B$6&lt;&gt;"",ISNUMBER(SEARCH($A278,'算罪台'!$B$6))),1,0)</f>
        <v/>
      </c>
    </row>
    <row r="280">
      <c r="A280" s="34" t="inlineStr">
        <is>
          <t>虚假证言</t>
        </is>
      </c>
      <c r="B280" s="34" t="inlineStr">
        <is>
          <t>伪证罪</t>
        </is>
      </c>
      <c r="C280" s="34">
        <f>IF(AND($A279&lt;&gt;"",'算罪台'!$B$4&lt;&gt;"",ISNUMBER(SEARCH($A279,'算罪台'!$B$4))),1,0)</f>
        <v/>
      </c>
      <c r="D280" s="34">
        <f>IF(AND($A279&lt;&gt;"",'算罪台'!$B$5&lt;&gt;"",ISNUMBER(SEARCH($A279,'算罪台'!$B$5))),1,0)</f>
        <v/>
      </c>
      <c r="E280" s="34">
        <f>IF(AND($A279&lt;&gt;"",'算罪台'!$B$6&lt;&gt;"",ISNUMBER(SEARCH($A279,'算罪台'!$B$6))),1,0)</f>
        <v/>
      </c>
    </row>
    <row r="281">
      <c r="A281" s="34" t="inlineStr">
        <is>
          <t>假证供</t>
        </is>
      </c>
      <c r="B281" s="34" t="inlineStr">
        <is>
          <t>伪证罪</t>
        </is>
      </c>
      <c r="C281" s="34">
        <f>IF(AND($A280&lt;&gt;"",'算罪台'!$B$4&lt;&gt;"",ISNUMBER(SEARCH($A280,'算罪台'!$B$4))),1,0)</f>
        <v/>
      </c>
      <c r="D281" s="34">
        <f>IF(AND($A280&lt;&gt;"",'算罪台'!$B$5&lt;&gt;"",ISNUMBER(SEARCH($A280,'算罪台'!$B$5))),1,0)</f>
        <v/>
      </c>
      <c r="E281" s="34">
        <f>IF(AND($A280&lt;&gt;"",'算罪台'!$B$6&lt;&gt;"",ISNUMBER(SEARCH($A280,'算罪台'!$B$6))),1,0)</f>
        <v/>
      </c>
    </row>
    <row r="282">
      <c r="A282" s="34" t="inlineStr">
        <is>
          <t>提供假证</t>
        </is>
      </c>
      <c r="B282" s="34" t="inlineStr">
        <is>
          <t>伪证罪</t>
        </is>
      </c>
      <c r="C282" s="34">
        <f>IF(AND($A281&lt;&gt;"",'算罪台'!$B$4&lt;&gt;"",ISNUMBER(SEARCH($A281,'算罪台'!$B$4))),1,0)</f>
        <v/>
      </c>
      <c r="D282" s="34">
        <f>IF(AND($A281&lt;&gt;"",'算罪台'!$B$5&lt;&gt;"",ISNUMBER(SEARCH($A281,'算罪台'!$B$5))),1,0)</f>
        <v/>
      </c>
      <c r="E282" s="34">
        <f>IF(AND($A281&lt;&gt;"",'算罪台'!$B$6&lt;&gt;"",ISNUMBER(SEARCH($A281,'算罪台'!$B$6))),1,0)</f>
        <v/>
      </c>
    </row>
    <row r="283">
      <c r="A283" s="34" t="inlineStr">
        <is>
          <t>撒谎作证</t>
        </is>
      </c>
      <c r="B283" s="34" t="inlineStr">
        <is>
          <t>伪证罪</t>
        </is>
      </c>
      <c r="C283" s="34">
        <f>IF(AND($A282&lt;&gt;"",'算罪台'!$B$4&lt;&gt;"",ISNUMBER(SEARCH($A282,'算罪台'!$B$4))),1,0)</f>
        <v/>
      </c>
      <c r="D283" s="34">
        <f>IF(AND($A282&lt;&gt;"",'算罪台'!$B$5&lt;&gt;"",ISNUMBER(SEARCH($A282,'算罪台'!$B$5))),1,0)</f>
        <v/>
      </c>
      <c r="E283" s="34">
        <f>IF(AND($A282&lt;&gt;"",'算罪台'!$B$6&lt;&gt;"",ISNUMBER(SEARCH($A282,'算罪台'!$B$6))),1,0)</f>
        <v/>
      </c>
    </row>
    <row r="284">
      <c r="A284" s="34" t="inlineStr">
        <is>
          <t>冒充律师</t>
        </is>
      </c>
      <c r="B284" s="34" t="inlineStr">
        <is>
          <t>冒充律师罪</t>
        </is>
      </c>
      <c r="C284" s="34">
        <f>IF(AND($A283&lt;&gt;"",'算罪台'!$B$4&lt;&gt;"",ISNUMBER(SEARCH($A283,'算罪台'!$B$4))),1,0)</f>
        <v/>
      </c>
      <c r="D284" s="34">
        <f>IF(AND($A283&lt;&gt;"",'算罪台'!$B$5&lt;&gt;"",ISNUMBER(SEARCH($A283,'算罪台'!$B$5))),1,0)</f>
        <v/>
      </c>
      <c r="E284" s="34">
        <f>IF(AND($A283&lt;&gt;"",'算罪台'!$B$6&lt;&gt;"",ISNUMBER(SEARCH($A283,'算罪台'!$B$6))),1,0)</f>
        <v/>
      </c>
    </row>
    <row r="285">
      <c r="A285" s="34" t="inlineStr">
        <is>
          <t>假冒律师</t>
        </is>
      </c>
      <c r="B285" s="34" t="inlineStr">
        <is>
          <t>冒充律师罪</t>
        </is>
      </c>
      <c r="C285" s="34">
        <f>IF(AND($A284&lt;&gt;"",'算罪台'!$B$4&lt;&gt;"",ISNUMBER(SEARCH($A284,'算罪台'!$B$4))),1,0)</f>
        <v/>
      </c>
      <c r="D285" s="34">
        <f>IF(AND($A284&lt;&gt;"",'算罪台'!$B$5&lt;&gt;"",ISNUMBER(SEARCH($A284,'算罪台'!$B$5))),1,0)</f>
        <v/>
      </c>
      <c r="E285" s="34">
        <f>IF(AND($A284&lt;&gt;"",'算罪台'!$B$6&lt;&gt;"",ISNUMBER(SEARCH($A284,'算罪台'!$B$6))),1,0)</f>
        <v/>
      </c>
    </row>
    <row r="286">
      <c r="A286" s="34" t="inlineStr">
        <is>
          <t>假扮律师</t>
        </is>
      </c>
      <c r="B286" s="34" t="inlineStr">
        <is>
          <t>冒充律师罪</t>
        </is>
      </c>
      <c r="C286" s="34">
        <f>IF(AND($A285&lt;&gt;"",'算罪台'!$B$4&lt;&gt;"",ISNUMBER(SEARCH($A285,'算罪台'!$B$4))),1,0)</f>
        <v/>
      </c>
      <c r="D286" s="34">
        <f>IF(AND($A285&lt;&gt;"",'算罪台'!$B$5&lt;&gt;"",ISNUMBER(SEARCH($A285,'算罪台'!$B$5))),1,0)</f>
        <v/>
      </c>
      <c r="E286" s="34">
        <f>IF(AND($A285&lt;&gt;"",'算罪台'!$B$6&lt;&gt;"",ISNUMBER(SEARCH($A285,'算罪台'!$B$6))),1,0)</f>
        <v/>
      </c>
    </row>
    <row r="287">
      <c r="A287" s="34" t="inlineStr">
        <is>
          <t>妨碍公务</t>
        </is>
      </c>
      <c r="B287" s="34" t="inlineStr">
        <is>
          <t>妨碍政府雇员执行公务罪</t>
        </is>
      </c>
      <c r="C287" s="34">
        <f>IF(AND($A286&lt;&gt;"",'算罪台'!$B$4&lt;&gt;"",ISNUMBER(SEARCH($A286,'算罪台'!$B$4))),1,0)</f>
        <v/>
      </c>
      <c r="D287" s="34">
        <f>IF(AND($A286&lt;&gt;"",'算罪台'!$B$5&lt;&gt;"",ISNUMBER(SEARCH($A286,'算罪台'!$B$5))),1,0)</f>
        <v/>
      </c>
      <c r="E287" s="34">
        <f>IF(AND($A286&lt;&gt;"",'算罪台'!$B$6&lt;&gt;"",ISNUMBER(SEARCH($A286,'算罪台'!$B$6))),1,0)</f>
        <v/>
      </c>
    </row>
    <row r="288">
      <c r="A288" s="34" t="inlineStr">
        <is>
          <t>阻碍执法</t>
        </is>
      </c>
      <c r="B288" s="34" t="inlineStr">
        <is>
          <t>妨碍政府雇员执行公务罪</t>
        </is>
      </c>
      <c r="C288" s="34">
        <f>IF(AND($A287&lt;&gt;"",'算罪台'!$B$4&lt;&gt;"",ISNUMBER(SEARCH($A287,'算罪台'!$B$4))),1,0)</f>
        <v/>
      </c>
      <c r="D288" s="34">
        <f>IF(AND($A287&lt;&gt;"",'算罪台'!$B$5&lt;&gt;"",ISNUMBER(SEARCH($A287,'算罪台'!$B$5))),1,0)</f>
        <v/>
      </c>
      <c r="E288" s="34">
        <f>IF(AND($A287&lt;&gt;"",'算罪台'!$B$6&lt;&gt;"",ISNUMBER(SEARCH($A287,'算罪台'!$B$6))),1,0)</f>
        <v/>
      </c>
    </row>
    <row r="289">
      <c r="A289" s="34" t="inlineStr">
        <is>
          <t>妨碍执法</t>
        </is>
      </c>
      <c r="B289" s="34" t="inlineStr">
        <is>
          <t>妨碍政府雇员执行公务罪</t>
        </is>
      </c>
      <c r="C289" s="34">
        <f>IF(AND($A288&lt;&gt;"",'算罪台'!$B$4&lt;&gt;"",ISNUMBER(SEARCH($A288,'算罪台'!$B$4))),1,0)</f>
        <v/>
      </c>
      <c r="D289" s="34">
        <f>IF(AND($A288&lt;&gt;"",'算罪台'!$B$5&lt;&gt;"",ISNUMBER(SEARCH($A288,'算罪台'!$B$5))),1,0)</f>
        <v/>
      </c>
      <c r="E289" s="34">
        <f>IF(AND($A288&lt;&gt;"",'算罪台'!$B$6&lt;&gt;"",ISNUMBER(SEARCH($A288,'算罪台'!$B$6))),1,0)</f>
        <v/>
      </c>
    </row>
    <row r="290">
      <c r="A290" s="34" t="inlineStr">
        <is>
          <t>阻挠执法</t>
        </is>
      </c>
      <c r="B290" s="34" t="inlineStr">
        <is>
          <t>妨碍政府雇员执行公务罪</t>
        </is>
      </c>
      <c r="C290" s="34">
        <f>IF(AND($A289&lt;&gt;"",'算罪台'!$B$4&lt;&gt;"",ISNUMBER(SEARCH($A289,'算罪台'!$B$4))),1,0)</f>
        <v/>
      </c>
      <c r="D290" s="34">
        <f>IF(AND($A289&lt;&gt;"",'算罪台'!$B$5&lt;&gt;"",ISNUMBER(SEARCH($A289,'算罪台'!$B$5))),1,0)</f>
        <v/>
      </c>
      <c r="E290" s="34">
        <f>IF(AND($A289&lt;&gt;"",'算罪台'!$B$6&lt;&gt;"",ISNUMBER(SEARCH($A289,'算罪台'!$B$6))),1,0)</f>
        <v/>
      </c>
    </row>
    <row r="291">
      <c r="A291" s="34" t="inlineStr">
        <is>
          <t>妨碍政府雇员</t>
        </is>
      </c>
      <c r="B291" s="34" t="inlineStr">
        <is>
          <t>妨碍政府雇员执行公务罪</t>
        </is>
      </c>
      <c r="C291" s="34">
        <f>IF(AND($A290&lt;&gt;"",'算罪台'!$B$4&lt;&gt;"",ISNUMBER(SEARCH($A290,'算罪台'!$B$4))),1,0)</f>
        <v/>
      </c>
      <c r="D291" s="34">
        <f>IF(AND($A290&lt;&gt;"",'算罪台'!$B$5&lt;&gt;"",ISNUMBER(SEARCH($A290,'算罪台'!$B$5))),1,0)</f>
        <v/>
      </c>
      <c r="E291" s="34">
        <f>IF(AND($A290&lt;&gt;"",'算罪台'!$B$6&lt;&gt;"",ISNUMBER(SEARCH($A290,'算罪台'!$B$6))),1,0)</f>
        <v/>
      </c>
    </row>
    <row r="292">
      <c r="A292" s="34" t="inlineStr">
        <is>
          <t>阻碍救援</t>
        </is>
      </c>
      <c r="B292" s="34" t="inlineStr">
        <is>
          <t>妨碍政府雇员执行公务罪</t>
        </is>
      </c>
      <c r="C292" s="34">
        <f>IF(AND($A291&lt;&gt;"",'算罪台'!$B$4&lt;&gt;"",ISNUMBER(SEARCH($A291,'算罪台'!$B$4))),1,0)</f>
        <v/>
      </c>
      <c r="D292" s="34">
        <f>IF(AND($A291&lt;&gt;"",'算罪台'!$B$5&lt;&gt;"",ISNUMBER(SEARCH($A291,'算罪台'!$B$5))),1,0)</f>
        <v/>
      </c>
      <c r="E292" s="34">
        <f>IF(AND($A291&lt;&gt;"",'算罪台'!$B$6&lt;&gt;"",ISNUMBER(SEARCH($A291,'算罪台'!$B$6))),1,0)</f>
        <v/>
      </c>
    </row>
    <row r="293">
      <c r="A293" s="34" t="inlineStr">
        <is>
          <t>阻碍消防</t>
        </is>
      </c>
      <c r="B293" s="34" t="inlineStr">
        <is>
          <t>妨碍政府雇员执行公务罪</t>
        </is>
      </c>
      <c r="C293" s="34">
        <f>IF(AND($A292&lt;&gt;"",'算罪台'!$B$4&lt;&gt;"",ISNUMBER(SEARCH($A292,'算罪台'!$B$4))),1,0)</f>
        <v/>
      </c>
      <c r="D293" s="34">
        <f>IF(AND($A292&lt;&gt;"",'算罪台'!$B$5&lt;&gt;"",ISNUMBER(SEARCH($A292,'算罪台'!$B$5))),1,0)</f>
        <v/>
      </c>
      <c r="E293" s="34">
        <f>IF(AND($A292&lt;&gt;"",'算罪台'!$B$6&lt;&gt;"",ISNUMBER(SEARCH($A292,'算罪台'!$B$6))),1,0)</f>
        <v/>
      </c>
    </row>
    <row r="294">
      <c r="A294" s="34" t="inlineStr">
        <is>
          <t>挡着警察</t>
        </is>
      </c>
      <c r="B294" s="34" t="inlineStr">
        <is>
          <t>妨碍政府雇员执行公务罪</t>
        </is>
      </c>
      <c r="C294" s="34">
        <f>IF(AND($A293&lt;&gt;"",'算罪台'!$B$4&lt;&gt;"",ISNUMBER(SEARCH($A293,'算罪台'!$B$4))),1,0)</f>
        <v/>
      </c>
      <c r="D294" s="34">
        <f>IF(AND($A293&lt;&gt;"",'算罪台'!$B$5&lt;&gt;"",ISNUMBER(SEARCH($A293,'算罪台'!$B$5))),1,0)</f>
        <v/>
      </c>
      <c r="E294" s="34">
        <f>IF(AND($A293&lt;&gt;"",'算罪台'!$B$6&lt;&gt;"",ISNUMBER(SEARCH($A293,'算罪台'!$B$6))),1,0)</f>
        <v/>
      </c>
    </row>
    <row r="295">
      <c r="A295" s="34" t="inlineStr">
        <is>
          <t>干扰执法</t>
        </is>
      </c>
      <c r="B295" s="34" t="inlineStr">
        <is>
          <t>妨碍政府雇员执行公务罪</t>
        </is>
      </c>
      <c r="C295" s="34">
        <f>IF(AND($A294&lt;&gt;"",'算罪台'!$B$4&lt;&gt;"",ISNUMBER(SEARCH($A294,'算罪台'!$B$4))),1,0)</f>
        <v/>
      </c>
      <c r="D295" s="34">
        <f>IF(AND($A294&lt;&gt;"",'算罪台'!$B$5&lt;&gt;"",ISNUMBER(SEARCH($A294,'算罪台'!$B$5))),1,0)</f>
        <v/>
      </c>
      <c r="E295" s="34">
        <f>IF(AND($A294&lt;&gt;"",'算罪台'!$B$6&lt;&gt;"",ISNUMBER(SEARCH($A294,'算罪台'!$B$6))),1,0)</f>
        <v/>
      </c>
    </row>
    <row r="296">
      <c r="A296" s="34" t="inlineStr">
        <is>
          <t>阻拦警察</t>
        </is>
      </c>
      <c r="B296" s="34" t="inlineStr">
        <is>
          <t>妨碍政府雇员执行公务罪</t>
        </is>
      </c>
      <c r="C296" s="34">
        <f>IF(AND($A295&lt;&gt;"",'算罪台'!$B$4&lt;&gt;"",ISNUMBER(SEARCH($A295,'算罪台'!$B$4))),1,0)</f>
        <v/>
      </c>
      <c r="D296" s="34">
        <f>IF(AND($A295&lt;&gt;"",'算罪台'!$B$5&lt;&gt;"",ISNUMBER(SEARCH($A295,'算罪台'!$B$5))),1,0)</f>
        <v/>
      </c>
      <c r="E296" s="34">
        <f>IF(AND($A295&lt;&gt;"",'算罪台'!$B$6&lt;&gt;"",ISNUMBER(SEARCH($A295,'算罪台'!$B$6))),1,0)</f>
        <v/>
      </c>
    </row>
    <row r="297">
      <c r="A297" s="34" t="inlineStr">
        <is>
          <t>阻碍医护</t>
        </is>
      </c>
      <c r="B297" s="34" t="inlineStr">
        <is>
          <t>妨碍政府雇员执行公务罪</t>
        </is>
      </c>
      <c r="C297" s="34">
        <f>IF(AND($A296&lt;&gt;"",'算罪台'!$B$4&lt;&gt;"",ISNUMBER(SEARCH($A296,'算罪台'!$B$4))),1,0)</f>
        <v/>
      </c>
      <c r="D297" s="34">
        <f>IF(AND($A296&lt;&gt;"",'算罪台'!$B$5&lt;&gt;"",ISNUMBER(SEARCH($A296,'算罪台'!$B$5))),1,0)</f>
        <v/>
      </c>
      <c r="E297" s="34">
        <f>IF(AND($A296&lt;&gt;"",'算罪台'!$B$6&lt;&gt;"",ISNUMBER(SEARCH($A296,'算罪台'!$B$6))),1,0)</f>
        <v/>
      </c>
    </row>
    <row r="298">
      <c r="A298" s="34" t="inlineStr">
        <is>
          <t>拒捕</t>
        </is>
      </c>
      <c r="B298" s="34" t="inlineStr">
        <is>
          <t>拒捕罪</t>
        </is>
      </c>
      <c r="C298" s="34">
        <f>IF(AND($A297&lt;&gt;"",'算罪台'!$B$4&lt;&gt;"",ISNUMBER(SEARCH($A297,'算罪台'!$B$4))),1,0)</f>
        <v/>
      </c>
      <c r="D298" s="34">
        <f>IF(AND($A297&lt;&gt;"",'算罪台'!$B$5&lt;&gt;"",ISNUMBER(SEARCH($A297,'算罪台'!$B$5))),1,0)</f>
        <v/>
      </c>
      <c r="E298" s="34">
        <f>IF(AND($A297&lt;&gt;"",'算罪台'!$B$6&lt;&gt;"",ISNUMBER(SEARCH($A297,'算罪台'!$B$6))),1,0)</f>
        <v/>
      </c>
    </row>
    <row r="299">
      <c r="A299" s="34" t="inlineStr">
        <is>
          <t>拒绝逮捕</t>
        </is>
      </c>
      <c r="B299" s="34" t="inlineStr">
        <is>
          <t>拒捕罪</t>
        </is>
      </c>
      <c r="C299" s="34">
        <f>IF(AND($A298&lt;&gt;"",'算罪台'!$B$4&lt;&gt;"",ISNUMBER(SEARCH($A298,'算罪台'!$B$4))),1,0)</f>
        <v/>
      </c>
      <c r="D299" s="34">
        <f>IF(AND($A298&lt;&gt;"",'算罪台'!$B$5&lt;&gt;"",ISNUMBER(SEARCH($A298,'算罪台'!$B$5))),1,0)</f>
        <v/>
      </c>
      <c r="E299" s="34">
        <f>IF(AND($A298&lt;&gt;"",'算罪台'!$B$6&lt;&gt;"",ISNUMBER(SEARCH($A298,'算罪台'!$B$6))),1,0)</f>
        <v/>
      </c>
    </row>
    <row r="300">
      <c r="A300" s="34" t="inlineStr">
        <is>
          <t>抗拒逮捕</t>
        </is>
      </c>
      <c r="B300" s="34" t="inlineStr">
        <is>
          <t>拒捕罪</t>
        </is>
      </c>
      <c r="C300" s="34">
        <f>IF(AND($A299&lt;&gt;"",'算罪台'!$B$4&lt;&gt;"",ISNUMBER(SEARCH($A299,'算罪台'!$B$4))),1,0)</f>
        <v/>
      </c>
      <c r="D300" s="34">
        <f>IF(AND($A299&lt;&gt;"",'算罪台'!$B$5&lt;&gt;"",ISNUMBER(SEARCH($A299,'算罪台'!$B$5))),1,0)</f>
        <v/>
      </c>
      <c r="E300" s="34">
        <f>IF(AND($A299&lt;&gt;"",'算罪台'!$B$6&lt;&gt;"",ISNUMBER(SEARCH($A299,'算罪台'!$B$6))),1,0)</f>
        <v/>
      </c>
    </row>
    <row r="301">
      <c r="A301" s="34" t="inlineStr">
        <is>
          <t>拒绝被捕</t>
        </is>
      </c>
      <c r="B301" s="34" t="inlineStr">
        <is>
          <t>拒捕罪</t>
        </is>
      </c>
      <c r="C301" s="34">
        <f>IF(AND($A300&lt;&gt;"",'算罪台'!$B$4&lt;&gt;"",ISNUMBER(SEARCH($A300,'算罪台'!$B$4))),1,0)</f>
        <v/>
      </c>
      <c r="D301" s="34">
        <f>IF(AND($A300&lt;&gt;"",'算罪台'!$B$5&lt;&gt;"",ISNUMBER(SEARCH($A300,'算罪台'!$B$5))),1,0)</f>
        <v/>
      </c>
      <c r="E301" s="34">
        <f>IF(AND($A300&lt;&gt;"",'算罪台'!$B$6&lt;&gt;"",ISNUMBER(SEARCH($A300,'算罪台'!$B$6))),1,0)</f>
        <v/>
      </c>
    </row>
    <row r="302">
      <c r="A302" s="34" t="inlineStr">
        <is>
          <t>反抗逮捕</t>
        </is>
      </c>
      <c r="B302" s="34" t="inlineStr">
        <is>
          <t>拒捕罪</t>
        </is>
      </c>
      <c r="C302" s="34">
        <f>IF(AND($A301&lt;&gt;"",'算罪台'!$B$4&lt;&gt;"",ISNUMBER(SEARCH($A301,'算罪台'!$B$4))),1,0)</f>
        <v/>
      </c>
      <c r="D302" s="34">
        <f>IF(AND($A301&lt;&gt;"",'算罪台'!$B$5&lt;&gt;"",ISNUMBER(SEARCH($A301,'算罪台'!$B$5))),1,0)</f>
        <v/>
      </c>
      <c r="E302" s="34">
        <f>IF(AND($A301&lt;&gt;"",'算罪台'!$B$6&lt;&gt;"",ISNUMBER(SEARCH($A301,'算罪台'!$B$6))),1,0)</f>
        <v/>
      </c>
    </row>
    <row r="303">
      <c r="A303" s="34" t="inlineStr">
        <is>
          <t>不让铐</t>
        </is>
      </c>
      <c r="B303" s="34" t="inlineStr">
        <is>
          <t>拒捕罪</t>
        </is>
      </c>
      <c r="C303" s="34">
        <f>IF(AND($A302&lt;&gt;"",'算罪台'!$B$4&lt;&gt;"",ISNUMBER(SEARCH($A302,'算罪台'!$B$4))),1,0)</f>
        <v/>
      </c>
      <c r="D303" s="34">
        <f>IF(AND($A302&lt;&gt;"",'算罪台'!$B$5&lt;&gt;"",ISNUMBER(SEARCH($A302,'算罪台'!$B$5))),1,0)</f>
        <v/>
      </c>
      <c r="E303" s="34">
        <f>IF(AND($A302&lt;&gt;"",'算罪台'!$B$6&lt;&gt;"",ISNUMBER(SEARCH($A302,'算罪台'!$B$6))),1,0)</f>
        <v/>
      </c>
    </row>
    <row r="304">
      <c r="A304" s="34" t="inlineStr">
        <is>
          <t>挣脱</t>
        </is>
      </c>
      <c r="B304" s="34" t="inlineStr">
        <is>
          <t>拒捕罪</t>
        </is>
      </c>
      <c r="C304" s="34">
        <f>IF(AND($A303&lt;&gt;"",'算罪台'!$B$4&lt;&gt;"",ISNUMBER(SEARCH($A303,'算罪台'!$B$4))),1,0)</f>
        <v/>
      </c>
      <c r="D304" s="34">
        <f>IF(AND($A303&lt;&gt;"",'算罪台'!$B$5&lt;&gt;"",ISNUMBER(SEARCH($A303,'算罪台'!$B$5))),1,0)</f>
        <v/>
      </c>
      <c r="E304" s="34">
        <f>IF(AND($A303&lt;&gt;"",'算罪台'!$B$6&lt;&gt;"",ISNUMBER(SEARCH($A303,'算罪台'!$B$6))),1,0)</f>
        <v/>
      </c>
    </row>
    <row r="305">
      <c r="A305" s="34" t="inlineStr">
        <is>
          <t>反抗抓捕</t>
        </is>
      </c>
      <c r="B305" s="34" t="inlineStr">
        <is>
          <t>拒捕罪</t>
        </is>
      </c>
      <c r="C305" s="34">
        <f>IF(AND($A304&lt;&gt;"",'算罪台'!$B$4&lt;&gt;"",ISNUMBER(SEARCH($A304,'算罪台'!$B$4))),1,0)</f>
        <v/>
      </c>
      <c r="D305" s="34">
        <f>IF(AND($A304&lt;&gt;"",'算罪台'!$B$5&lt;&gt;"",ISNUMBER(SEARCH($A304,'算罪台'!$B$5))),1,0)</f>
        <v/>
      </c>
      <c r="E305" s="34">
        <f>IF(AND($A304&lt;&gt;"",'算罪台'!$B$6&lt;&gt;"",ISNUMBER(SEARCH($A304,'算罪台'!$B$6))),1,0)</f>
        <v/>
      </c>
    </row>
    <row r="306">
      <c r="A306" s="34" t="inlineStr">
        <is>
          <t>逃避羁押</t>
        </is>
      </c>
      <c r="B306" s="34" t="inlineStr">
        <is>
          <t>逃避羁押罪</t>
        </is>
      </c>
      <c r="C306" s="34">
        <f>IF(AND($A305&lt;&gt;"",'算罪台'!$B$4&lt;&gt;"",ISNUMBER(SEARCH($A305,'算罪台'!$B$4))),1,0)</f>
        <v/>
      </c>
      <c r="D306" s="34">
        <f>IF(AND($A305&lt;&gt;"",'算罪台'!$B$5&lt;&gt;"",ISNUMBER(SEARCH($A305,'算罪台'!$B$5))),1,0)</f>
        <v/>
      </c>
      <c r="E306" s="34">
        <f>IF(AND($A305&lt;&gt;"",'算罪台'!$B$6&lt;&gt;"",ISNUMBER(SEARCH($A305,'算罪台'!$B$6))),1,0)</f>
        <v/>
      </c>
    </row>
    <row r="307">
      <c r="A307" s="34" t="inlineStr">
        <is>
          <t>逃脱</t>
        </is>
      </c>
      <c r="B307" s="34" t="inlineStr">
        <is>
          <t>逃避羁押罪</t>
        </is>
      </c>
      <c r="C307" s="34">
        <f>IF(AND($A306&lt;&gt;"",'算罪台'!$B$4&lt;&gt;"",ISNUMBER(SEARCH($A306,'算罪台'!$B$4))),1,0)</f>
        <v/>
      </c>
      <c r="D307" s="34">
        <f>IF(AND($A306&lt;&gt;"",'算罪台'!$B$5&lt;&gt;"",ISNUMBER(SEARCH($A306,'算罪台'!$B$5))),1,0)</f>
        <v/>
      </c>
      <c r="E307" s="34">
        <f>IF(AND($A306&lt;&gt;"",'算罪台'!$B$6&lt;&gt;"",ISNUMBER(SEARCH($A306,'算罪台'!$B$6))),1,0)</f>
        <v/>
      </c>
    </row>
    <row r="308">
      <c r="A308" s="34" t="inlineStr">
        <is>
          <t>越狱</t>
        </is>
      </c>
      <c r="B308" s="34" t="inlineStr">
        <is>
          <t>逃避羁押罪</t>
        </is>
      </c>
      <c r="C308" s="34">
        <f>IF(AND($A307&lt;&gt;"",'算罪台'!$B$4&lt;&gt;"",ISNUMBER(SEARCH($A307,'算罪台'!$B$4))),1,0)</f>
        <v/>
      </c>
      <c r="D308" s="34">
        <f>IF(AND($A307&lt;&gt;"",'算罪台'!$B$5&lt;&gt;"",ISNUMBER(SEARCH($A307,'算罪台'!$B$5))),1,0)</f>
        <v/>
      </c>
      <c r="E308" s="34">
        <f>IF(AND($A307&lt;&gt;"",'算罪台'!$B$6&lt;&gt;"",ISNUMBER(SEARCH($A307,'算罪台'!$B$6))),1,0)</f>
        <v/>
      </c>
    </row>
    <row r="309">
      <c r="A309" s="34" t="inlineStr">
        <is>
          <t>逃跑</t>
        </is>
      </c>
      <c r="B309" s="34" t="inlineStr">
        <is>
          <t>逃避羁押罪</t>
        </is>
      </c>
      <c r="C309" s="34">
        <f>IF(AND($A308&lt;&gt;"",'算罪台'!$B$4&lt;&gt;"",ISNUMBER(SEARCH($A308,'算罪台'!$B$4))),1,0)</f>
        <v/>
      </c>
      <c r="D309" s="34">
        <f>IF(AND($A308&lt;&gt;"",'算罪台'!$B$5&lt;&gt;"",ISNUMBER(SEARCH($A308,'算罪台'!$B$5))),1,0)</f>
        <v/>
      </c>
      <c r="E309" s="34">
        <f>IF(AND($A308&lt;&gt;"",'算罪台'!$B$6&lt;&gt;"",ISNUMBER(SEARCH($A308,'算罪台'!$B$6))),1,0)</f>
        <v/>
      </c>
    </row>
    <row r="310">
      <c r="A310" s="34" t="inlineStr">
        <is>
          <t>脱逃</t>
        </is>
      </c>
      <c r="B310" s="34" t="inlineStr">
        <is>
          <t>逃避羁押罪</t>
        </is>
      </c>
      <c r="C310" s="34">
        <f>IF(AND($A309&lt;&gt;"",'算罪台'!$B$4&lt;&gt;"",ISNUMBER(SEARCH($A309,'算罪台'!$B$4))),1,0)</f>
        <v/>
      </c>
      <c r="D310" s="34">
        <f>IF(AND($A309&lt;&gt;"",'算罪台'!$B$5&lt;&gt;"",ISNUMBER(SEARCH($A309,'算罪台'!$B$5))),1,0)</f>
        <v/>
      </c>
      <c r="E310" s="34">
        <f>IF(AND($A309&lt;&gt;"",'算罪台'!$B$6&lt;&gt;"",ISNUMBER(SEARCH($A309,'算罪台'!$B$6))),1,0)</f>
        <v/>
      </c>
    </row>
    <row r="311">
      <c r="A311" s="34" t="inlineStr">
        <is>
          <t>逃离监管</t>
        </is>
      </c>
      <c r="B311" s="34" t="inlineStr">
        <is>
          <t>逃避羁押罪</t>
        </is>
      </c>
      <c r="C311" s="34">
        <f>IF(AND($A310&lt;&gt;"",'算罪台'!$B$4&lt;&gt;"",ISNUMBER(SEARCH($A310,'算罪台'!$B$4))),1,0)</f>
        <v/>
      </c>
      <c r="D311" s="34">
        <f>IF(AND($A310&lt;&gt;"",'算罪台'!$B$5&lt;&gt;"",ISNUMBER(SEARCH($A310,'算罪台'!$B$5))),1,0)</f>
        <v/>
      </c>
      <c r="E311" s="34">
        <f>IF(AND($A310&lt;&gt;"",'算罪台'!$B$6&lt;&gt;"",ISNUMBER(SEARCH($A310,'算罪台'!$B$6))),1,0)</f>
        <v/>
      </c>
    </row>
    <row r="312">
      <c r="A312" s="34" t="inlineStr">
        <is>
          <t>趁机逃走</t>
        </is>
      </c>
      <c r="B312" s="34" t="inlineStr">
        <is>
          <t>逃避羁押罪</t>
        </is>
      </c>
      <c r="C312" s="34">
        <f>IF(AND($A311&lt;&gt;"",'算罪台'!$B$4&lt;&gt;"",ISNUMBER(SEARCH($A311,'算罪台'!$B$4))),1,0)</f>
        <v/>
      </c>
      <c r="D312" s="34">
        <f>IF(AND($A311&lt;&gt;"",'算罪台'!$B$5&lt;&gt;"",ISNUMBER(SEARCH($A311,'算罪台'!$B$5))),1,0)</f>
        <v/>
      </c>
      <c r="E312" s="34">
        <f>IF(AND($A311&lt;&gt;"",'算罪台'!$B$6&lt;&gt;"",ISNUMBER(SEARCH($A311,'算罪台'!$B$6))),1,0)</f>
        <v/>
      </c>
    </row>
    <row r="313">
      <c r="A313" s="34" t="inlineStr">
        <is>
          <t>跑了</t>
        </is>
      </c>
      <c r="B313" s="34" t="inlineStr">
        <is>
          <t>逃避羁押罪</t>
        </is>
      </c>
      <c r="C313" s="34">
        <f>IF(AND($A312&lt;&gt;"",'算罪台'!$B$4&lt;&gt;"",ISNUMBER(SEARCH($A312,'算罪台'!$B$4))),1,0)</f>
        <v/>
      </c>
      <c r="D313" s="34">
        <f>IF(AND($A312&lt;&gt;"",'算罪台'!$B$5&lt;&gt;"",ISNUMBER(SEARCH($A312,'算罪台'!$B$5))),1,0)</f>
        <v/>
      </c>
      <c r="E313" s="34">
        <f>IF(AND($A312&lt;&gt;"",'算罪台'!$B$6&lt;&gt;"",ISNUMBER(SEARCH($A312,'算罪台'!$B$6))),1,0)</f>
        <v/>
      </c>
    </row>
    <row r="314">
      <c r="A314" s="34" t="inlineStr">
        <is>
          <t>驾车逃跑</t>
        </is>
      </c>
      <c r="B314" s="34" t="inlineStr">
        <is>
          <t>逃避羁押罪</t>
        </is>
      </c>
      <c r="C314" s="34">
        <f>IF(AND($A313&lt;&gt;"",'算罪台'!$B$4&lt;&gt;"",ISNUMBER(SEARCH($A313,'算罪台'!$B$4))),1,0)</f>
        <v/>
      </c>
      <c r="D314" s="34">
        <f>IF(AND($A313&lt;&gt;"",'算罪台'!$B$5&lt;&gt;"",ISNUMBER(SEARCH($A313,'算罪台'!$B$5))),1,0)</f>
        <v/>
      </c>
      <c r="E314" s="34">
        <f>IF(AND($A313&lt;&gt;"",'算罪台'!$B$6&lt;&gt;"",ISNUMBER(SEARCH($A313,'算罪台'!$B$6))),1,0)</f>
        <v/>
      </c>
    </row>
    <row r="315">
      <c r="A315" s="34" t="inlineStr">
        <is>
          <t>开车逃</t>
        </is>
      </c>
      <c r="B315" s="34" t="inlineStr">
        <is>
          <t>逃避羁押罪</t>
        </is>
      </c>
      <c r="C315" s="34">
        <f>IF(AND($A314&lt;&gt;"",'算罪台'!$B$4&lt;&gt;"",ISNUMBER(SEARCH($A314,'算罪台'!$B$4))),1,0)</f>
        <v/>
      </c>
      <c r="D315" s="34">
        <f>IF(AND($A314&lt;&gt;"",'算罪台'!$B$5&lt;&gt;"",ISNUMBER(SEARCH($A314,'算罪台'!$B$5))),1,0)</f>
        <v/>
      </c>
      <c r="E315" s="34">
        <f>IF(AND($A314&lt;&gt;"",'算罪台'!$B$6&lt;&gt;"",ISNUMBER(SEARCH($A314,'算罪台'!$B$6))),1,0)</f>
        <v/>
      </c>
    </row>
    <row r="316">
      <c r="A316" s="34" t="inlineStr">
        <is>
          <t>逃窜</t>
        </is>
      </c>
      <c r="B316" s="34" t="inlineStr">
        <is>
          <t>逃避羁押罪</t>
        </is>
      </c>
      <c r="C316" s="34">
        <f>IF(AND($A315&lt;&gt;"",'算罪台'!$B$4&lt;&gt;"",ISNUMBER(SEARCH($A315,'算罪台'!$B$4))),1,0)</f>
        <v/>
      </c>
      <c r="D316" s="34">
        <f>IF(AND($A315&lt;&gt;"",'算罪台'!$B$5&lt;&gt;"",ISNUMBER(SEARCH($A315,'算罪台'!$B$5))),1,0)</f>
        <v/>
      </c>
      <c r="E316" s="34">
        <f>IF(AND($A315&lt;&gt;"",'算罪台'!$B$6&lt;&gt;"",ISNUMBER(SEARCH($A315,'算罪台'!$B$6))),1,0)</f>
        <v/>
      </c>
    </row>
    <row r="317">
      <c r="A317" s="34" t="inlineStr">
        <is>
          <t>逃逸</t>
        </is>
      </c>
      <c r="B317" s="34" t="inlineStr">
        <is>
          <t>逃避羁押罪</t>
        </is>
      </c>
      <c r="C317" s="34">
        <f>IF(AND($A316&lt;&gt;"",'算罪台'!$B$4&lt;&gt;"",ISNUMBER(SEARCH($A316,'算罪台'!$B$4))),1,0)</f>
        <v/>
      </c>
      <c r="D317" s="34">
        <f>IF(AND($A316&lt;&gt;"",'算罪台'!$B$5&lt;&gt;"",ISNUMBER(SEARCH($A316,'算罪台'!$B$5))),1,0)</f>
        <v/>
      </c>
      <c r="E317" s="34">
        <f>IF(AND($A316&lt;&gt;"",'算罪台'!$B$6&lt;&gt;"",ISNUMBER(SEARCH($A316,'算罪台'!$B$6))),1,0)</f>
        <v/>
      </c>
    </row>
    <row r="318">
      <c r="A318" s="34" t="inlineStr">
        <is>
          <t>驾车逃逸</t>
        </is>
      </c>
      <c r="B318" s="34" t="inlineStr">
        <is>
          <t>逃避羁押罪</t>
        </is>
      </c>
      <c r="C318" s="34">
        <f>IF(AND($A317&lt;&gt;"",'算罪台'!$B$4&lt;&gt;"",ISNUMBER(SEARCH($A317,'算罪台'!$B$4))),1,0)</f>
        <v/>
      </c>
      <c r="D318" s="34">
        <f>IF(AND($A317&lt;&gt;"",'算罪台'!$B$5&lt;&gt;"",ISNUMBER(SEARCH($A317,'算罪台'!$B$5))),1,0)</f>
        <v/>
      </c>
      <c r="E318" s="34">
        <f>IF(AND($A317&lt;&gt;"",'算罪台'!$B$6&lt;&gt;"",ISNUMBER(SEARCH($A317,'算罪台'!$B$6))),1,0)</f>
        <v/>
      </c>
    </row>
    <row r="319">
      <c r="A319" s="34" t="inlineStr">
        <is>
          <t>弃车逃</t>
        </is>
      </c>
      <c r="B319" s="34" t="inlineStr">
        <is>
          <t>逃避羁押罪</t>
        </is>
      </c>
      <c r="C319" s="34">
        <f>IF(AND($A318&lt;&gt;"",'算罪台'!$B$4&lt;&gt;"",ISNUMBER(SEARCH($A318,'算罪台'!$B$4))),1,0)</f>
        <v/>
      </c>
      <c r="D319" s="34">
        <f>IF(AND($A318&lt;&gt;"",'算罪台'!$B$5&lt;&gt;"",ISNUMBER(SEARCH($A318,'算罪台'!$B$5))),1,0)</f>
        <v/>
      </c>
      <c r="E319" s="34">
        <f>IF(AND($A318&lt;&gt;"",'算罪台'!$B$6&lt;&gt;"",ISNUMBER(SEARCH($A318,'算罪台'!$B$6))),1,0)</f>
        <v/>
      </c>
    </row>
    <row r="320">
      <c r="A320" s="34" t="inlineStr">
        <is>
          <t>藐视法庭</t>
        </is>
      </c>
      <c r="B320" s="34" t="inlineStr">
        <is>
          <t>藐视法庭罪</t>
        </is>
      </c>
      <c r="C320" s="34">
        <f>IF(AND($A319&lt;&gt;"",'算罪台'!$B$4&lt;&gt;"",ISNUMBER(SEARCH($A319,'算罪台'!$B$4))),1,0)</f>
        <v/>
      </c>
      <c r="D320" s="34">
        <f>IF(AND($A319&lt;&gt;"",'算罪台'!$B$5&lt;&gt;"",ISNUMBER(SEARCH($A319,'算罪台'!$B$5))),1,0)</f>
        <v/>
      </c>
      <c r="E320" s="34">
        <f>IF(AND($A319&lt;&gt;"",'算罪台'!$B$6&lt;&gt;"",ISNUMBER(SEARCH($A319,'算罪台'!$B$6))),1,0)</f>
        <v/>
      </c>
    </row>
    <row r="321">
      <c r="A321" s="34" t="inlineStr">
        <is>
          <t>扰乱法庭</t>
        </is>
      </c>
      <c r="B321" s="34" t="inlineStr">
        <is>
          <t>藐视法庭罪</t>
        </is>
      </c>
      <c r="C321" s="34">
        <f>IF(AND($A320&lt;&gt;"",'算罪台'!$B$4&lt;&gt;"",ISNUMBER(SEARCH($A320,'算罪台'!$B$4))),1,0)</f>
        <v/>
      </c>
      <c r="D321" s="34">
        <f>IF(AND($A320&lt;&gt;"",'算罪台'!$B$5&lt;&gt;"",ISNUMBER(SEARCH($A320,'算罪台'!$B$5))),1,0)</f>
        <v/>
      </c>
      <c r="E321" s="34">
        <f>IF(AND($A320&lt;&gt;"",'算罪台'!$B$6&lt;&gt;"",ISNUMBER(SEARCH($A320,'算罪台'!$B$6))),1,0)</f>
        <v/>
      </c>
    </row>
    <row r="322">
      <c r="A322" s="34" t="inlineStr">
        <is>
          <t>无视法庭命令</t>
        </is>
      </c>
      <c r="B322" s="34" t="inlineStr">
        <is>
          <t>藐视法庭罪</t>
        </is>
      </c>
      <c r="C322" s="34">
        <f>IF(AND($A321&lt;&gt;"",'算罪台'!$B$4&lt;&gt;"",ISNUMBER(SEARCH($A321,'算罪台'!$B$4))),1,0)</f>
        <v/>
      </c>
      <c r="D322" s="34">
        <f>IF(AND($A321&lt;&gt;"",'算罪台'!$B$5&lt;&gt;"",ISNUMBER(SEARCH($A321,'算罪台'!$B$5))),1,0)</f>
        <v/>
      </c>
      <c r="E322" s="34">
        <f>IF(AND($A321&lt;&gt;"",'算罪台'!$B$6&lt;&gt;"",ISNUMBER(SEARCH($A321,'算罪台'!$B$6))),1,0)</f>
        <v/>
      </c>
    </row>
    <row r="323">
      <c r="A323" s="34" t="inlineStr">
        <is>
          <t>不尊重法庭</t>
        </is>
      </c>
      <c r="B323" s="34" t="inlineStr">
        <is>
          <t>藐视法庭罪</t>
        </is>
      </c>
      <c r="C323" s="34">
        <f>IF(AND($A322&lt;&gt;"",'算罪台'!$B$4&lt;&gt;"",ISNUMBER(SEARCH($A322,'算罪台'!$B$4))),1,0)</f>
        <v/>
      </c>
      <c r="D323" s="34">
        <f>IF(AND($A322&lt;&gt;"",'算罪台'!$B$5&lt;&gt;"",ISNUMBER(SEARCH($A322,'算罪台'!$B$5))),1,0)</f>
        <v/>
      </c>
      <c r="E323" s="34">
        <f>IF(AND($A322&lt;&gt;"",'算罪台'!$B$6&lt;&gt;"",ISNUMBER(SEARCH($A322,'算罪台'!$B$6))),1,0)</f>
        <v/>
      </c>
    </row>
    <row r="324">
      <c r="A324" s="34" t="inlineStr">
        <is>
          <t>在法庭上闹</t>
        </is>
      </c>
      <c r="B324" s="34" t="inlineStr">
        <is>
          <t>藐视法庭罪</t>
        </is>
      </c>
      <c r="C324" s="34">
        <f>IF(AND($A323&lt;&gt;"",'算罪台'!$B$4&lt;&gt;"",ISNUMBER(SEARCH($A323,'算罪台'!$B$4))),1,0)</f>
        <v/>
      </c>
      <c r="D324" s="34">
        <f>IF(AND($A323&lt;&gt;"",'算罪台'!$B$5&lt;&gt;"",ISNUMBER(SEARCH($A323,'算罪台'!$B$5))),1,0)</f>
        <v/>
      </c>
      <c r="E324" s="34">
        <f>IF(AND($A323&lt;&gt;"",'算罪台'!$B$6&lt;&gt;"",ISNUMBER(SEARCH($A323,'算罪台'!$B$6))),1,0)</f>
        <v/>
      </c>
    </row>
    <row r="325">
      <c r="A325" s="34" t="inlineStr">
        <is>
          <t>恶意占用公共资源</t>
        </is>
      </c>
      <c r="B325" s="34" t="inlineStr">
        <is>
          <t>恶意占用公共资源罪</t>
        </is>
      </c>
      <c r="C325" s="34">
        <f>IF(AND($A324&lt;&gt;"",'算罪台'!$B$4&lt;&gt;"",ISNUMBER(SEARCH($A324,'算罪台'!$B$4))),1,0)</f>
        <v/>
      </c>
      <c r="D325" s="34">
        <f>IF(AND($A324&lt;&gt;"",'算罪台'!$B$5&lt;&gt;"",ISNUMBER(SEARCH($A324,'算罪台'!$B$5))),1,0)</f>
        <v/>
      </c>
      <c r="E325" s="34">
        <f>IF(AND($A324&lt;&gt;"",'算罪台'!$B$6&lt;&gt;"",ISNUMBER(SEARCH($A324,'算罪台'!$B$6))),1,0)</f>
        <v/>
      </c>
    </row>
    <row r="326">
      <c r="A326" s="34" t="inlineStr">
        <is>
          <t>骚扰报警电话</t>
        </is>
      </c>
      <c r="B326" s="34" t="inlineStr">
        <is>
          <t>恶意占用公共资源罪</t>
        </is>
      </c>
      <c r="C326" s="34">
        <f>IF(AND($A325&lt;&gt;"",'算罪台'!$B$4&lt;&gt;"",ISNUMBER(SEARCH($A325,'算罪台'!$B$4))),1,0)</f>
        <v/>
      </c>
      <c r="D326" s="34">
        <f>IF(AND($A325&lt;&gt;"",'算罪台'!$B$5&lt;&gt;"",ISNUMBER(SEARCH($A325,'算罪台'!$B$5))),1,0)</f>
        <v/>
      </c>
      <c r="E326" s="34">
        <f>IF(AND($A325&lt;&gt;"",'算罪台'!$B$6&lt;&gt;"",ISNUMBER(SEARCH($A325,'算罪台'!$B$6))),1,0)</f>
        <v/>
      </c>
    </row>
    <row r="327">
      <c r="A327" s="34" t="inlineStr">
        <is>
          <t>恶意报警</t>
        </is>
      </c>
      <c r="B327" s="34" t="inlineStr">
        <is>
          <t>恶意占用公共资源罪</t>
        </is>
      </c>
      <c r="C327" s="34">
        <f>IF(AND($A326&lt;&gt;"",'算罪台'!$B$4&lt;&gt;"",ISNUMBER(SEARCH($A326,'算罪台'!$B$4))),1,0)</f>
        <v/>
      </c>
      <c r="D327" s="34">
        <f>IF(AND($A326&lt;&gt;"",'算罪台'!$B$5&lt;&gt;"",ISNUMBER(SEARCH($A326,'算罪台'!$B$5))),1,0)</f>
        <v/>
      </c>
      <c r="E327" s="34">
        <f>IF(AND($A326&lt;&gt;"",'算罪台'!$B$6&lt;&gt;"",ISNUMBER(SEARCH($A326,'算罪台'!$B$6))),1,0)</f>
        <v/>
      </c>
    </row>
    <row r="328">
      <c r="A328" s="34" t="inlineStr">
        <is>
          <t>虚假报警</t>
        </is>
      </c>
      <c r="B328" s="34" t="inlineStr">
        <is>
          <t>恶意占用公共资源罪</t>
        </is>
      </c>
      <c r="C328" s="34">
        <f>IF(AND($A327&lt;&gt;"",'算罪台'!$B$4&lt;&gt;"",ISNUMBER(SEARCH($A327,'算罪台'!$B$4))),1,0)</f>
        <v/>
      </c>
      <c r="D328" s="34">
        <f>IF(AND($A327&lt;&gt;"",'算罪台'!$B$5&lt;&gt;"",ISNUMBER(SEARCH($A327,'算罪台'!$B$5))),1,0)</f>
        <v/>
      </c>
      <c r="E328" s="34">
        <f>IF(AND($A327&lt;&gt;"",'算罪台'!$B$6&lt;&gt;"",ISNUMBER(SEARCH($A327,'算罪台'!$B$6))),1,0)</f>
        <v/>
      </c>
    </row>
    <row r="329">
      <c r="A329" s="34" t="inlineStr">
        <is>
          <t>乱打报警</t>
        </is>
      </c>
      <c r="B329" s="34" t="inlineStr">
        <is>
          <t>恶意占用公共资源罪</t>
        </is>
      </c>
      <c r="C329" s="34">
        <f>IF(AND($A328&lt;&gt;"",'算罪台'!$B$4&lt;&gt;"",ISNUMBER(SEARCH($A328,'算罪台'!$B$4))),1,0)</f>
        <v/>
      </c>
      <c r="D329" s="34">
        <f>IF(AND($A328&lt;&gt;"",'算罪台'!$B$5&lt;&gt;"",ISNUMBER(SEARCH($A328,'算罪台'!$B$5))),1,0)</f>
        <v/>
      </c>
      <c r="E329" s="34">
        <f>IF(AND($A328&lt;&gt;"",'算罪台'!$B$6&lt;&gt;"",ISNUMBER(SEARCH($A328,'算罪台'!$B$6))),1,0)</f>
        <v/>
      </c>
    </row>
    <row r="330">
      <c r="A330" s="34" t="inlineStr">
        <is>
          <t>谎报警情</t>
        </is>
      </c>
      <c r="B330" s="34" t="inlineStr">
        <is>
          <t>恶意占用公共资源罪</t>
        </is>
      </c>
      <c r="C330" s="34">
        <f>IF(AND($A329&lt;&gt;"",'算罪台'!$B$4&lt;&gt;"",ISNUMBER(SEARCH($A329,'算罪台'!$B$4))),1,0)</f>
        <v/>
      </c>
      <c r="D330" s="34">
        <f>IF(AND($A329&lt;&gt;"",'算罪台'!$B$5&lt;&gt;"",ISNUMBER(SEARCH($A329,'算罪台'!$B$5))),1,0)</f>
        <v/>
      </c>
      <c r="E330" s="34">
        <f>IF(AND($A329&lt;&gt;"",'算罪台'!$B$6&lt;&gt;"",ISNUMBER(SEARCH($A329,'算罪台'!$B$6))),1,0)</f>
        <v/>
      </c>
    </row>
    <row r="331">
      <c r="A331" s="34" t="inlineStr">
        <is>
          <t>谎报</t>
        </is>
      </c>
      <c r="B331" s="34" t="inlineStr">
        <is>
          <t>恶意占用公共资源罪</t>
        </is>
      </c>
      <c r="C331" s="34">
        <f>IF(AND($A330&lt;&gt;"",'算罪台'!$B$4&lt;&gt;"",ISNUMBER(SEARCH($A330,'算罪台'!$B$4))),1,0)</f>
        <v/>
      </c>
      <c r="D331" s="34">
        <f>IF(AND($A330&lt;&gt;"",'算罪台'!$B$5&lt;&gt;"",ISNUMBER(SEARCH($A330,'算罪台'!$B$5))),1,0)</f>
        <v/>
      </c>
      <c r="E331" s="34">
        <f>IF(AND($A330&lt;&gt;"",'算罪台'!$B$6&lt;&gt;"",ISNUMBER(SEARCH($A330,'算罪台'!$B$6))),1,0)</f>
        <v/>
      </c>
    </row>
    <row r="332">
      <c r="A332" s="34" t="inlineStr">
        <is>
          <t>进入封闭区域</t>
        </is>
      </c>
      <c r="B332" s="34" t="inlineStr">
        <is>
          <t>未经许可进入封闭紧急区域罪</t>
        </is>
      </c>
      <c r="C332" s="34">
        <f>IF(AND($A331&lt;&gt;"",'算罪台'!$B$4&lt;&gt;"",ISNUMBER(SEARCH($A331,'算罪台'!$B$4))),1,0)</f>
        <v/>
      </c>
      <c r="D332" s="34">
        <f>IF(AND($A331&lt;&gt;"",'算罪台'!$B$5&lt;&gt;"",ISNUMBER(SEARCH($A331,'算罪台'!$B$5))),1,0)</f>
        <v/>
      </c>
      <c r="E332" s="34">
        <f>IF(AND($A331&lt;&gt;"",'算罪台'!$B$6&lt;&gt;"",ISNUMBER(SEARCH($A331,'算罪台'!$B$6))),1,0)</f>
        <v/>
      </c>
    </row>
    <row r="333">
      <c r="A333" s="34" t="inlineStr">
        <is>
          <t>闯入警戒线</t>
        </is>
      </c>
      <c r="B333" s="34" t="inlineStr">
        <is>
          <t>未经许可进入封闭紧急区域罪</t>
        </is>
      </c>
      <c r="C333" s="34">
        <f>IF(AND($A332&lt;&gt;"",'算罪台'!$B$4&lt;&gt;"",ISNUMBER(SEARCH($A332,'算罪台'!$B$4))),1,0)</f>
        <v/>
      </c>
      <c r="D333" s="34">
        <f>IF(AND($A332&lt;&gt;"",'算罪台'!$B$5&lt;&gt;"",ISNUMBER(SEARCH($A332,'算罪台'!$B$5))),1,0)</f>
        <v/>
      </c>
      <c r="E333" s="34">
        <f>IF(AND($A332&lt;&gt;"",'算罪台'!$B$6&lt;&gt;"",ISNUMBER(SEARCH($A332,'算罪台'!$B$6))),1,0)</f>
        <v/>
      </c>
    </row>
    <row r="334">
      <c r="A334" s="34" t="inlineStr">
        <is>
          <t>擅闯封锁区</t>
        </is>
      </c>
      <c r="B334" s="34" t="inlineStr">
        <is>
          <t>未经许可进入封闭紧急区域罪</t>
        </is>
      </c>
      <c r="C334" s="34">
        <f>IF(AND($A333&lt;&gt;"",'算罪台'!$B$4&lt;&gt;"",ISNUMBER(SEARCH($A333,'算罪台'!$B$4))),1,0)</f>
        <v/>
      </c>
      <c r="D334" s="34">
        <f>IF(AND($A333&lt;&gt;"",'算罪台'!$B$5&lt;&gt;"",ISNUMBER(SEARCH($A333,'算罪台'!$B$5))),1,0)</f>
        <v/>
      </c>
      <c r="E334" s="34">
        <f>IF(AND($A333&lt;&gt;"",'算罪台'!$B$6&lt;&gt;"",ISNUMBER(SEARCH($A333,'算罪台'!$B$6))),1,0)</f>
        <v/>
      </c>
    </row>
    <row r="335">
      <c r="A335" s="34" t="inlineStr">
        <is>
          <t>越过警戒线</t>
        </is>
      </c>
      <c r="B335" s="34" t="inlineStr">
        <is>
          <t>未经许可进入封闭紧急区域罪</t>
        </is>
      </c>
      <c r="C335" s="34">
        <f>IF(AND($A334&lt;&gt;"",'算罪台'!$B$4&lt;&gt;"",ISNUMBER(SEARCH($A334,'算罪台'!$B$4))),1,0)</f>
        <v/>
      </c>
      <c r="D335" s="34">
        <f>IF(AND($A334&lt;&gt;"",'算罪台'!$B$5&lt;&gt;"",ISNUMBER(SEARCH($A334,'算罪台'!$B$5))),1,0)</f>
        <v/>
      </c>
      <c r="E335" s="34">
        <f>IF(AND($A334&lt;&gt;"",'算罪台'!$B$6&lt;&gt;"",ISNUMBER(SEARCH($A334,'算罪台'!$B$6))),1,0)</f>
        <v/>
      </c>
    </row>
    <row r="336">
      <c r="A336" s="34" t="inlineStr">
        <is>
          <t>闯入事故现场</t>
        </is>
      </c>
      <c r="B336" s="34" t="inlineStr">
        <is>
          <t>未经许可进入封闭紧急区域罪</t>
        </is>
      </c>
      <c r="C336" s="34">
        <f>IF(AND($A335&lt;&gt;"",'算罪台'!$B$4&lt;&gt;"",ISNUMBER(SEARCH($A335,'算罪台'!$B$4))),1,0)</f>
        <v/>
      </c>
      <c r="D336" s="34">
        <f>IF(AND($A335&lt;&gt;"",'算罪台'!$B$5&lt;&gt;"",ISNUMBER(SEARCH($A335,'算罪台'!$B$5))),1,0)</f>
        <v/>
      </c>
      <c r="E336" s="34">
        <f>IF(AND($A335&lt;&gt;"",'算罪台'!$B$6&lt;&gt;"",ISNUMBER(SEARCH($A335,'算罪台'!$B$6))),1,0)</f>
        <v/>
      </c>
    </row>
    <row r="337">
      <c r="A337" s="34" t="inlineStr">
        <is>
          <t>跨过警戒带</t>
        </is>
      </c>
      <c r="B337" s="34" t="inlineStr">
        <is>
          <t>未经许可进入封闭紧急区域罪</t>
        </is>
      </c>
      <c r="C337" s="34">
        <f>IF(AND($A336&lt;&gt;"",'算罪台'!$B$4&lt;&gt;"",ISNUMBER(SEARCH($A336,'算罪台'!$B$4))),1,0)</f>
        <v/>
      </c>
      <c r="D337" s="34">
        <f>IF(AND($A336&lt;&gt;"",'算罪台'!$B$5&lt;&gt;"",ISNUMBER(SEARCH($A336,'算罪台'!$B$5))),1,0)</f>
        <v/>
      </c>
      <c r="E337" s="34">
        <f>IF(AND($A336&lt;&gt;"",'算罪台'!$B$6&lt;&gt;"",ISNUMBER(SEARCH($A336,'算罪台'!$B$6))),1,0)</f>
        <v/>
      </c>
    </row>
    <row r="338">
      <c r="A338" s="34" t="inlineStr">
        <is>
          <t>袭警</t>
        </is>
      </c>
      <c r="B338" s="34" t="inlineStr">
        <is>
          <t>袭警罪</t>
        </is>
      </c>
      <c r="C338" s="34">
        <f>IF(AND($A337&lt;&gt;"",'算罪台'!$B$4&lt;&gt;"",ISNUMBER(SEARCH($A337,'算罪台'!$B$4))),1,0)</f>
        <v/>
      </c>
      <c r="D338" s="34">
        <f>IF(AND($A337&lt;&gt;"",'算罪台'!$B$5&lt;&gt;"",ISNUMBER(SEARCH($A337,'算罪台'!$B$5))),1,0)</f>
        <v/>
      </c>
      <c r="E338" s="34">
        <f>IF(AND($A337&lt;&gt;"",'算罪台'!$B$6&lt;&gt;"",ISNUMBER(SEARCH($A337,'算罪台'!$B$6))),1,0)</f>
        <v/>
      </c>
    </row>
    <row r="339">
      <c r="A339" s="34" t="inlineStr">
        <is>
          <t>袭击警察</t>
        </is>
      </c>
      <c r="B339" s="34" t="inlineStr">
        <is>
          <t>袭警罪</t>
        </is>
      </c>
      <c r="C339" s="34">
        <f>IF(AND($A338&lt;&gt;"",'算罪台'!$B$4&lt;&gt;"",ISNUMBER(SEARCH($A338,'算罪台'!$B$4))),1,0)</f>
        <v/>
      </c>
      <c r="D339" s="34">
        <f>IF(AND($A338&lt;&gt;"",'算罪台'!$B$5&lt;&gt;"",ISNUMBER(SEARCH($A338,'算罪台'!$B$5))),1,0)</f>
        <v/>
      </c>
      <c r="E339" s="34">
        <f>IF(AND($A338&lt;&gt;"",'算罪台'!$B$6&lt;&gt;"",ISNUMBER(SEARCH($A338,'算罪台'!$B$6))),1,0)</f>
        <v/>
      </c>
    </row>
    <row r="340">
      <c r="A340" s="34" t="inlineStr">
        <is>
          <t>打警察</t>
        </is>
      </c>
      <c r="B340" s="34" t="inlineStr">
        <is>
          <t>袭警罪</t>
        </is>
      </c>
      <c r="C340" s="34">
        <f>IF(AND($A339&lt;&gt;"",'算罪台'!$B$4&lt;&gt;"",ISNUMBER(SEARCH($A339,'算罪台'!$B$4))),1,0)</f>
        <v/>
      </c>
      <c r="D340" s="34">
        <f>IF(AND($A339&lt;&gt;"",'算罪台'!$B$5&lt;&gt;"",ISNUMBER(SEARCH($A339,'算罪台'!$B$5))),1,0)</f>
        <v/>
      </c>
      <c r="E340" s="34">
        <f>IF(AND($A339&lt;&gt;"",'算罪台'!$B$6&lt;&gt;"",ISNUMBER(SEARCH($A339,'算罪台'!$B$6))),1,0)</f>
        <v/>
      </c>
    </row>
    <row r="341">
      <c r="A341" s="34" t="inlineStr">
        <is>
          <t>攻击警察</t>
        </is>
      </c>
      <c r="B341" s="34" t="inlineStr">
        <is>
          <t>袭警罪</t>
        </is>
      </c>
      <c r="C341" s="34">
        <f>IF(AND($A340&lt;&gt;"",'算罪台'!$B$4&lt;&gt;"",ISNUMBER(SEARCH($A340,'算罪台'!$B$4))),1,0)</f>
        <v/>
      </c>
      <c r="D341" s="34">
        <f>IF(AND($A340&lt;&gt;"",'算罪台'!$B$5&lt;&gt;"",ISNUMBER(SEARCH($A340,'算罪台'!$B$5))),1,0)</f>
        <v/>
      </c>
      <c r="E341" s="34">
        <f>IF(AND($A340&lt;&gt;"",'算罪台'!$B$6&lt;&gt;"",ISNUMBER(SEARCH($A340,'算罪台'!$B$6))),1,0)</f>
        <v/>
      </c>
    </row>
    <row r="342">
      <c r="A342" s="34" t="inlineStr">
        <is>
          <t>伤害警察</t>
        </is>
      </c>
      <c r="B342" s="34" t="inlineStr">
        <is>
          <t>袭警罪</t>
        </is>
      </c>
      <c r="C342" s="34">
        <f>IF(AND($A341&lt;&gt;"",'算罪台'!$B$4&lt;&gt;"",ISNUMBER(SEARCH($A341,'算罪台'!$B$4))),1,0)</f>
        <v/>
      </c>
      <c r="D342" s="34">
        <f>IF(AND($A341&lt;&gt;"",'算罪台'!$B$5&lt;&gt;"",ISNUMBER(SEARCH($A341,'算罪台'!$B$5))),1,0)</f>
        <v/>
      </c>
      <c r="E342" s="34">
        <f>IF(AND($A341&lt;&gt;"",'算罪台'!$B$6&lt;&gt;"",ISNUMBER(SEARCH($A341,'算罪台'!$B$6))),1,0)</f>
        <v/>
      </c>
    </row>
    <row r="343">
      <c r="A343" s="34" t="inlineStr">
        <is>
          <t>攻击警车</t>
        </is>
      </c>
      <c r="B343" s="34" t="inlineStr">
        <is>
          <t>袭警罪</t>
        </is>
      </c>
      <c r="C343" s="34">
        <f>IF(AND($A342&lt;&gt;"",'算罪台'!$B$4&lt;&gt;"",ISNUMBER(SEARCH($A342,'算罪台'!$B$4))),1,0)</f>
        <v/>
      </c>
      <c r="D343" s="34">
        <f>IF(AND($A342&lt;&gt;"",'算罪台'!$B$5&lt;&gt;"",ISNUMBER(SEARCH($A342,'算罪台'!$B$5))),1,0)</f>
        <v/>
      </c>
      <c r="E343" s="34">
        <f>IF(AND($A342&lt;&gt;"",'算罪台'!$B$6&lt;&gt;"",ISNUMBER(SEARCH($A342,'算罪台'!$B$6))),1,0)</f>
        <v/>
      </c>
    </row>
    <row r="344">
      <c r="A344" s="34" t="inlineStr">
        <is>
          <t>攻击警犬</t>
        </is>
      </c>
      <c r="B344" s="34" t="inlineStr">
        <is>
          <t>袭警罪</t>
        </is>
      </c>
      <c r="C344" s="34">
        <f>IF(AND($A343&lt;&gt;"",'算罪台'!$B$4&lt;&gt;"",ISNUMBER(SEARCH($A343,'算罪台'!$B$4))),1,0)</f>
        <v/>
      </c>
      <c r="D344" s="34">
        <f>IF(AND($A343&lt;&gt;"",'算罪台'!$B$5&lt;&gt;"",ISNUMBER(SEARCH($A343,'算罪台'!$B$5))),1,0)</f>
        <v/>
      </c>
      <c r="E344" s="34">
        <f>IF(AND($A343&lt;&gt;"",'算罪台'!$B$6&lt;&gt;"",ISNUMBER(SEARCH($A343,'算罪台'!$B$6))),1,0)</f>
        <v/>
      </c>
    </row>
    <row r="345">
      <c r="A345" s="34" t="inlineStr">
        <is>
          <t>殴打警察</t>
        </is>
      </c>
      <c r="B345" s="34" t="inlineStr">
        <is>
          <t>袭警罪</t>
        </is>
      </c>
      <c r="C345" s="34">
        <f>IF(AND($A344&lt;&gt;"",'算罪台'!$B$4&lt;&gt;"",ISNUMBER(SEARCH($A344,'算罪台'!$B$4))),1,0)</f>
        <v/>
      </c>
      <c r="D345" s="34">
        <f>IF(AND($A344&lt;&gt;"",'算罪台'!$B$5&lt;&gt;"",ISNUMBER(SEARCH($A344,'算罪台'!$B$5))),1,0)</f>
        <v/>
      </c>
      <c r="E345" s="34">
        <f>IF(AND($A344&lt;&gt;"",'算罪台'!$B$6&lt;&gt;"",ISNUMBER(SEARCH($A344,'算罪台'!$B$6))),1,0)</f>
        <v/>
      </c>
    </row>
    <row r="346">
      <c r="A346" s="34" t="inlineStr">
        <is>
          <t>动手打警察</t>
        </is>
      </c>
      <c r="B346" s="34" t="inlineStr">
        <is>
          <t>袭警罪</t>
        </is>
      </c>
      <c r="C346" s="34">
        <f>IF(AND($A345&lt;&gt;"",'算罪台'!$B$4&lt;&gt;"",ISNUMBER(SEARCH($A345,'算罪台'!$B$4))),1,0)</f>
        <v/>
      </c>
      <c r="D346" s="34">
        <f>IF(AND($A345&lt;&gt;"",'算罪台'!$B$5&lt;&gt;"",ISNUMBER(SEARCH($A345,'算罪台'!$B$5))),1,0)</f>
        <v/>
      </c>
      <c r="E346" s="34">
        <f>IF(AND($A345&lt;&gt;"",'算罪台'!$B$6&lt;&gt;"",ISNUMBER(SEARCH($A345,'算罪台'!$B$6))),1,0)</f>
        <v/>
      </c>
    </row>
    <row r="347">
      <c r="A347" s="34" t="inlineStr">
        <is>
          <t>撞警车</t>
        </is>
      </c>
      <c r="B347" s="34" t="inlineStr">
        <is>
          <t>袭警罪</t>
        </is>
      </c>
      <c r="C347" s="34">
        <f>IF(AND($A346&lt;&gt;"",'算罪台'!$B$4&lt;&gt;"",ISNUMBER(SEARCH($A346,'算罪台'!$B$4))),1,0)</f>
        <v/>
      </c>
      <c r="D347" s="34">
        <f>IF(AND($A346&lt;&gt;"",'算罪台'!$B$5&lt;&gt;"",ISNUMBER(SEARCH($A346,'算罪台'!$B$5))),1,0)</f>
        <v/>
      </c>
      <c r="E347" s="34">
        <f>IF(AND($A346&lt;&gt;"",'算罪台'!$B$6&lt;&gt;"",ISNUMBER(SEARCH($A346,'算罪台'!$B$6))),1,0)</f>
        <v/>
      </c>
    </row>
    <row r="348">
      <c r="A348" s="34" t="inlineStr">
        <is>
          <t>枪击警察</t>
        </is>
      </c>
      <c r="B348" s="34" t="inlineStr">
        <is>
          <t>袭警罪</t>
        </is>
      </c>
      <c r="C348" s="34">
        <f>IF(AND($A347&lt;&gt;"",'算罪台'!$B$4&lt;&gt;"",ISNUMBER(SEARCH($A347,'算罪台'!$B$4))),1,0)</f>
        <v/>
      </c>
      <c r="D348" s="34">
        <f>IF(AND($A347&lt;&gt;"",'算罪台'!$B$5&lt;&gt;"",ISNUMBER(SEARCH($A347,'算罪台'!$B$5))),1,0)</f>
        <v/>
      </c>
      <c r="E348" s="34">
        <f>IF(AND($A347&lt;&gt;"",'算罪台'!$B$6&lt;&gt;"",ISNUMBER(SEARCH($A347,'算罪台'!$B$6))),1,0)</f>
        <v/>
      </c>
    </row>
    <row r="349">
      <c r="A349" s="34" t="inlineStr">
        <is>
          <t>打了警察</t>
        </is>
      </c>
      <c r="B349" s="34" t="inlineStr">
        <is>
          <t>袭警罪</t>
        </is>
      </c>
      <c r="C349" s="34">
        <f>IF(AND($A348&lt;&gt;"",'算罪台'!$B$4&lt;&gt;"",ISNUMBER(SEARCH($A348,'算罪台'!$B$4))),1,0)</f>
        <v/>
      </c>
      <c r="D349" s="34">
        <f>IF(AND($A348&lt;&gt;"",'算罪台'!$B$5&lt;&gt;"",ISNUMBER(SEARCH($A348,'算罪台'!$B$5))),1,0)</f>
        <v/>
      </c>
      <c r="E349" s="34">
        <f>IF(AND($A348&lt;&gt;"",'算罪台'!$B$6&lt;&gt;"",ISNUMBER(SEARCH($A348,'算罪台'!$B$6))),1,0)</f>
        <v/>
      </c>
    </row>
    <row r="350">
      <c r="A350" s="34" t="inlineStr">
        <is>
          <t>扰乱治安</t>
        </is>
      </c>
      <c r="B350" s="34" t="inlineStr">
        <is>
          <t>扰乱治安罪</t>
        </is>
      </c>
      <c r="C350" s="34">
        <f>IF(AND($A349&lt;&gt;"",'算罪台'!$B$4&lt;&gt;"",ISNUMBER(SEARCH($A349,'算罪台'!$B$4))),1,0)</f>
        <v/>
      </c>
      <c r="D350" s="34">
        <f>IF(AND($A349&lt;&gt;"",'算罪台'!$B$5&lt;&gt;"",ISNUMBER(SEARCH($A349,'算罪台'!$B$5))),1,0)</f>
        <v/>
      </c>
      <c r="E350" s="34">
        <f>IF(AND($A349&lt;&gt;"",'算罪台'!$B$6&lt;&gt;"",ISNUMBER(SEARCH($A349,'算罪台'!$B$6))),1,0)</f>
        <v/>
      </c>
    </row>
    <row r="351">
      <c r="A351" s="34" t="inlineStr">
        <is>
          <t>挑衅</t>
        </is>
      </c>
      <c r="B351" s="34" t="inlineStr">
        <is>
          <t>扰乱治安罪</t>
        </is>
      </c>
      <c r="C351" s="34">
        <f>IF(AND($A350&lt;&gt;"",'算罪台'!$B$4&lt;&gt;"",ISNUMBER(SEARCH($A350,'算罪台'!$B$4))),1,0)</f>
        <v/>
      </c>
      <c r="D351" s="34">
        <f>IF(AND($A350&lt;&gt;"",'算罪台'!$B$5&lt;&gt;"",ISNUMBER(SEARCH($A350,'算罪台'!$B$5))),1,0)</f>
        <v/>
      </c>
      <c r="E351" s="34">
        <f>IF(AND($A350&lt;&gt;"",'算罪台'!$B$6&lt;&gt;"",ISNUMBER(SEARCH($A350,'算罪台'!$B$6))),1,0)</f>
        <v/>
      </c>
    </row>
    <row r="352">
      <c r="A352" s="34" t="inlineStr">
        <is>
          <t>寻衅</t>
        </is>
      </c>
      <c r="B352" s="34" t="inlineStr">
        <is>
          <t>扰乱治安罪</t>
        </is>
      </c>
      <c r="C352" s="34">
        <f>IF(AND($A351&lt;&gt;"",'算罪台'!$B$4&lt;&gt;"",ISNUMBER(SEARCH($A351,'算罪台'!$B$4))),1,0)</f>
        <v/>
      </c>
      <c r="D352" s="34">
        <f>IF(AND($A351&lt;&gt;"",'算罪台'!$B$5&lt;&gt;"",ISNUMBER(SEARCH($A351,'算罪台'!$B$5))),1,0)</f>
        <v/>
      </c>
      <c r="E352" s="34">
        <f>IF(AND($A351&lt;&gt;"",'算罪台'!$B$6&lt;&gt;"",ISNUMBER(SEARCH($A351,'算罪台'!$B$6))),1,0)</f>
        <v/>
      </c>
    </row>
    <row r="353">
      <c r="A353" s="34" t="inlineStr">
        <is>
          <t>扰民</t>
        </is>
      </c>
      <c r="B353" s="34" t="inlineStr">
        <is>
          <t>扰乱治安罪</t>
        </is>
      </c>
      <c r="C353" s="34">
        <f>IF(AND($A352&lt;&gt;"",'算罪台'!$B$4&lt;&gt;"",ISNUMBER(SEARCH($A352,'算罪台'!$B$4))),1,0)</f>
        <v/>
      </c>
      <c r="D353" s="34">
        <f>IF(AND($A352&lt;&gt;"",'算罪台'!$B$5&lt;&gt;"",ISNUMBER(SEARCH($A352,'算罪台'!$B$5))),1,0)</f>
        <v/>
      </c>
      <c r="E353" s="34">
        <f>IF(AND($A352&lt;&gt;"",'算罪台'!$B$6&lt;&gt;"",ISNUMBER(SEARCH($A352,'算罪台'!$B$6))),1,0)</f>
        <v/>
      </c>
    </row>
    <row r="354">
      <c r="A354" s="34" t="inlineStr">
        <is>
          <t>冒犯性语言</t>
        </is>
      </c>
      <c r="B354" s="34" t="inlineStr">
        <is>
          <t>扰乱治安罪</t>
        </is>
      </c>
      <c r="C354" s="34">
        <f>IF(AND($A353&lt;&gt;"",'算罪台'!$B$4&lt;&gt;"",ISNUMBER(SEARCH($A353,'算罪台'!$B$4))),1,0)</f>
        <v/>
      </c>
      <c r="D354" s="34">
        <f>IF(AND($A353&lt;&gt;"",'算罪台'!$B$5&lt;&gt;"",ISNUMBER(SEARCH($A353,'算罪台'!$B$5))),1,0)</f>
        <v/>
      </c>
      <c r="E354" s="34">
        <f>IF(AND($A353&lt;&gt;"",'算罪台'!$B$6&lt;&gt;"",ISNUMBER(SEARCH($A353,'算罪台'!$B$6))),1,0)</f>
        <v/>
      </c>
    </row>
    <row r="355">
      <c r="A355" s="34" t="inlineStr">
        <is>
          <t>引起恐慌</t>
        </is>
      </c>
      <c r="B355" s="34" t="inlineStr">
        <is>
          <t>扰乱治安罪</t>
        </is>
      </c>
      <c r="C355" s="34">
        <f>IF(AND($A354&lt;&gt;"",'算罪台'!$B$4&lt;&gt;"",ISNUMBER(SEARCH($A354,'算罪台'!$B$4))),1,0)</f>
        <v/>
      </c>
      <c r="D355" s="34">
        <f>IF(AND($A354&lt;&gt;"",'算罪台'!$B$5&lt;&gt;"",ISNUMBER(SEARCH($A354,'算罪台'!$B$5))),1,0)</f>
        <v/>
      </c>
      <c r="E355" s="34">
        <f>IF(AND($A354&lt;&gt;"",'算罪台'!$B$6&lt;&gt;"",ISNUMBER(SEARCH($A354,'算罪台'!$B$6))),1,0)</f>
        <v/>
      </c>
    </row>
    <row r="356">
      <c r="A356" s="34" t="inlineStr">
        <is>
          <t>公共场所吵闹</t>
        </is>
      </c>
      <c r="B356" s="34" t="inlineStr">
        <is>
          <t>扰乱治安罪</t>
        </is>
      </c>
      <c r="C356" s="34">
        <f>IF(AND($A355&lt;&gt;"",'算罪台'!$B$4&lt;&gt;"",ISNUMBER(SEARCH($A355,'算罪台'!$B$4))),1,0)</f>
        <v/>
      </c>
      <c r="D356" s="34">
        <f>IF(AND($A355&lt;&gt;"",'算罪台'!$B$5&lt;&gt;"",ISNUMBER(SEARCH($A355,'算罪台'!$B$5))),1,0)</f>
        <v/>
      </c>
      <c r="E356" s="34">
        <f>IF(AND($A355&lt;&gt;"",'算罪台'!$B$6&lt;&gt;"",ISNUMBER(SEARCH($A355,'算罪台'!$B$6))),1,0)</f>
        <v/>
      </c>
    </row>
    <row r="357">
      <c r="A357" s="34" t="inlineStr">
        <is>
          <t>闹事</t>
        </is>
      </c>
      <c r="B357" s="34" t="inlineStr">
        <is>
          <t>扰乱治安罪</t>
        </is>
      </c>
      <c r="C357" s="34">
        <f>IF(AND($A356&lt;&gt;"",'算罪台'!$B$4&lt;&gt;"",ISNUMBER(SEARCH($A356,'算罪台'!$B$4))),1,0)</f>
        <v/>
      </c>
      <c r="D357" s="34">
        <f>IF(AND($A356&lt;&gt;"",'算罪台'!$B$5&lt;&gt;"",ISNUMBER(SEARCH($A356,'算罪台'!$B$5))),1,0)</f>
        <v/>
      </c>
      <c r="E357" s="34">
        <f>IF(AND($A356&lt;&gt;"",'算罪台'!$B$6&lt;&gt;"",ISNUMBER(SEARCH($A356,'算罪台'!$B$6))),1,0)</f>
        <v/>
      </c>
    </row>
    <row r="358">
      <c r="A358" s="34" t="inlineStr">
        <is>
          <t>大吵大闹</t>
        </is>
      </c>
      <c r="B358" s="34" t="inlineStr">
        <is>
          <t>扰乱治安罪</t>
        </is>
      </c>
      <c r="C358" s="34">
        <f>IF(AND($A357&lt;&gt;"",'算罪台'!$B$4&lt;&gt;"",ISNUMBER(SEARCH($A357,'算罪台'!$B$4))),1,0)</f>
        <v/>
      </c>
      <c r="D358" s="34">
        <f>IF(AND($A357&lt;&gt;"",'算罪台'!$B$5&lt;&gt;"",ISNUMBER(SEARCH($A357,'算罪台'!$B$5))),1,0)</f>
        <v/>
      </c>
      <c r="E358" s="34">
        <f>IF(AND($A357&lt;&gt;"",'算罪台'!$B$6&lt;&gt;"",ISNUMBER(SEARCH($A357,'算罪台'!$B$6))),1,0)</f>
        <v/>
      </c>
    </row>
    <row r="359">
      <c r="A359" s="34" t="inlineStr">
        <is>
          <t>挑事</t>
        </is>
      </c>
      <c r="B359" s="34" t="inlineStr">
        <is>
          <t>扰乱治安罪</t>
        </is>
      </c>
      <c r="C359" s="34">
        <f>IF(AND($A358&lt;&gt;"",'算罪台'!$B$4&lt;&gt;"",ISNUMBER(SEARCH($A358,'算罪台'!$B$4))),1,0)</f>
        <v/>
      </c>
      <c r="D359" s="34">
        <f>IF(AND($A358&lt;&gt;"",'算罪台'!$B$5&lt;&gt;"",ISNUMBER(SEARCH($A358,'算罪台'!$B$5))),1,0)</f>
        <v/>
      </c>
      <c r="E359" s="34">
        <f>IF(AND($A358&lt;&gt;"",'算罪台'!$B$6&lt;&gt;"",ISNUMBER(SEARCH($A358,'算罪台'!$B$6))),1,0)</f>
        <v/>
      </c>
    </row>
    <row r="360">
      <c r="A360" s="34" t="inlineStr">
        <is>
          <t>起哄</t>
        </is>
      </c>
      <c r="B360" s="34" t="inlineStr">
        <is>
          <t>扰乱治安罪</t>
        </is>
      </c>
      <c r="C360" s="34">
        <f>IF(AND($A359&lt;&gt;"",'算罪台'!$B$4&lt;&gt;"",ISNUMBER(SEARCH($A359,'算罪台'!$B$4))),1,0)</f>
        <v/>
      </c>
      <c r="D360" s="34">
        <f>IF(AND($A359&lt;&gt;"",'算罪台'!$B$5&lt;&gt;"",ISNUMBER(SEARCH($A359,'算罪台'!$B$5))),1,0)</f>
        <v/>
      </c>
      <c r="E360" s="34">
        <f>IF(AND($A359&lt;&gt;"",'算罪台'!$B$6&lt;&gt;"",ISNUMBER(SEARCH($A359,'算罪台'!$B$6))),1,0)</f>
        <v/>
      </c>
    </row>
    <row r="361">
      <c r="A361" s="34" t="inlineStr">
        <is>
          <t>非法集会</t>
        </is>
      </c>
      <c r="B361" s="34" t="inlineStr">
        <is>
          <t>非法集会罪</t>
        </is>
      </c>
      <c r="C361" s="34">
        <f>IF(AND($A360&lt;&gt;"",'算罪台'!$B$4&lt;&gt;"",ISNUMBER(SEARCH($A360,'算罪台'!$B$4))),1,0)</f>
        <v/>
      </c>
      <c r="D361" s="34">
        <f>IF(AND($A360&lt;&gt;"",'算罪台'!$B$5&lt;&gt;"",ISNUMBER(SEARCH($A360,'算罪台'!$B$5))),1,0)</f>
        <v/>
      </c>
      <c r="E361" s="34">
        <f>IF(AND($A360&lt;&gt;"",'算罪台'!$B$6&lt;&gt;"",ISNUMBER(SEARCH($A360,'算罪台'!$B$6))),1,0)</f>
        <v/>
      </c>
    </row>
    <row r="362">
      <c r="A362" s="34" t="inlineStr">
        <is>
          <t>聚众</t>
        </is>
      </c>
      <c r="B362" s="34" t="inlineStr">
        <is>
          <t>非法集会罪</t>
        </is>
      </c>
      <c r="C362" s="34">
        <f>IF(AND($A361&lt;&gt;"",'算罪台'!$B$4&lt;&gt;"",ISNUMBER(SEARCH($A361,'算罪台'!$B$4))),1,0)</f>
        <v/>
      </c>
      <c r="D362" s="34">
        <f>IF(AND($A361&lt;&gt;"",'算罪台'!$B$5&lt;&gt;"",ISNUMBER(SEARCH($A361,'算罪台'!$B$5))),1,0)</f>
        <v/>
      </c>
      <c r="E362" s="34">
        <f>IF(AND($A361&lt;&gt;"",'算罪台'!$B$6&lt;&gt;"",ISNUMBER(SEARCH($A361,'算罪台'!$B$6))),1,0)</f>
        <v/>
      </c>
    </row>
    <row r="363">
      <c r="A363" s="34" t="inlineStr">
        <is>
          <t>聚集骚乱</t>
        </is>
      </c>
      <c r="B363" s="34" t="inlineStr">
        <is>
          <t>非法集会罪</t>
        </is>
      </c>
      <c r="C363" s="34">
        <f>IF(AND($A362&lt;&gt;"",'算罪台'!$B$4&lt;&gt;"",ISNUMBER(SEARCH($A362,'算罪台'!$B$4))),1,0)</f>
        <v/>
      </c>
      <c r="D363" s="34">
        <f>IF(AND($A362&lt;&gt;"",'算罪台'!$B$5&lt;&gt;"",ISNUMBER(SEARCH($A362,'算罪台'!$B$5))),1,0)</f>
        <v/>
      </c>
      <c r="E363" s="34">
        <f>IF(AND($A362&lt;&gt;"",'算罪台'!$B$6&lt;&gt;"",ISNUMBER(SEARCH($A362,'算罪台'!$B$6))),1,0)</f>
        <v/>
      </c>
    </row>
    <row r="364">
      <c r="A364" s="34" t="inlineStr">
        <is>
          <t>非法聚集</t>
        </is>
      </c>
      <c r="B364" s="34" t="inlineStr">
        <is>
          <t>非法集会罪</t>
        </is>
      </c>
      <c r="C364" s="34">
        <f>IF(AND($A363&lt;&gt;"",'算罪台'!$B$4&lt;&gt;"",ISNUMBER(SEARCH($A363,'算罪台'!$B$4))),1,0)</f>
        <v/>
      </c>
      <c r="D364" s="34">
        <f>IF(AND($A363&lt;&gt;"",'算罪台'!$B$5&lt;&gt;"",ISNUMBER(SEARCH($A363,'算罪台'!$B$5))),1,0)</f>
        <v/>
      </c>
      <c r="E364" s="34">
        <f>IF(AND($A363&lt;&gt;"",'算罪台'!$B$6&lt;&gt;"",ISNUMBER(SEARCH($A363,'算罪台'!$B$6))),1,0)</f>
        <v/>
      </c>
    </row>
    <row r="365">
      <c r="A365" s="34" t="inlineStr">
        <is>
          <t>聚众闹事</t>
        </is>
      </c>
      <c r="B365" s="34" t="inlineStr">
        <is>
          <t>非法集会罪</t>
        </is>
      </c>
      <c r="C365" s="34">
        <f>IF(AND($A364&lt;&gt;"",'算罪台'!$B$4&lt;&gt;"",ISNUMBER(SEARCH($A364,'算罪台'!$B$4))),1,0)</f>
        <v/>
      </c>
      <c r="D365" s="34">
        <f>IF(AND($A364&lt;&gt;"",'算罪台'!$B$5&lt;&gt;"",ISNUMBER(SEARCH($A364,'算罪台'!$B$5))),1,0)</f>
        <v/>
      </c>
      <c r="E365" s="34">
        <f>IF(AND($A364&lt;&gt;"",'算罪台'!$B$6&lt;&gt;"",ISNUMBER(SEARCH($A364,'算罪台'!$B$6))),1,0)</f>
        <v/>
      </c>
    </row>
    <row r="366">
      <c r="A366" s="34" t="inlineStr">
        <is>
          <t>聚集斗殴</t>
        </is>
      </c>
      <c r="B366" s="34" t="inlineStr">
        <is>
          <t>非法集会罪</t>
        </is>
      </c>
      <c r="C366" s="34">
        <f>IF(AND($A365&lt;&gt;"",'算罪台'!$B$4&lt;&gt;"",ISNUMBER(SEARCH($A365,'算罪台'!$B$4))),1,0)</f>
        <v/>
      </c>
      <c r="D366" s="34">
        <f>IF(AND($A365&lt;&gt;"",'算罪台'!$B$5&lt;&gt;"",ISNUMBER(SEARCH($A365,'算罪台'!$B$5))),1,0)</f>
        <v/>
      </c>
      <c r="E366" s="34">
        <f>IF(AND($A365&lt;&gt;"",'算罪台'!$B$6&lt;&gt;"",ISNUMBER(SEARCH($A365,'算罪台'!$B$6))),1,0)</f>
        <v/>
      </c>
    </row>
    <row r="367">
      <c r="A367" s="34" t="inlineStr">
        <is>
          <t>聚众斗殴</t>
        </is>
      </c>
      <c r="B367" s="34" t="inlineStr">
        <is>
          <t>非法集会罪</t>
        </is>
      </c>
      <c r="C367" s="34">
        <f>IF(AND($A366&lt;&gt;"",'算罪台'!$B$4&lt;&gt;"",ISNUMBER(SEARCH($A366,'算罪台'!$B$4))),1,0)</f>
        <v/>
      </c>
      <c r="D367" s="34">
        <f>IF(AND($A366&lt;&gt;"",'算罪台'!$B$5&lt;&gt;"",ISNUMBER(SEARCH($A366,'算罪台'!$B$5))),1,0)</f>
        <v/>
      </c>
      <c r="E367" s="34">
        <f>IF(AND($A366&lt;&gt;"",'算罪台'!$B$6&lt;&gt;"",ISNUMBER(SEARCH($A366,'算罪台'!$B$6))),1,0)</f>
        <v/>
      </c>
    </row>
    <row r="368">
      <c r="A368" s="34" t="inlineStr">
        <is>
          <t>煽动暴乱</t>
        </is>
      </c>
      <c r="B368" s="34" t="inlineStr">
        <is>
          <t>煽动暴乱罪</t>
        </is>
      </c>
      <c r="C368" s="34">
        <f>IF(AND($A367&lt;&gt;"",'算罪台'!$B$4&lt;&gt;"",ISNUMBER(SEARCH($A367,'算罪台'!$B$4))),1,0)</f>
        <v/>
      </c>
      <c r="D368" s="34">
        <f>IF(AND($A367&lt;&gt;"",'算罪台'!$B$5&lt;&gt;"",ISNUMBER(SEARCH($A367,'算罪台'!$B$5))),1,0)</f>
        <v/>
      </c>
      <c r="E368" s="34">
        <f>IF(AND($A367&lt;&gt;"",'算罪台'!$B$6&lt;&gt;"",ISNUMBER(SEARCH($A367,'算罪台'!$B$6))),1,0)</f>
        <v/>
      </c>
    </row>
    <row r="369">
      <c r="A369" s="34" t="inlineStr">
        <is>
          <t>煽动暴力</t>
        </is>
      </c>
      <c r="B369" s="34" t="inlineStr">
        <is>
          <t>煽动暴乱罪</t>
        </is>
      </c>
      <c r="C369" s="34">
        <f>IF(AND($A368&lt;&gt;"",'算罪台'!$B$4&lt;&gt;"",ISNUMBER(SEARCH($A368,'算罪台'!$B$4))),1,0)</f>
        <v/>
      </c>
      <c r="D369" s="34">
        <f>IF(AND($A368&lt;&gt;"",'算罪台'!$B$5&lt;&gt;"",ISNUMBER(SEARCH($A368,'算罪台'!$B$5))),1,0)</f>
        <v/>
      </c>
      <c r="E369" s="34">
        <f>IF(AND($A368&lt;&gt;"",'算罪台'!$B$6&lt;&gt;"",ISNUMBER(SEARCH($A368,'算罪台'!$B$6))),1,0)</f>
        <v/>
      </c>
    </row>
    <row r="370">
      <c r="A370" s="34" t="inlineStr">
        <is>
          <t>鼓动暴乱</t>
        </is>
      </c>
      <c r="B370" s="34" t="inlineStr">
        <is>
          <t>煽动暴乱罪</t>
        </is>
      </c>
      <c r="C370" s="34">
        <f>IF(AND($A369&lt;&gt;"",'算罪台'!$B$4&lt;&gt;"",ISNUMBER(SEARCH($A369,'算罪台'!$B$4))),1,0)</f>
        <v/>
      </c>
      <c r="D370" s="34">
        <f>IF(AND($A369&lt;&gt;"",'算罪台'!$B$5&lt;&gt;"",ISNUMBER(SEARCH($A369,'算罪台'!$B$5))),1,0)</f>
        <v/>
      </c>
      <c r="E370" s="34">
        <f>IF(AND($A369&lt;&gt;"",'算罪台'!$B$6&lt;&gt;"",ISNUMBER(SEARCH($A369,'算罪台'!$B$6))),1,0)</f>
        <v/>
      </c>
    </row>
    <row r="371">
      <c r="A371" s="34" t="inlineStr">
        <is>
          <t>鼓动暴力</t>
        </is>
      </c>
      <c r="B371" s="34" t="inlineStr">
        <is>
          <t>煽动暴乱罪</t>
        </is>
      </c>
      <c r="C371" s="34">
        <f>IF(AND($A370&lt;&gt;"",'算罪台'!$B$4&lt;&gt;"",ISNUMBER(SEARCH($A370,'算罪台'!$B$4))),1,0)</f>
        <v/>
      </c>
      <c r="D371" s="34">
        <f>IF(AND($A370&lt;&gt;"",'算罪台'!$B$5&lt;&gt;"",ISNUMBER(SEARCH($A370,'算罪台'!$B$5))),1,0)</f>
        <v/>
      </c>
      <c r="E371" s="34">
        <f>IF(AND($A370&lt;&gt;"",'算罪台'!$B$6&lt;&gt;"",ISNUMBER(SEARCH($A370,'算罪台'!$B$6))),1,0)</f>
        <v/>
      </c>
    </row>
    <row r="372">
      <c r="A372" s="34" t="inlineStr">
        <is>
          <t>带头闹事</t>
        </is>
      </c>
      <c r="B372" s="34" t="inlineStr">
        <is>
          <t>煽动暴乱罪</t>
        </is>
      </c>
      <c r="C372" s="34">
        <f>IF(AND($A371&lt;&gt;"",'算罪台'!$B$4&lt;&gt;"",ISNUMBER(SEARCH($A371,'算罪台'!$B$4))),1,0)</f>
        <v/>
      </c>
      <c r="D372" s="34">
        <f>IF(AND($A371&lt;&gt;"",'算罪台'!$B$5&lt;&gt;"",ISNUMBER(SEARCH($A371,'算罪台'!$B$5))),1,0)</f>
        <v/>
      </c>
      <c r="E372" s="34">
        <f>IF(AND($A371&lt;&gt;"",'算罪台'!$B$6&lt;&gt;"",ISNUMBER(SEARCH($A371,'算罪台'!$B$6))),1,0)</f>
        <v/>
      </c>
    </row>
    <row r="373">
      <c r="A373" s="34" t="inlineStr">
        <is>
          <t>煽动</t>
        </is>
      </c>
      <c r="B373" s="34" t="inlineStr">
        <is>
          <t>煽动暴乱罪</t>
        </is>
      </c>
      <c r="C373" s="34">
        <f>IF(AND($A372&lt;&gt;"",'算罪台'!$B$4&lt;&gt;"",ISNUMBER(SEARCH($A372,'算罪台'!$B$4))),1,0)</f>
        <v/>
      </c>
      <c r="D373" s="34">
        <f>IF(AND($A372&lt;&gt;"",'算罪台'!$B$5&lt;&gt;"",ISNUMBER(SEARCH($A372,'算罪台'!$B$5))),1,0)</f>
        <v/>
      </c>
      <c r="E373" s="34">
        <f>IF(AND($A372&lt;&gt;"",'算罪台'!$B$6&lt;&gt;"",ISNUMBER(SEARCH($A372,'算罪台'!$B$6))),1,0)</f>
        <v/>
      </c>
    </row>
    <row r="374">
      <c r="A374" s="34" t="inlineStr">
        <is>
          <t>遮挡面部</t>
        </is>
      </c>
      <c r="B374" s="34" t="inlineStr">
        <is>
          <t>遮挡面部罪</t>
        </is>
      </c>
      <c r="C374" s="34">
        <f>IF(AND($A373&lt;&gt;"",'算罪台'!$B$4&lt;&gt;"",ISNUMBER(SEARCH($A373,'算罪台'!$B$4))),1,0)</f>
        <v/>
      </c>
      <c r="D374" s="34">
        <f>IF(AND($A373&lt;&gt;"",'算罪台'!$B$5&lt;&gt;"",ISNUMBER(SEARCH($A373,'算罪台'!$B$5))),1,0)</f>
        <v/>
      </c>
      <c r="E374" s="34">
        <f>IF(AND($A373&lt;&gt;"",'算罪台'!$B$6&lt;&gt;"",ISNUMBER(SEARCH($A373,'算罪台'!$B$6))),1,0)</f>
        <v/>
      </c>
    </row>
    <row r="375">
      <c r="A375" s="34" t="inlineStr">
        <is>
          <t>蒙面</t>
        </is>
      </c>
      <c r="B375" s="34" t="inlineStr">
        <is>
          <t>遮挡面部罪</t>
        </is>
      </c>
      <c r="C375" s="34">
        <f>IF(AND($A374&lt;&gt;"",'算罪台'!$B$4&lt;&gt;"",ISNUMBER(SEARCH($A374,'算罪台'!$B$4))),1,0)</f>
        <v/>
      </c>
      <c r="D375" s="34">
        <f>IF(AND($A374&lt;&gt;"",'算罪台'!$B$5&lt;&gt;"",ISNUMBER(SEARCH($A374,'算罪台'!$B$5))),1,0)</f>
        <v/>
      </c>
      <c r="E375" s="34">
        <f>IF(AND($A374&lt;&gt;"",'算罪台'!$B$6&lt;&gt;"",ISNUMBER(SEARCH($A374,'算罪台'!$B$6))),1,0)</f>
        <v/>
      </c>
    </row>
    <row r="376">
      <c r="A376" s="34" t="inlineStr">
        <is>
          <t>戴面具</t>
        </is>
      </c>
      <c r="B376" s="34" t="inlineStr">
        <is>
          <t>遮挡面部罪</t>
        </is>
      </c>
      <c r="C376" s="34">
        <f>IF(AND($A375&lt;&gt;"",'算罪台'!$B$4&lt;&gt;"",ISNUMBER(SEARCH($A375,'算罪台'!$B$4))),1,0)</f>
        <v/>
      </c>
      <c r="D376" s="34">
        <f>IF(AND($A375&lt;&gt;"",'算罪台'!$B$5&lt;&gt;"",ISNUMBER(SEARCH($A375,'算罪台'!$B$5))),1,0)</f>
        <v/>
      </c>
      <c r="E376" s="34">
        <f>IF(AND($A375&lt;&gt;"",'算罪台'!$B$6&lt;&gt;"",ISNUMBER(SEARCH($A375,'算罪台'!$B$6))),1,0)</f>
        <v/>
      </c>
    </row>
    <row r="377">
      <c r="A377" s="34" t="inlineStr">
        <is>
          <t>兜帽遮脸</t>
        </is>
      </c>
      <c r="B377" s="34" t="inlineStr">
        <is>
          <t>遮挡面部罪</t>
        </is>
      </c>
      <c r="C377" s="34">
        <f>IF(AND($A376&lt;&gt;"",'算罪台'!$B$4&lt;&gt;"",ISNUMBER(SEARCH($A376,'算罪台'!$B$4))),1,0)</f>
        <v/>
      </c>
      <c r="D377" s="34">
        <f>IF(AND($A376&lt;&gt;"",'算罪台'!$B$5&lt;&gt;"",ISNUMBER(SEARCH($A376,'算罪台'!$B$5))),1,0)</f>
        <v/>
      </c>
      <c r="E377" s="34">
        <f>IF(AND($A376&lt;&gt;"",'算罪台'!$B$6&lt;&gt;"",ISNUMBER(SEARCH($A376,'算罪台'!$B$6))),1,0)</f>
        <v/>
      </c>
    </row>
    <row r="378">
      <c r="A378" s="34" t="inlineStr">
        <is>
          <t>拒绝揭开面罩</t>
        </is>
      </c>
      <c r="B378" s="34" t="inlineStr">
        <is>
          <t>遮挡面部罪</t>
        </is>
      </c>
      <c r="C378" s="34">
        <f>IF(AND($A377&lt;&gt;"",'算罪台'!$B$4&lt;&gt;"",ISNUMBER(SEARCH($A377,'算罪台'!$B$4))),1,0)</f>
        <v/>
      </c>
      <c r="D378" s="34">
        <f>IF(AND($A377&lt;&gt;"",'算罪台'!$B$5&lt;&gt;"",ISNUMBER(SEARCH($A377,'算罪台'!$B$5))),1,0)</f>
        <v/>
      </c>
      <c r="E378" s="34">
        <f>IF(AND($A377&lt;&gt;"",'算罪台'!$B$6&lt;&gt;"",ISNUMBER(SEARCH($A377,'算罪台'!$B$6))),1,0)</f>
        <v/>
      </c>
    </row>
    <row r="379">
      <c r="A379" s="34" t="inlineStr">
        <is>
          <t>蒙着脸</t>
        </is>
      </c>
      <c r="B379" s="34" t="inlineStr">
        <is>
          <t>遮挡面部罪</t>
        </is>
      </c>
      <c r="C379" s="34">
        <f>IF(AND($A378&lt;&gt;"",'算罪台'!$B$4&lt;&gt;"",ISNUMBER(SEARCH($A378,'算罪台'!$B$4))),1,0)</f>
        <v/>
      </c>
      <c r="D379" s="34">
        <f>IF(AND($A378&lt;&gt;"",'算罪台'!$B$5&lt;&gt;"",ISNUMBER(SEARCH($A378,'算罪台'!$B$5))),1,0)</f>
        <v/>
      </c>
      <c r="E379" s="34">
        <f>IF(AND($A378&lt;&gt;"",'算罪台'!$B$6&lt;&gt;"",ISNUMBER(SEARCH($A378,'算罪台'!$B$6))),1,0)</f>
        <v/>
      </c>
    </row>
    <row r="380">
      <c r="A380" s="34" t="inlineStr">
        <is>
          <t>戴头套</t>
        </is>
      </c>
      <c r="B380" s="34" t="inlineStr">
        <is>
          <t>遮挡面部罪</t>
        </is>
      </c>
      <c r="C380" s="34">
        <f>IF(AND($A379&lt;&gt;"",'算罪台'!$B$4&lt;&gt;"",ISNUMBER(SEARCH($A379,'算罪台'!$B$4))),1,0)</f>
        <v/>
      </c>
      <c r="D380" s="34">
        <f>IF(AND($A379&lt;&gt;"",'算罪台'!$B$5&lt;&gt;"",ISNUMBER(SEARCH($A379,'算罪台'!$B$5))),1,0)</f>
        <v/>
      </c>
      <c r="E380" s="34">
        <f>IF(AND($A379&lt;&gt;"",'算罪台'!$B$6&lt;&gt;"",ISNUMBER(SEARCH($A379,'算罪台'!$B$6))),1,0)</f>
        <v/>
      </c>
    </row>
    <row r="381">
      <c r="A381" s="34" t="inlineStr">
        <is>
          <t>非法持有热武器</t>
        </is>
      </c>
      <c r="B381" s="34" t="inlineStr">
        <is>
          <t>非法持有热武器罪</t>
        </is>
      </c>
      <c r="C381" s="34">
        <f>IF(AND($A380&lt;&gt;"",'算罪台'!$B$4&lt;&gt;"",ISNUMBER(SEARCH($A380,'算罪台'!$B$4))),1,0)</f>
        <v/>
      </c>
      <c r="D381" s="34">
        <f>IF(AND($A380&lt;&gt;"",'算罪台'!$B$5&lt;&gt;"",ISNUMBER(SEARCH($A380,'算罪台'!$B$5))),1,0)</f>
        <v/>
      </c>
      <c r="E381" s="34">
        <f>IF(AND($A380&lt;&gt;"",'算罪台'!$B$6&lt;&gt;"",ISNUMBER(SEARCH($A380,'算罪台'!$B$6))),1,0)</f>
        <v/>
      </c>
    </row>
    <row r="382">
      <c r="A382" s="34" t="inlineStr">
        <is>
          <t>无证持枪</t>
        </is>
      </c>
      <c r="B382" s="34" t="inlineStr">
        <is>
          <t>非法持有热武器罪</t>
        </is>
      </c>
      <c r="C382" s="34">
        <f>IF(AND($A381&lt;&gt;"",'算罪台'!$B$4&lt;&gt;"",ISNUMBER(SEARCH($A381,'算罪台'!$B$4))),1,0)</f>
        <v/>
      </c>
      <c r="D382" s="34">
        <f>IF(AND($A381&lt;&gt;"",'算罪台'!$B$5&lt;&gt;"",ISNUMBER(SEARCH($A381,'算罪台'!$B$5))),1,0)</f>
        <v/>
      </c>
      <c r="E382" s="34">
        <f>IF(AND($A381&lt;&gt;"",'算罪台'!$B$6&lt;&gt;"",ISNUMBER(SEARCH($A381,'算罪台'!$B$6))),1,0)</f>
        <v/>
      </c>
    </row>
    <row r="383">
      <c r="A383" s="34" t="inlineStr">
        <is>
          <t>非法持枪</t>
        </is>
      </c>
      <c r="B383" s="34" t="inlineStr">
        <is>
          <t>非法持有热武器罪</t>
        </is>
      </c>
      <c r="C383" s="34">
        <f>IF(AND($A382&lt;&gt;"",'算罪台'!$B$4&lt;&gt;"",ISNUMBER(SEARCH($A382,'算罪台'!$B$4))),1,0)</f>
        <v/>
      </c>
      <c r="D383" s="34">
        <f>IF(AND($A382&lt;&gt;"",'算罪台'!$B$5&lt;&gt;"",ISNUMBER(SEARCH($A382,'算罪台'!$B$5))),1,0)</f>
        <v/>
      </c>
      <c r="E383" s="34">
        <f>IF(AND($A382&lt;&gt;"",'算罪台'!$B$6&lt;&gt;"",ISNUMBER(SEARCH($A382,'算罪台'!$B$6))),1,0)</f>
        <v/>
      </c>
    </row>
    <row r="384">
      <c r="A384" s="34" t="inlineStr">
        <is>
          <t>持有非法武器</t>
        </is>
      </c>
      <c r="B384" s="34" t="inlineStr">
        <is>
          <t>非法持有热武器罪</t>
        </is>
      </c>
      <c r="C384" s="34">
        <f>IF(AND($A383&lt;&gt;"",'算罪台'!$B$4&lt;&gt;"",ISNUMBER(SEARCH($A383,'算罪台'!$B$4))),1,0)</f>
        <v/>
      </c>
      <c r="D384" s="34">
        <f>IF(AND($A383&lt;&gt;"",'算罪台'!$B$5&lt;&gt;"",ISNUMBER(SEARCH($A383,'算罪台'!$B$5))),1,0)</f>
        <v/>
      </c>
      <c r="E384" s="34">
        <f>IF(AND($A383&lt;&gt;"",'算罪台'!$B$6&lt;&gt;"",ISNUMBER(SEARCH($A383,'算罪台'!$B$6))),1,0)</f>
        <v/>
      </c>
    </row>
    <row r="385">
      <c r="A385" s="34" t="inlineStr">
        <is>
          <t>无序列号枪支</t>
        </is>
      </c>
      <c r="B385" s="34" t="inlineStr">
        <is>
          <t>非法持有热武器罪</t>
        </is>
      </c>
      <c r="C385" s="34">
        <f>IF(AND($A384&lt;&gt;"",'算罪台'!$B$4&lt;&gt;"",ISNUMBER(SEARCH($A384,'算罪台'!$B$4))),1,0)</f>
        <v/>
      </c>
      <c r="D385" s="34">
        <f>IF(AND($A384&lt;&gt;"",'算罪台'!$B$5&lt;&gt;"",ISNUMBER(SEARCH($A384,'算罪台'!$B$5))),1,0)</f>
        <v/>
      </c>
      <c r="E385" s="34">
        <f>IF(AND($A384&lt;&gt;"",'算罪台'!$B$6&lt;&gt;"",ISNUMBER(SEARCH($A384,'算罪台'!$B$6))),1,0)</f>
        <v/>
      </c>
    </row>
    <row r="386">
      <c r="A386" s="34" t="inlineStr">
        <is>
          <t>全自动枪支</t>
        </is>
      </c>
      <c r="B386" s="34" t="inlineStr">
        <is>
          <t>非法持有热武器罪</t>
        </is>
      </c>
      <c r="C386" s="34">
        <f>IF(AND($A385&lt;&gt;"",'算罪台'!$B$4&lt;&gt;"",ISNUMBER(SEARCH($A385,'算罪台'!$B$4))),1,0)</f>
        <v/>
      </c>
      <c r="D386" s="34">
        <f>IF(AND($A385&lt;&gt;"",'算罪台'!$B$5&lt;&gt;"",ISNUMBER(SEARCH($A385,'算罪台'!$B$5))),1,0)</f>
        <v/>
      </c>
      <c r="E386" s="34">
        <f>IF(AND($A385&lt;&gt;"",'算罪台'!$B$6&lt;&gt;"",ISNUMBER(SEARCH($A385,'算罪台'!$B$6))),1,0)</f>
        <v/>
      </c>
    </row>
    <row r="387">
      <c r="A387" s="34" t="inlineStr">
        <is>
          <t>私藏枪支</t>
        </is>
      </c>
      <c r="B387" s="34" t="inlineStr">
        <is>
          <t>非法持有热武器罪</t>
        </is>
      </c>
      <c r="C387" s="34">
        <f>IF(AND($A386&lt;&gt;"",'算罪台'!$B$4&lt;&gt;"",ISNUMBER(SEARCH($A386,'算罪台'!$B$4))),1,0)</f>
        <v/>
      </c>
      <c r="D387" s="34">
        <f>IF(AND($A386&lt;&gt;"",'算罪台'!$B$5&lt;&gt;"",ISNUMBER(SEARCH($A386,'算罪台'!$B$5))),1,0)</f>
        <v/>
      </c>
      <c r="E387" s="34">
        <f>IF(AND($A386&lt;&gt;"",'算罪台'!$B$6&lt;&gt;"",ISNUMBER(SEARCH($A386,'算罪台'!$B$6))),1,0)</f>
        <v/>
      </c>
    </row>
    <row r="388">
      <c r="A388" s="34" t="inlineStr">
        <is>
          <t>持有爆炸物</t>
        </is>
      </c>
      <c r="B388" s="34" t="inlineStr">
        <is>
          <t>非法持有热武器罪</t>
        </is>
      </c>
      <c r="C388" s="34">
        <f>IF(AND($A387&lt;&gt;"",'算罪台'!$B$4&lt;&gt;"",ISNUMBER(SEARCH($A387,'算罪台'!$B$4))),1,0)</f>
        <v/>
      </c>
      <c r="D388" s="34">
        <f>IF(AND($A387&lt;&gt;"",'算罪台'!$B$5&lt;&gt;"",ISNUMBER(SEARCH($A387,'算罪台'!$B$5))),1,0)</f>
        <v/>
      </c>
      <c r="E388" s="34">
        <f>IF(AND($A387&lt;&gt;"",'算罪台'!$B$6&lt;&gt;"",ISNUMBER(SEARCH($A387,'算罪台'!$B$6))),1,0)</f>
        <v/>
      </c>
    </row>
    <row r="389">
      <c r="A389" s="34" t="inlineStr">
        <is>
          <t>身上有枪</t>
        </is>
      </c>
      <c r="B389" s="34" t="inlineStr">
        <is>
          <t>非法持有热武器罪</t>
        </is>
      </c>
      <c r="C389" s="34">
        <f>IF(AND($A388&lt;&gt;"",'算罪台'!$B$4&lt;&gt;"",ISNUMBER(SEARCH($A388,'算罪台'!$B$4))),1,0)</f>
        <v/>
      </c>
      <c r="D389" s="34">
        <f>IF(AND($A388&lt;&gt;"",'算罪台'!$B$5&lt;&gt;"",ISNUMBER(SEARCH($A388,'算罪台'!$B$5))),1,0)</f>
        <v/>
      </c>
      <c r="E389" s="34">
        <f>IF(AND($A388&lt;&gt;"",'算罪台'!$B$6&lt;&gt;"",ISNUMBER(SEARCH($A388,'算罪台'!$B$6))),1,0)</f>
        <v/>
      </c>
    </row>
    <row r="390">
      <c r="A390" s="34" t="inlineStr">
        <is>
          <t>携带枪支</t>
        </is>
      </c>
      <c r="B390" s="34" t="inlineStr">
        <is>
          <t>非法持有热武器罪</t>
        </is>
      </c>
      <c r="C390" s="34">
        <f>IF(AND($A389&lt;&gt;"",'算罪台'!$B$4&lt;&gt;"",ISNUMBER(SEARCH($A389,'算罪台'!$B$4))),1,0)</f>
        <v/>
      </c>
      <c r="D390" s="34">
        <f>IF(AND($A389&lt;&gt;"",'算罪台'!$B$5&lt;&gt;"",ISNUMBER(SEARCH($A389,'算罪台'!$B$5))),1,0)</f>
        <v/>
      </c>
      <c r="E390" s="34">
        <f>IF(AND($A389&lt;&gt;"",'算罪台'!$B$6&lt;&gt;"",ISNUMBER(SEARCH($A389,'算罪台'!$B$6))),1,0)</f>
        <v/>
      </c>
    </row>
    <row r="391">
      <c r="A391" s="34" t="inlineStr">
        <is>
          <t>藏枪</t>
        </is>
      </c>
      <c r="B391" s="34" t="inlineStr">
        <is>
          <t>非法持有热武器罪</t>
        </is>
      </c>
      <c r="C391" s="34">
        <f>IF(AND($A390&lt;&gt;"",'算罪台'!$B$4&lt;&gt;"",ISNUMBER(SEARCH($A390,'算罪台'!$B$4))),1,0)</f>
        <v/>
      </c>
      <c r="D391" s="34">
        <f>IF(AND($A390&lt;&gt;"",'算罪台'!$B$5&lt;&gt;"",ISNUMBER(SEARCH($A390,'算罪台'!$B$5))),1,0)</f>
        <v/>
      </c>
      <c r="E391" s="34">
        <f>IF(AND($A390&lt;&gt;"",'算罪台'!$B$6&lt;&gt;"",ISNUMBER(SEARCH($A390,'算罪台'!$B$6))),1,0)</f>
        <v/>
      </c>
    </row>
    <row r="392">
      <c r="A392" s="34" t="inlineStr">
        <is>
          <t>非法展示热武器</t>
        </is>
      </c>
      <c r="B392" s="34" t="inlineStr">
        <is>
          <t>非法展示热武器罪</t>
        </is>
      </c>
      <c r="C392" s="34">
        <f>IF(AND($A391&lt;&gt;"",'算罪台'!$B$4&lt;&gt;"",ISNUMBER(SEARCH($A391,'算罪台'!$B$4))),1,0)</f>
        <v/>
      </c>
      <c r="D392" s="34">
        <f>IF(AND($A391&lt;&gt;"",'算罪台'!$B$5&lt;&gt;"",ISNUMBER(SEARCH($A391,'算罪台'!$B$5))),1,0)</f>
        <v/>
      </c>
      <c r="E392" s="34">
        <f>IF(AND($A391&lt;&gt;"",'算罪台'!$B$6&lt;&gt;"",ISNUMBER(SEARCH($A391,'算罪台'!$B$6))),1,0)</f>
        <v/>
      </c>
    </row>
    <row r="393">
      <c r="A393" s="34" t="inlineStr">
        <is>
          <t>公开持枪</t>
        </is>
      </c>
      <c r="B393" s="34" t="inlineStr">
        <is>
          <t>非法展示热武器罪</t>
        </is>
      </c>
      <c r="C393" s="34">
        <f>IF(AND($A392&lt;&gt;"",'算罪台'!$B$4&lt;&gt;"",ISNUMBER(SEARCH($A392,'算罪台'!$B$4))),1,0)</f>
        <v/>
      </c>
      <c r="D393" s="34">
        <f>IF(AND($A392&lt;&gt;"",'算罪台'!$B$5&lt;&gt;"",ISNUMBER(SEARCH($A392,'算罪台'!$B$5))),1,0)</f>
        <v/>
      </c>
      <c r="E393" s="34">
        <f>IF(AND($A392&lt;&gt;"",'算罪台'!$B$6&lt;&gt;"",ISNUMBER(SEARCH($A392,'算罪台'!$B$6))),1,0)</f>
        <v/>
      </c>
    </row>
    <row r="394">
      <c r="A394" s="34" t="inlineStr">
        <is>
          <t>挥舞武器</t>
        </is>
      </c>
      <c r="B394" s="34" t="inlineStr">
        <is>
          <t>非法展示热武器罪</t>
        </is>
      </c>
      <c r="C394" s="34">
        <f>IF(AND($A393&lt;&gt;"",'算罪台'!$B$4&lt;&gt;"",ISNUMBER(SEARCH($A393,'算罪台'!$B$4))),1,0)</f>
        <v/>
      </c>
      <c r="D394" s="34">
        <f>IF(AND($A393&lt;&gt;"",'算罪台'!$B$5&lt;&gt;"",ISNUMBER(SEARCH($A393,'算罪台'!$B$5))),1,0)</f>
        <v/>
      </c>
      <c r="E394" s="34">
        <f>IF(AND($A393&lt;&gt;"",'算罪台'!$B$6&lt;&gt;"",ISNUMBER(SEARCH($A393,'算罪台'!$B$6))),1,0)</f>
        <v/>
      </c>
    </row>
    <row r="395">
      <c r="A395" s="34" t="inlineStr">
        <is>
          <t>亮枪</t>
        </is>
      </c>
      <c r="B395" s="34" t="inlineStr">
        <is>
          <t>非法展示热武器罪</t>
        </is>
      </c>
      <c r="C395" s="34">
        <f>IF(AND($A394&lt;&gt;"",'算罪台'!$B$4&lt;&gt;"",ISNUMBER(SEARCH($A394,'算罪台'!$B$4))),1,0)</f>
        <v/>
      </c>
      <c r="D395" s="34">
        <f>IF(AND($A394&lt;&gt;"",'算罪台'!$B$5&lt;&gt;"",ISNUMBER(SEARCH($A394,'算罪台'!$B$5))),1,0)</f>
        <v/>
      </c>
      <c r="E395" s="34">
        <f>IF(AND($A394&lt;&gt;"",'算罪台'!$B$6&lt;&gt;"",ISNUMBER(SEARCH($A394,'算罪台'!$B$6))),1,0)</f>
        <v/>
      </c>
    </row>
    <row r="396">
      <c r="A396" s="34" t="inlineStr">
        <is>
          <t>展示武器</t>
        </is>
      </c>
      <c r="B396" s="34" t="inlineStr">
        <is>
          <t>非法展示热武器罪</t>
        </is>
      </c>
      <c r="C396" s="34">
        <f>IF(AND($A395&lt;&gt;"",'算罪台'!$B$4&lt;&gt;"",ISNUMBER(SEARCH($A395,'算罪台'!$B$4))),1,0)</f>
        <v/>
      </c>
      <c r="D396" s="34">
        <f>IF(AND($A395&lt;&gt;"",'算罪台'!$B$5&lt;&gt;"",ISNUMBER(SEARCH($A395,'算罪台'!$B$5))),1,0)</f>
        <v/>
      </c>
      <c r="E396" s="34">
        <f>IF(AND($A395&lt;&gt;"",'算罪台'!$B$6&lt;&gt;"",ISNUMBER(SEARCH($A395,'算罪台'!$B$6))),1,0)</f>
        <v/>
      </c>
    </row>
    <row r="397">
      <c r="A397" s="34" t="inlineStr">
        <is>
          <t>公开携带枪支</t>
        </is>
      </c>
      <c r="B397" s="34" t="inlineStr">
        <is>
          <t>非法展示热武器罪</t>
        </is>
      </c>
      <c r="C397" s="34">
        <f>IF(AND($A396&lt;&gt;"",'算罪台'!$B$4&lt;&gt;"",ISNUMBER(SEARCH($A396,'算罪台'!$B$4))),1,0)</f>
        <v/>
      </c>
      <c r="D397" s="34">
        <f>IF(AND($A396&lt;&gt;"",'算罪台'!$B$5&lt;&gt;"",ISNUMBER(SEARCH($A396,'算罪台'!$B$5))),1,0)</f>
        <v/>
      </c>
      <c r="E397" s="34">
        <f>IF(AND($A396&lt;&gt;"",'算罪台'!$B$6&lt;&gt;"",ISNUMBER(SEARCH($A396,'算罪台'!$B$6))),1,0)</f>
        <v/>
      </c>
    </row>
    <row r="398">
      <c r="A398" s="34" t="inlineStr">
        <is>
          <t>掏枪威胁</t>
        </is>
      </c>
      <c r="B398" s="34" t="inlineStr">
        <is>
          <t>非法展示热武器罪</t>
        </is>
      </c>
      <c r="C398" s="34">
        <f>IF(AND($A397&lt;&gt;"",'算罪台'!$B$4&lt;&gt;"",ISNUMBER(SEARCH($A397,'算罪台'!$B$4))),1,0)</f>
        <v/>
      </c>
      <c r="D398" s="34">
        <f>IF(AND($A397&lt;&gt;"",'算罪台'!$B$5&lt;&gt;"",ISNUMBER(SEARCH($A397,'算罪台'!$B$5))),1,0)</f>
        <v/>
      </c>
      <c r="E398" s="34">
        <f>IF(AND($A397&lt;&gt;"",'算罪台'!$B$6&lt;&gt;"",ISNUMBER(SEARCH($A397,'算罪台'!$B$6))),1,0)</f>
        <v/>
      </c>
    </row>
    <row r="399">
      <c r="A399" s="34" t="inlineStr">
        <is>
          <t>拔枪</t>
        </is>
      </c>
      <c r="B399" s="34" t="inlineStr">
        <is>
          <t>非法展示热武器罪</t>
        </is>
      </c>
      <c r="C399" s="34">
        <f>IF(AND($A398&lt;&gt;"",'算罪台'!$B$4&lt;&gt;"",ISNUMBER(SEARCH($A398,'算罪台'!$B$4))),1,0)</f>
        <v/>
      </c>
      <c r="D399" s="34">
        <f>IF(AND($A398&lt;&gt;"",'算罪台'!$B$5&lt;&gt;"",ISNUMBER(SEARCH($A398,'算罪台'!$B$5))),1,0)</f>
        <v/>
      </c>
      <c r="E399" s="34">
        <f>IF(AND($A398&lt;&gt;"",'算罪台'!$B$6&lt;&gt;"",ISNUMBER(SEARCH($A398,'算罪台'!$B$6))),1,0)</f>
        <v/>
      </c>
    </row>
    <row r="400">
      <c r="A400" s="34" t="inlineStr">
        <is>
          <t>亮出枪</t>
        </is>
      </c>
      <c r="B400" s="34" t="inlineStr">
        <is>
          <t>非法展示热武器罪</t>
        </is>
      </c>
      <c r="C400" s="34">
        <f>IF(AND($A399&lt;&gt;"",'算罪台'!$B$4&lt;&gt;"",ISNUMBER(SEARCH($A399,'算罪台'!$B$4))),1,0)</f>
        <v/>
      </c>
      <c r="D400" s="34">
        <f>IF(AND($A399&lt;&gt;"",'算罪台'!$B$5&lt;&gt;"",ISNUMBER(SEARCH($A399,'算罪台'!$B$5))),1,0)</f>
        <v/>
      </c>
      <c r="E400" s="34">
        <f>IF(AND($A399&lt;&gt;"",'算罪台'!$B$6&lt;&gt;"",ISNUMBER(SEARCH($A399,'算罪台'!$B$6))),1,0)</f>
        <v/>
      </c>
    </row>
    <row r="401">
      <c r="A401" s="34" t="inlineStr">
        <is>
          <t>举枪</t>
        </is>
      </c>
      <c r="B401" s="34" t="inlineStr">
        <is>
          <t>非法展示热武器罪</t>
        </is>
      </c>
      <c r="C401" s="34">
        <f>IF(AND($A400&lt;&gt;"",'算罪台'!$B$4&lt;&gt;"",ISNUMBER(SEARCH($A400,'算罪台'!$B$4))),1,0)</f>
        <v/>
      </c>
      <c r="D401" s="34">
        <f>IF(AND($A400&lt;&gt;"",'算罪台'!$B$5&lt;&gt;"",ISNUMBER(SEARCH($A400,'算罪台'!$B$5))),1,0)</f>
        <v/>
      </c>
      <c r="E401" s="34">
        <f>IF(AND($A400&lt;&gt;"",'算罪台'!$B$6&lt;&gt;"",ISNUMBER(SEARCH($A400,'算罪台'!$B$6))),1,0)</f>
        <v/>
      </c>
    </row>
    <row r="402">
      <c r="A402" s="34" t="inlineStr">
        <is>
          <t>非法使用热武器</t>
        </is>
      </c>
      <c r="B402" s="34" t="inlineStr">
        <is>
          <t>非法使用热武器罪</t>
        </is>
      </c>
      <c r="C402" s="34">
        <f>IF(AND($A401&lt;&gt;"",'算罪台'!$B$4&lt;&gt;"",ISNUMBER(SEARCH($A401,'算罪台'!$B$4))),1,0)</f>
        <v/>
      </c>
      <c r="D402" s="34">
        <f>IF(AND($A401&lt;&gt;"",'算罪台'!$B$5&lt;&gt;"",ISNUMBER(SEARCH($A401,'算罪台'!$B$5))),1,0)</f>
        <v/>
      </c>
      <c r="E402" s="34">
        <f>IF(AND($A401&lt;&gt;"",'算罪台'!$B$6&lt;&gt;"",ISNUMBER(SEARCH($A401,'算罪台'!$B$6))),1,0)</f>
        <v/>
      </c>
    </row>
    <row r="403">
      <c r="A403" s="34" t="inlineStr">
        <is>
          <t>鲁莽开枪</t>
        </is>
      </c>
      <c r="B403" s="34" t="inlineStr">
        <is>
          <t>非法使用热武器罪</t>
        </is>
      </c>
      <c r="C403" s="34">
        <f>IF(AND($A402&lt;&gt;"",'算罪台'!$B$4&lt;&gt;"",ISNUMBER(SEARCH($A402,'算罪台'!$B$4))),1,0)</f>
        <v/>
      </c>
      <c r="D403" s="34">
        <f>IF(AND($A402&lt;&gt;"",'算罪台'!$B$5&lt;&gt;"",ISNUMBER(SEARCH($A402,'算罪台'!$B$5))),1,0)</f>
        <v/>
      </c>
      <c r="E403" s="34">
        <f>IF(AND($A402&lt;&gt;"",'算罪台'!$B$6&lt;&gt;"",ISNUMBER(SEARCH($A402,'算罪台'!$B$6))),1,0)</f>
        <v/>
      </c>
    </row>
    <row r="404">
      <c r="A404" s="34" t="inlineStr">
        <is>
          <t>乱开枪</t>
        </is>
      </c>
      <c r="B404" s="34" t="inlineStr">
        <is>
          <t>非法使用热武器罪</t>
        </is>
      </c>
      <c r="C404" s="34">
        <f>IF(AND($A403&lt;&gt;"",'算罪台'!$B$4&lt;&gt;"",ISNUMBER(SEARCH($A403,'算罪台'!$B$4))),1,0)</f>
        <v/>
      </c>
      <c r="D404" s="34">
        <f>IF(AND($A403&lt;&gt;"",'算罪台'!$B$5&lt;&gt;"",ISNUMBER(SEARCH($A403,'算罪台'!$B$5))),1,0)</f>
        <v/>
      </c>
      <c r="E404" s="34">
        <f>IF(AND($A403&lt;&gt;"",'算罪台'!$B$6&lt;&gt;"",ISNUMBER(SEARCH($A403,'算罪台'!$B$6))),1,0)</f>
        <v/>
      </c>
    </row>
    <row r="405">
      <c r="A405" s="34" t="inlineStr">
        <is>
          <t>违规射击</t>
        </is>
      </c>
      <c r="B405" s="34" t="inlineStr">
        <is>
          <t>非法使用热武器罪</t>
        </is>
      </c>
      <c r="C405" s="34">
        <f>IF(AND($A404&lt;&gt;"",'算罪台'!$B$4&lt;&gt;"",ISNUMBER(SEARCH($A404,'算罪台'!$B$4))),1,0)</f>
        <v/>
      </c>
      <c r="D405" s="34">
        <f>IF(AND($A404&lt;&gt;"",'算罪台'!$B$5&lt;&gt;"",ISNUMBER(SEARCH($A404,'算罪台'!$B$5))),1,0)</f>
        <v/>
      </c>
      <c r="E405" s="34">
        <f>IF(AND($A404&lt;&gt;"",'算罪台'!$B$6&lt;&gt;"",ISNUMBER(SEARCH($A404,'算罪台'!$B$6))),1,0)</f>
        <v/>
      </c>
    </row>
    <row r="406">
      <c r="A406" s="34" t="inlineStr">
        <is>
          <t>开枪</t>
        </is>
      </c>
      <c r="B406" s="34" t="inlineStr">
        <is>
          <t>非法使用热武器罪</t>
        </is>
      </c>
      <c r="C406" s="34">
        <f>IF(AND($A405&lt;&gt;"",'算罪台'!$B$4&lt;&gt;"",ISNUMBER(SEARCH($A405,'算罪台'!$B$4))),1,0)</f>
        <v/>
      </c>
      <c r="D406" s="34">
        <f>IF(AND($A405&lt;&gt;"",'算罪台'!$B$5&lt;&gt;"",ISNUMBER(SEARCH($A405,'算罪台'!$B$5))),1,0)</f>
        <v/>
      </c>
      <c r="E406" s="34">
        <f>IF(AND($A405&lt;&gt;"",'算罪台'!$B$6&lt;&gt;"",ISNUMBER(SEARCH($A405,'算罪台'!$B$6))),1,0)</f>
        <v/>
      </c>
    </row>
    <row r="407">
      <c r="A407" s="34" t="inlineStr">
        <is>
          <t>朝天开枪</t>
        </is>
      </c>
      <c r="B407" s="34" t="inlineStr">
        <is>
          <t>非法使用热武器罪</t>
        </is>
      </c>
      <c r="C407" s="34">
        <f>IF(AND($A406&lt;&gt;"",'算罪台'!$B$4&lt;&gt;"",ISNUMBER(SEARCH($A406,'算罪台'!$B$4))),1,0)</f>
        <v/>
      </c>
      <c r="D407" s="34">
        <f>IF(AND($A406&lt;&gt;"",'算罪台'!$B$5&lt;&gt;"",ISNUMBER(SEARCH($A406,'算罪台'!$B$5))),1,0)</f>
        <v/>
      </c>
      <c r="E407" s="34">
        <f>IF(AND($A406&lt;&gt;"",'算罪台'!$B$6&lt;&gt;"",ISNUMBER(SEARCH($A406,'算罪台'!$B$6))),1,0)</f>
        <v/>
      </c>
    </row>
    <row r="408">
      <c r="A408" s="34" t="inlineStr">
        <is>
          <t>随意射击</t>
        </is>
      </c>
      <c r="B408" s="34" t="inlineStr">
        <is>
          <t>非法使用热武器罪</t>
        </is>
      </c>
      <c r="C408" s="34">
        <f>IF(AND($A407&lt;&gt;"",'算罪台'!$B$4&lt;&gt;"",ISNUMBER(SEARCH($A407,'算罪台'!$B$4))),1,0)</f>
        <v/>
      </c>
      <c r="D408" s="34">
        <f>IF(AND($A407&lt;&gt;"",'算罪台'!$B$5&lt;&gt;"",ISNUMBER(SEARCH($A407,'算罪台'!$B$5))),1,0)</f>
        <v/>
      </c>
      <c r="E408" s="34">
        <f>IF(AND($A407&lt;&gt;"",'算罪台'!$B$6&lt;&gt;"",ISNUMBER(SEARCH($A407,'算罪台'!$B$6))),1,0)</f>
        <v/>
      </c>
    </row>
    <row r="409">
      <c r="A409" s="34" t="inlineStr">
        <is>
          <t>开了一枪</t>
        </is>
      </c>
      <c r="B409" s="34" t="inlineStr">
        <is>
          <t>非法使用热武器罪</t>
        </is>
      </c>
      <c r="C409" s="34">
        <f>IF(AND($A408&lt;&gt;"",'算罪台'!$B$4&lt;&gt;"",ISNUMBER(SEARCH($A408,'算罪台'!$B$4))),1,0)</f>
        <v/>
      </c>
      <c r="D409" s="34">
        <f>IF(AND($A408&lt;&gt;"",'算罪台'!$B$5&lt;&gt;"",ISNUMBER(SEARCH($A408,'算罪台'!$B$5))),1,0)</f>
        <v/>
      </c>
      <c r="E409" s="34">
        <f>IF(AND($A408&lt;&gt;"",'算罪台'!$B$6&lt;&gt;"",ISNUMBER(SEARCH($A408,'算罪台'!$B$6))),1,0)</f>
        <v/>
      </c>
    </row>
    <row r="410">
      <c r="A410" s="34" t="inlineStr">
        <is>
          <t>射击</t>
        </is>
      </c>
      <c r="B410" s="34" t="inlineStr">
        <is>
          <t>非法使用热武器罪</t>
        </is>
      </c>
      <c r="C410" s="34">
        <f>IF(AND($A409&lt;&gt;"",'算罪台'!$B$4&lt;&gt;"",ISNUMBER(SEARCH($A409,'算罪台'!$B$4))),1,0)</f>
        <v/>
      </c>
      <c r="D410" s="34">
        <f>IF(AND($A409&lt;&gt;"",'算罪台'!$B$5&lt;&gt;"",ISNUMBER(SEARCH($A409,'算罪台'!$B$5))),1,0)</f>
        <v/>
      </c>
      <c r="E410" s="34">
        <f>IF(AND($A409&lt;&gt;"",'算罪台'!$B$6&lt;&gt;"",ISNUMBER(SEARCH($A409,'算罪台'!$B$6))),1,0)</f>
        <v/>
      </c>
    </row>
    <row r="411">
      <c r="A411" s="34" t="inlineStr">
        <is>
          <t>扫射</t>
        </is>
      </c>
      <c r="B411" s="34" t="inlineStr">
        <is>
          <t>非法使用热武器罪</t>
        </is>
      </c>
      <c r="C411" s="34">
        <f>IF(AND($A410&lt;&gt;"",'算罪台'!$B$4&lt;&gt;"",ISNUMBER(SEARCH($A410,'算罪台'!$B$4))),1,0)</f>
        <v/>
      </c>
      <c r="D411" s="34">
        <f>IF(AND($A410&lt;&gt;"",'算罪台'!$B$5&lt;&gt;"",ISNUMBER(SEARCH($A410,'算罪台'!$B$5))),1,0)</f>
        <v/>
      </c>
      <c r="E411" s="34">
        <f>IF(AND($A410&lt;&gt;"",'算罪台'!$B$6&lt;&gt;"",ISNUMBER(SEARCH($A410,'算罪台'!$B$6))),1,0)</f>
        <v/>
      </c>
    </row>
    <row r="412">
      <c r="A412" s="34" t="inlineStr">
        <is>
          <t>鸣枪</t>
        </is>
      </c>
      <c r="B412" s="34" t="inlineStr">
        <is>
          <t>非法使用热武器罪</t>
        </is>
      </c>
      <c r="C412" s="34">
        <f>IF(AND($A411&lt;&gt;"",'算罪台'!$B$4&lt;&gt;"",ISNUMBER(SEARCH($A411,'算罪台'!$B$4))),1,0)</f>
        <v/>
      </c>
      <c r="D412" s="34">
        <f>IF(AND($A411&lt;&gt;"",'算罪台'!$B$5&lt;&gt;"",ISNUMBER(SEARCH($A411,'算罪台'!$B$5))),1,0)</f>
        <v/>
      </c>
      <c r="E412" s="34">
        <f>IF(AND($A411&lt;&gt;"",'算罪台'!$B$6&lt;&gt;"",ISNUMBER(SEARCH($A411,'算罪台'!$B$6))),1,0)</f>
        <v/>
      </c>
    </row>
    <row r="413">
      <c r="A413" s="34" t="inlineStr">
        <is>
          <t>对空鸣枪</t>
        </is>
      </c>
      <c r="B413" s="34" t="inlineStr">
        <is>
          <t>非法使用热武器罪</t>
        </is>
      </c>
      <c r="C413" s="34">
        <f>IF(AND($A412&lt;&gt;"",'算罪台'!$B$4&lt;&gt;"",ISNUMBER(SEARCH($A412,'算罪台'!$B$4))),1,0)</f>
        <v/>
      </c>
      <c r="D413" s="34">
        <f>IF(AND($A412&lt;&gt;"",'算罪台'!$B$5&lt;&gt;"",ISNUMBER(SEARCH($A412,'算罪台'!$B$5))),1,0)</f>
        <v/>
      </c>
      <c r="E413" s="34">
        <f>IF(AND($A412&lt;&gt;"",'算罪台'!$B$6&lt;&gt;"",ISNUMBER(SEARCH($A412,'算罪台'!$B$6))),1,0)</f>
        <v/>
      </c>
    </row>
    <row r="414">
      <c r="A414" s="34" t="inlineStr">
        <is>
          <t>非法贩卖武器</t>
        </is>
      </c>
      <c r="B414" s="34" t="inlineStr">
        <is>
          <t>非法贩卖武器罪</t>
        </is>
      </c>
      <c r="C414" s="34">
        <f>IF(AND($A413&lt;&gt;"",'算罪台'!$B$4&lt;&gt;"",ISNUMBER(SEARCH($A413,'算罪台'!$B$4))),1,0)</f>
        <v/>
      </c>
      <c r="D414" s="34">
        <f>IF(AND($A413&lt;&gt;"",'算罪台'!$B$5&lt;&gt;"",ISNUMBER(SEARCH($A413,'算罪台'!$B$5))),1,0)</f>
        <v/>
      </c>
      <c r="E414" s="34">
        <f>IF(AND($A413&lt;&gt;"",'算罪台'!$B$6&lt;&gt;"",ISNUMBER(SEARCH($A413,'算罪台'!$B$6))),1,0)</f>
        <v/>
      </c>
    </row>
    <row r="415">
      <c r="A415" s="34" t="inlineStr">
        <is>
          <t>卖枪</t>
        </is>
      </c>
      <c r="B415" s="34" t="inlineStr">
        <is>
          <t>非法贩卖武器罪</t>
        </is>
      </c>
      <c r="C415" s="34">
        <f>IF(AND($A414&lt;&gt;"",'算罪台'!$B$4&lt;&gt;"",ISNUMBER(SEARCH($A414,'算罪台'!$B$4))),1,0)</f>
        <v/>
      </c>
      <c r="D415" s="34">
        <f>IF(AND($A414&lt;&gt;"",'算罪台'!$B$5&lt;&gt;"",ISNUMBER(SEARCH($A414,'算罪台'!$B$5))),1,0)</f>
        <v/>
      </c>
      <c r="E415" s="34">
        <f>IF(AND($A414&lt;&gt;"",'算罪台'!$B$6&lt;&gt;"",ISNUMBER(SEARCH($A414,'算罪台'!$B$6))),1,0)</f>
        <v/>
      </c>
    </row>
    <row r="416">
      <c r="A416" s="34" t="inlineStr">
        <is>
          <t>贩卖武器</t>
        </is>
      </c>
      <c r="B416" s="34" t="inlineStr">
        <is>
          <t>非法贩卖武器罪</t>
        </is>
      </c>
      <c r="C416" s="34">
        <f>IF(AND($A415&lt;&gt;"",'算罪台'!$B$4&lt;&gt;"",ISNUMBER(SEARCH($A415,'算罪台'!$B$4))),1,0)</f>
        <v/>
      </c>
      <c r="D416" s="34">
        <f>IF(AND($A415&lt;&gt;"",'算罪台'!$B$5&lt;&gt;"",ISNUMBER(SEARCH($A415,'算罪台'!$B$5))),1,0)</f>
        <v/>
      </c>
      <c r="E416" s="34">
        <f>IF(AND($A415&lt;&gt;"",'算罪台'!$B$6&lt;&gt;"",ISNUMBER(SEARCH($A415,'算罪台'!$B$6))),1,0)</f>
        <v/>
      </c>
    </row>
    <row r="417">
      <c r="A417" s="34" t="inlineStr">
        <is>
          <t>出售武器</t>
        </is>
      </c>
      <c r="B417" s="34" t="inlineStr">
        <is>
          <t>非法贩卖武器罪</t>
        </is>
      </c>
      <c r="C417" s="34">
        <f>IF(AND($A416&lt;&gt;"",'算罪台'!$B$4&lt;&gt;"",ISNUMBER(SEARCH($A416,'算罪台'!$B$4))),1,0)</f>
        <v/>
      </c>
      <c r="D417" s="34">
        <f>IF(AND($A416&lt;&gt;"",'算罪台'!$B$5&lt;&gt;"",ISNUMBER(SEARCH($A416,'算罪台'!$B$5))),1,0)</f>
        <v/>
      </c>
      <c r="E417" s="34">
        <f>IF(AND($A416&lt;&gt;"",'算罪台'!$B$6&lt;&gt;"",ISNUMBER(SEARCH($A416,'算罪台'!$B$6))),1,0)</f>
        <v/>
      </c>
    </row>
    <row r="418">
      <c r="A418" s="34" t="inlineStr">
        <is>
          <t>转让武器</t>
        </is>
      </c>
      <c r="B418" s="34" t="inlineStr">
        <is>
          <t>非法贩卖武器罪</t>
        </is>
      </c>
      <c r="C418" s="34">
        <f>IF(AND($A417&lt;&gt;"",'算罪台'!$B$4&lt;&gt;"",ISNUMBER(SEARCH($A417,'算罪台'!$B$4))),1,0)</f>
        <v/>
      </c>
      <c r="D418" s="34">
        <f>IF(AND($A417&lt;&gt;"",'算罪台'!$B$5&lt;&gt;"",ISNUMBER(SEARCH($A417,'算罪台'!$B$5))),1,0)</f>
        <v/>
      </c>
      <c r="E418" s="34">
        <f>IF(AND($A417&lt;&gt;"",'算罪台'!$B$6&lt;&gt;"",ISNUMBER(SEARCH($A417,'算罪台'!$B$6))),1,0)</f>
        <v/>
      </c>
    </row>
    <row r="419">
      <c r="A419" s="34" t="inlineStr">
        <is>
          <t>倒卖枪支</t>
        </is>
      </c>
      <c r="B419" s="34" t="inlineStr">
        <is>
          <t>非法贩卖武器罪</t>
        </is>
      </c>
      <c r="C419" s="34">
        <f>IF(AND($A418&lt;&gt;"",'算罪台'!$B$4&lt;&gt;"",ISNUMBER(SEARCH($A418,'算罪台'!$B$4))),1,0)</f>
        <v/>
      </c>
      <c r="D419" s="34">
        <f>IF(AND($A418&lt;&gt;"",'算罪台'!$B$5&lt;&gt;"",ISNUMBER(SEARCH($A418,'算罪台'!$B$5))),1,0)</f>
        <v/>
      </c>
      <c r="E419" s="34">
        <f>IF(AND($A418&lt;&gt;"",'算罪台'!$B$6&lt;&gt;"",ISNUMBER(SEARCH($A418,'算罪台'!$B$6))),1,0)</f>
        <v/>
      </c>
    </row>
    <row r="420">
      <c r="A420" s="34" t="inlineStr">
        <is>
          <t>军火买卖</t>
        </is>
      </c>
      <c r="B420" s="34" t="inlineStr">
        <is>
          <t>非法贩卖武器罪</t>
        </is>
      </c>
      <c r="C420" s="34">
        <f>IF(AND($A419&lt;&gt;"",'算罪台'!$B$4&lt;&gt;"",ISNUMBER(SEARCH($A419,'算罪台'!$B$4))),1,0)</f>
        <v/>
      </c>
      <c r="D420" s="34">
        <f>IF(AND($A419&lt;&gt;"",'算罪台'!$B$5&lt;&gt;"",ISNUMBER(SEARCH($A419,'算罪台'!$B$5))),1,0)</f>
        <v/>
      </c>
      <c r="E420" s="34">
        <f>IF(AND($A419&lt;&gt;"",'算罪台'!$B$6&lt;&gt;"",ISNUMBER(SEARCH($A419,'算罪台'!$B$6))),1,0)</f>
        <v/>
      </c>
    </row>
    <row r="421">
      <c r="A421" s="34" t="inlineStr">
        <is>
          <t>走私</t>
        </is>
      </c>
      <c r="B421" s="34" t="inlineStr">
        <is>
          <t>走私罪</t>
        </is>
      </c>
      <c r="C421" s="34">
        <f>IF(AND($A420&lt;&gt;"",'算罪台'!$B$4&lt;&gt;"",ISNUMBER(SEARCH($A420,'算罪台'!$B$4))),1,0)</f>
        <v/>
      </c>
      <c r="D421" s="34">
        <f>IF(AND($A420&lt;&gt;"",'算罪台'!$B$5&lt;&gt;"",ISNUMBER(SEARCH($A420,'算罪台'!$B$5))),1,0)</f>
        <v/>
      </c>
      <c r="E421" s="34">
        <f>IF(AND($A420&lt;&gt;"",'算罪台'!$B$6&lt;&gt;"",ISNUMBER(SEARCH($A420,'算罪台'!$B$6))),1,0)</f>
        <v/>
      </c>
    </row>
    <row r="422">
      <c r="A422" s="34" t="inlineStr">
        <is>
          <t>军火走私</t>
        </is>
      </c>
      <c r="B422" s="34" t="inlineStr">
        <is>
          <t>走私罪</t>
        </is>
      </c>
      <c r="C422" s="34">
        <f>IF(AND($A421&lt;&gt;"",'算罪台'!$B$4&lt;&gt;"",ISNUMBER(SEARCH($A421,'算罪台'!$B$4))),1,0)</f>
        <v/>
      </c>
      <c r="D422" s="34">
        <f>IF(AND($A421&lt;&gt;"",'算罪台'!$B$5&lt;&gt;"",ISNUMBER(SEARCH($A421,'算罪台'!$B$5))),1,0)</f>
        <v/>
      </c>
      <c r="E422" s="34">
        <f>IF(AND($A421&lt;&gt;"",'算罪台'!$B$6&lt;&gt;"",ISNUMBER(SEARCH($A421,'算罪台'!$B$6))),1,0)</f>
        <v/>
      </c>
    </row>
    <row r="423">
      <c r="A423" s="34" t="inlineStr">
        <is>
          <t>走私武器</t>
        </is>
      </c>
      <c r="B423" s="34" t="inlineStr">
        <is>
          <t>走私罪</t>
        </is>
      </c>
      <c r="C423" s="34">
        <f>IF(AND($A422&lt;&gt;"",'算罪台'!$B$4&lt;&gt;"",ISNUMBER(SEARCH($A422,'算罪台'!$B$4))),1,0)</f>
        <v/>
      </c>
      <c r="D423" s="34">
        <f>IF(AND($A422&lt;&gt;"",'算罪台'!$B$5&lt;&gt;"",ISNUMBER(SEARCH($A422,'算罪台'!$B$5))),1,0)</f>
        <v/>
      </c>
      <c r="E423" s="34">
        <f>IF(AND($A422&lt;&gt;"",'算罪台'!$B$6&lt;&gt;"",ISNUMBER(SEARCH($A422,'算罪台'!$B$6))),1,0)</f>
        <v/>
      </c>
    </row>
    <row r="424">
      <c r="A424" s="34" t="inlineStr">
        <is>
          <t>走私爆炸物</t>
        </is>
      </c>
      <c r="B424" s="34" t="inlineStr">
        <is>
          <t>走私罪</t>
        </is>
      </c>
      <c r="C424" s="34">
        <f>IF(AND($A423&lt;&gt;"",'算罪台'!$B$4&lt;&gt;"",ISNUMBER(SEARCH($A423,'算罪台'!$B$4))),1,0)</f>
        <v/>
      </c>
      <c r="D424" s="34">
        <f>IF(AND($A423&lt;&gt;"",'算罪台'!$B$5&lt;&gt;"",ISNUMBER(SEARCH($A423,'算罪台'!$B$5))),1,0)</f>
        <v/>
      </c>
      <c r="E424" s="34">
        <f>IF(AND($A423&lt;&gt;"",'算罪台'!$B$6&lt;&gt;"",ISNUMBER(SEARCH($A423,'算罪台'!$B$6))),1,0)</f>
        <v/>
      </c>
    </row>
    <row r="425">
      <c r="A425" s="34" t="inlineStr">
        <is>
          <t>走私军火</t>
        </is>
      </c>
      <c r="B425" s="34" t="inlineStr">
        <is>
          <t>走私罪</t>
        </is>
      </c>
      <c r="C425" s="34">
        <f>IF(AND($A424&lt;&gt;"",'算罪台'!$B$4&lt;&gt;"",ISNUMBER(SEARCH($A424,'算罪台'!$B$4))),1,0)</f>
        <v/>
      </c>
      <c r="D425" s="34">
        <f>IF(AND($A424&lt;&gt;"",'算罪台'!$B$5&lt;&gt;"",ISNUMBER(SEARCH($A424,'算罪台'!$B$5))),1,0)</f>
        <v/>
      </c>
      <c r="E425" s="34">
        <f>IF(AND($A424&lt;&gt;"",'算罪台'!$B$6&lt;&gt;"",ISNUMBER(SEARCH($A424,'算罪台'!$B$6))),1,0)</f>
        <v/>
      </c>
    </row>
    <row r="426">
      <c r="A426" s="34" t="inlineStr">
        <is>
          <t>偷运军火</t>
        </is>
      </c>
      <c r="B426" s="34" t="inlineStr">
        <is>
          <t>走私罪</t>
        </is>
      </c>
      <c r="C426" s="34">
        <f>IF(AND($A425&lt;&gt;"",'算罪台'!$B$4&lt;&gt;"",ISNUMBER(SEARCH($A425,'算罪台'!$B$4))),1,0)</f>
        <v/>
      </c>
      <c r="D426" s="34">
        <f>IF(AND($A425&lt;&gt;"",'算罪台'!$B$5&lt;&gt;"",ISNUMBER(SEARCH($A425,'算罪台'!$B$5))),1,0)</f>
        <v/>
      </c>
      <c r="E426" s="34">
        <f>IF(AND($A425&lt;&gt;"",'算罪台'!$B$6&lt;&gt;"",ISNUMBER(SEARCH($A425,'算罪台'!$B$6))),1,0)</f>
        <v/>
      </c>
    </row>
    <row r="427">
      <c r="A427" s="34" t="inlineStr">
        <is>
          <t>非法持有管制物品</t>
        </is>
      </c>
      <c r="B427" s="34" t="inlineStr">
        <is>
          <t>非法持有管制物品罪</t>
        </is>
      </c>
      <c r="C427" s="34">
        <f>IF(AND($A426&lt;&gt;"",'算罪台'!$B$4&lt;&gt;"",ISNUMBER(SEARCH($A426,'算罪台'!$B$4))),1,0)</f>
        <v/>
      </c>
      <c r="D427" s="34">
        <f>IF(AND($A426&lt;&gt;"",'算罪台'!$B$5&lt;&gt;"",ISNUMBER(SEARCH($A426,'算罪台'!$B$5))),1,0)</f>
        <v/>
      </c>
      <c r="E427" s="34">
        <f>IF(AND($A426&lt;&gt;"",'算罪台'!$B$6&lt;&gt;"",ISNUMBER(SEARCH($A426,'算罪台'!$B$6))),1,0)</f>
        <v/>
      </c>
    </row>
    <row r="428">
      <c r="A428" s="34" t="inlineStr">
        <is>
          <t>持有毒品</t>
        </is>
      </c>
      <c r="B428" s="34" t="inlineStr">
        <is>
          <t>非法持有管制物品罪</t>
        </is>
      </c>
      <c r="C428" s="34">
        <f>IF(AND($A427&lt;&gt;"",'算罪台'!$B$4&lt;&gt;"",ISNUMBER(SEARCH($A427,'算罪台'!$B$4))),1,0)</f>
        <v/>
      </c>
      <c r="D428" s="34">
        <f>IF(AND($A427&lt;&gt;"",'算罪台'!$B$5&lt;&gt;"",ISNUMBER(SEARCH($A427,'算罪台'!$B$5))),1,0)</f>
        <v/>
      </c>
      <c r="E428" s="34">
        <f>IF(AND($A427&lt;&gt;"",'算罪台'!$B$6&lt;&gt;"",ISNUMBER(SEARCH($A427,'算罪台'!$B$6))),1,0)</f>
        <v/>
      </c>
    </row>
    <row r="429">
      <c r="A429" s="34" t="inlineStr">
        <is>
          <t>持有大麻</t>
        </is>
      </c>
      <c r="B429" s="34" t="inlineStr">
        <is>
          <t>非法持有管制物品罪</t>
        </is>
      </c>
      <c r="C429" s="34">
        <f>IF(AND($A428&lt;&gt;"",'算罪台'!$B$4&lt;&gt;"",ISNUMBER(SEARCH($A428,'算罪台'!$B$4))),1,0)</f>
        <v/>
      </c>
      <c r="D429" s="34">
        <f>IF(AND($A428&lt;&gt;"",'算罪台'!$B$5&lt;&gt;"",ISNUMBER(SEARCH($A428,'算罪台'!$B$5))),1,0)</f>
        <v/>
      </c>
      <c r="E429" s="34">
        <f>IF(AND($A428&lt;&gt;"",'算罪台'!$B$6&lt;&gt;"",ISNUMBER(SEARCH($A428,'算罪台'!$B$6))),1,0)</f>
        <v/>
      </c>
    </row>
    <row r="430">
      <c r="A430" s="34" t="inlineStr">
        <is>
          <t>持有可卡因</t>
        </is>
      </c>
      <c r="B430" s="34" t="inlineStr">
        <is>
          <t>非法持有管制物品罪</t>
        </is>
      </c>
      <c r="C430" s="34">
        <f>IF(AND($A429&lt;&gt;"",'算罪台'!$B$4&lt;&gt;"",ISNUMBER(SEARCH($A429,'算罪台'!$B$4))),1,0)</f>
        <v/>
      </c>
      <c r="D430" s="34">
        <f>IF(AND($A429&lt;&gt;"",'算罪台'!$B$5&lt;&gt;"",ISNUMBER(SEARCH($A429,'算罪台'!$B$5))),1,0)</f>
        <v/>
      </c>
      <c r="E430" s="34">
        <f>IF(AND($A429&lt;&gt;"",'算罪台'!$B$6&lt;&gt;"",ISNUMBER(SEARCH($A429,'算罪台'!$B$6))),1,0)</f>
        <v/>
      </c>
    </row>
    <row r="431">
      <c r="A431" s="34" t="inlineStr">
        <is>
          <t>持有海洛因</t>
        </is>
      </c>
      <c r="B431" s="34" t="inlineStr">
        <is>
          <t>非法持有管制物品罪</t>
        </is>
      </c>
      <c r="C431" s="34">
        <f>IF(AND($A430&lt;&gt;"",'算罪台'!$B$4&lt;&gt;"",ISNUMBER(SEARCH($A430,'算罪台'!$B$4))),1,0)</f>
        <v/>
      </c>
      <c r="D431" s="34">
        <f>IF(AND($A430&lt;&gt;"",'算罪台'!$B$5&lt;&gt;"",ISNUMBER(SEARCH($A430,'算罪台'!$B$5))),1,0)</f>
        <v/>
      </c>
      <c r="E431" s="34">
        <f>IF(AND($A430&lt;&gt;"",'算罪台'!$B$6&lt;&gt;"",ISNUMBER(SEARCH($A430,'算罪台'!$B$6))),1,0)</f>
        <v/>
      </c>
    </row>
    <row r="432">
      <c r="A432" s="34" t="inlineStr">
        <is>
          <t>持有冰毒</t>
        </is>
      </c>
      <c r="B432" s="34" t="inlineStr">
        <is>
          <t>非法持有管制物品罪</t>
        </is>
      </c>
      <c r="C432" s="34">
        <f>IF(AND($A431&lt;&gt;"",'算罪台'!$B$4&lt;&gt;"",ISNUMBER(SEARCH($A431,'算罪台'!$B$4))),1,0)</f>
        <v/>
      </c>
      <c r="D432" s="34">
        <f>IF(AND($A431&lt;&gt;"",'算罪台'!$B$5&lt;&gt;"",ISNUMBER(SEARCH($A431,'算罪台'!$B$5))),1,0)</f>
        <v/>
      </c>
      <c r="E432" s="34">
        <f>IF(AND($A431&lt;&gt;"",'算罪台'!$B$6&lt;&gt;"",ISNUMBER(SEARCH($A431,'算罪台'!$B$6))),1,0)</f>
        <v/>
      </c>
    </row>
    <row r="433">
      <c r="A433" s="34" t="inlineStr">
        <is>
          <t>持有管制刀具</t>
        </is>
      </c>
      <c r="B433" s="34" t="inlineStr">
        <is>
          <t>非法持有管制物品罪</t>
        </is>
      </c>
      <c r="C433" s="34">
        <f>IF(AND($A432&lt;&gt;"",'算罪台'!$B$4&lt;&gt;"",ISNUMBER(SEARCH($A432,'算罪台'!$B$4))),1,0)</f>
        <v/>
      </c>
      <c r="D433" s="34">
        <f>IF(AND($A432&lt;&gt;"",'算罪台'!$B$5&lt;&gt;"",ISNUMBER(SEARCH($A432,'算罪台'!$B$5))),1,0)</f>
        <v/>
      </c>
      <c r="E433" s="34">
        <f>IF(AND($A432&lt;&gt;"",'算罪台'!$B$6&lt;&gt;"",ISNUMBER(SEARCH($A432,'算罪台'!$B$6))),1,0)</f>
        <v/>
      </c>
    </row>
    <row r="434">
      <c r="A434" s="34" t="inlineStr">
        <is>
          <t>管制器具</t>
        </is>
      </c>
      <c r="B434" s="34" t="inlineStr">
        <is>
          <t>非法持有管制物品罪</t>
        </is>
      </c>
      <c r="C434" s="34">
        <f>IF(AND($A433&lt;&gt;"",'算罪台'!$B$4&lt;&gt;"",ISNUMBER(SEARCH($A433,'算罪台'!$B$4))),1,0)</f>
        <v/>
      </c>
      <c r="D434" s="34">
        <f>IF(AND($A433&lt;&gt;"",'算罪台'!$B$5&lt;&gt;"",ISNUMBER(SEARCH($A433,'算罪台'!$B$5))),1,0)</f>
        <v/>
      </c>
      <c r="E434" s="34">
        <f>IF(AND($A433&lt;&gt;"",'算罪台'!$B$6&lt;&gt;"",ISNUMBER(SEARCH($A433,'算罪台'!$B$6))),1,0)</f>
        <v/>
      </c>
    </row>
    <row r="435">
      <c r="A435" s="34" t="inlineStr">
        <is>
          <t>指虎</t>
        </is>
      </c>
      <c r="B435" s="34" t="inlineStr">
        <is>
          <t>非法持有管制物品罪</t>
        </is>
      </c>
      <c r="C435" s="34">
        <f>IF(AND($A434&lt;&gt;"",'算罪台'!$B$4&lt;&gt;"",ISNUMBER(SEARCH($A434,'算罪台'!$B$4))),1,0)</f>
        <v/>
      </c>
      <c r="D435" s="34">
        <f>IF(AND($A434&lt;&gt;"",'算罪台'!$B$5&lt;&gt;"",ISNUMBER(SEARCH($A434,'算罪台'!$B$5))),1,0)</f>
        <v/>
      </c>
      <c r="E435" s="34">
        <f>IF(AND($A434&lt;&gt;"",'算罪台'!$B$6&lt;&gt;"",ISNUMBER(SEARCH($A434,'算罪台'!$B$6))),1,0)</f>
        <v/>
      </c>
    </row>
    <row r="436">
      <c r="A436" s="34" t="inlineStr">
        <is>
          <t>弹簧刀</t>
        </is>
      </c>
      <c r="B436" s="34" t="inlineStr">
        <is>
          <t>非法持有管制物品罪</t>
        </is>
      </c>
      <c r="C436" s="34">
        <f>IF(AND($A435&lt;&gt;"",'算罪台'!$B$4&lt;&gt;"",ISNUMBER(SEARCH($A435,'算罪台'!$B$4))),1,0)</f>
        <v/>
      </c>
      <c r="D436" s="34">
        <f>IF(AND($A435&lt;&gt;"",'算罪台'!$B$5&lt;&gt;"",ISNUMBER(SEARCH($A435,'算罪台'!$B$5))),1,0)</f>
        <v/>
      </c>
      <c r="E436" s="34">
        <f>IF(AND($A435&lt;&gt;"",'算罪台'!$B$6&lt;&gt;"",ISNUMBER(SEARCH($A435,'算罪台'!$B$6))),1,0)</f>
        <v/>
      </c>
    </row>
    <row r="437">
      <c r="A437" s="34" t="inlineStr">
        <is>
          <t>开锁器</t>
        </is>
      </c>
      <c r="B437" s="34" t="inlineStr">
        <is>
          <t>非法持有管制物品罪</t>
        </is>
      </c>
      <c r="C437" s="34">
        <f>IF(AND($A436&lt;&gt;"",'算罪台'!$B$4&lt;&gt;"",ISNUMBER(SEARCH($A436,'算罪台'!$B$4))),1,0)</f>
        <v/>
      </c>
      <c r="D437" s="34">
        <f>IF(AND($A436&lt;&gt;"",'算罪台'!$B$5&lt;&gt;"",ISNUMBER(SEARCH($A436,'算罪台'!$B$5))),1,0)</f>
        <v/>
      </c>
      <c r="E437" s="34">
        <f>IF(AND($A436&lt;&gt;"",'算罪台'!$B$6&lt;&gt;"",ISNUMBER(SEARCH($A436,'算罪台'!$B$6))),1,0)</f>
        <v/>
      </c>
    </row>
    <row r="438">
      <c r="A438" s="34" t="inlineStr">
        <is>
          <t>黑客电脑</t>
        </is>
      </c>
      <c r="B438" s="34" t="inlineStr">
        <is>
          <t>非法持有管制物品罪</t>
        </is>
      </c>
      <c r="C438" s="34">
        <f>IF(AND($A437&lt;&gt;"",'算罪台'!$B$4&lt;&gt;"",ISNUMBER(SEARCH($A437,'算罪台'!$B$4))),1,0)</f>
        <v/>
      </c>
      <c r="D438" s="34">
        <f>IF(AND($A437&lt;&gt;"",'算罪台'!$B$5&lt;&gt;"",ISNUMBER(SEARCH($A437,'算罪台'!$B$5))),1,0)</f>
        <v/>
      </c>
      <c r="E438" s="34">
        <f>IF(AND($A437&lt;&gt;"",'算罪台'!$B$6&lt;&gt;"",ISNUMBER(SEARCH($A437,'算罪台'!$B$6))),1,0)</f>
        <v/>
      </c>
    </row>
    <row r="439">
      <c r="A439" s="34" t="inlineStr">
        <is>
          <t>身上有毒品</t>
        </is>
      </c>
      <c r="B439" s="34" t="inlineStr">
        <is>
          <t>非法持有管制物品罪</t>
        </is>
      </c>
      <c r="C439" s="34">
        <f>IF(AND($A438&lt;&gt;"",'算罪台'!$B$4&lt;&gt;"",ISNUMBER(SEARCH($A438,'算罪台'!$B$4))),1,0)</f>
        <v/>
      </c>
      <c r="D439" s="34">
        <f>IF(AND($A438&lt;&gt;"",'算罪台'!$B$5&lt;&gt;"",ISNUMBER(SEARCH($A438,'算罪台'!$B$5))),1,0)</f>
        <v/>
      </c>
      <c r="E439" s="34">
        <f>IF(AND($A438&lt;&gt;"",'算罪台'!$B$6&lt;&gt;"",ISNUMBER(SEARCH($A438,'算罪台'!$B$6))),1,0)</f>
        <v/>
      </c>
    </row>
    <row r="440">
      <c r="A440" s="34" t="inlineStr">
        <is>
          <t>带着毒品</t>
        </is>
      </c>
      <c r="B440" s="34" t="inlineStr">
        <is>
          <t>非法持有管制物品罪</t>
        </is>
      </c>
      <c r="C440" s="34">
        <f>IF(AND($A439&lt;&gt;"",'算罪台'!$B$4&lt;&gt;"",ISNUMBER(SEARCH($A439,'算罪台'!$B$4))),1,0)</f>
        <v/>
      </c>
      <c r="D440" s="34">
        <f>IF(AND($A439&lt;&gt;"",'算罪台'!$B$5&lt;&gt;"",ISNUMBER(SEARCH($A439,'算罪台'!$B$5))),1,0)</f>
        <v/>
      </c>
      <c r="E440" s="34">
        <f>IF(AND($A439&lt;&gt;"",'算罪台'!$B$6&lt;&gt;"",ISNUMBER(SEARCH($A439,'算罪台'!$B$6))),1,0)</f>
        <v/>
      </c>
    </row>
    <row r="441">
      <c r="A441" s="34" t="inlineStr">
        <is>
          <t>藏毒</t>
        </is>
      </c>
      <c r="B441" s="34" t="inlineStr">
        <is>
          <t>非法持有管制物品罪</t>
        </is>
      </c>
      <c r="C441" s="34">
        <f>IF(AND($A440&lt;&gt;"",'算罪台'!$B$4&lt;&gt;"",ISNUMBER(SEARCH($A440,'算罪台'!$B$4))),1,0)</f>
        <v/>
      </c>
      <c r="D441" s="34">
        <f>IF(AND($A440&lt;&gt;"",'算罪台'!$B$5&lt;&gt;"",ISNUMBER(SEARCH($A440,'算罪台'!$B$5))),1,0)</f>
        <v/>
      </c>
      <c r="E441" s="34">
        <f>IF(AND($A440&lt;&gt;"",'算罪台'!$B$6&lt;&gt;"",ISNUMBER(SEARCH($A440,'算罪台'!$B$6))),1,0)</f>
        <v/>
      </c>
    </row>
    <row r="442">
      <c r="A442" s="34" t="inlineStr">
        <is>
          <t>大量管制物品</t>
        </is>
      </c>
      <c r="B442" s="34" t="inlineStr">
        <is>
          <t>非法持有大量管制物品罪</t>
        </is>
      </c>
      <c r="C442" s="34">
        <f>IF(AND($A441&lt;&gt;"",'算罪台'!$B$4&lt;&gt;"",ISNUMBER(SEARCH($A441,'算罪台'!$B$4))),1,0)</f>
        <v/>
      </c>
      <c r="D442" s="34">
        <f>IF(AND($A441&lt;&gt;"",'算罪台'!$B$5&lt;&gt;"",ISNUMBER(SEARCH($A441,'算罪台'!$B$5))),1,0)</f>
        <v/>
      </c>
      <c r="E442" s="34">
        <f>IF(AND($A441&lt;&gt;"",'算罪台'!$B$6&lt;&gt;"",ISNUMBER(SEARCH($A441,'算罪台'!$B$6))),1,0)</f>
        <v/>
      </c>
    </row>
    <row r="443">
      <c r="A443" s="34" t="inlineStr">
        <is>
          <t>大量毒品</t>
        </is>
      </c>
      <c r="B443" s="34" t="inlineStr">
        <is>
          <t>非法持有大量管制物品罪</t>
        </is>
      </c>
      <c r="C443" s="34">
        <f>IF(AND($A442&lt;&gt;"",'算罪台'!$B$4&lt;&gt;"",ISNUMBER(SEARCH($A442,'算罪台'!$B$4))),1,0)</f>
        <v/>
      </c>
      <c r="D443" s="34">
        <f>IF(AND($A442&lt;&gt;"",'算罪台'!$B$5&lt;&gt;"",ISNUMBER(SEARCH($A442,'算罪台'!$B$5))),1,0)</f>
        <v/>
      </c>
      <c r="E443" s="34">
        <f>IF(AND($A442&lt;&gt;"",'算罪台'!$B$6&lt;&gt;"",ISNUMBER(SEARCH($A442,'算罪台'!$B$6))),1,0)</f>
        <v/>
      </c>
    </row>
    <row r="444">
      <c r="A444" s="34" t="inlineStr">
        <is>
          <t>分装毒品</t>
        </is>
      </c>
      <c r="B444" s="34" t="inlineStr">
        <is>
          <t>非法持有大量管制物品罪</t>
        </is>
      </c>
      <c r="C444" s="34">
        <f>IF(AND($A443&lt;&gt;"",'算罪台'!$B$4&lt;&gt;"",ISNUMBER(SEARCH($A443,'算罪台'!$B$4))),1,0)</f>
        <v/>
      </c>
      <c r="D444" s="34">
        <f>IF(AND($A443&lt;&gt;"",'算罪台'!$B$5&lt;&gt;"",ISNUMBER(SEARCH($A443,'算罪台'!$B$5))),1,0)</f>
        <v/>
      </c>
      <c r="E444" s="34">
        <f>IF(AND($A443&lt;&gt;"",'算罪台'!$B$6&lt;&gt;"",ISNUMBER(SEARCH($A443,'算罪台'!$B$6))),1,0)</f>
        <v/>
      </c>
    </row>
    <row r="445">
      <c r="A445" s="34" t="inlineStr">
        <is>
          <t>成批毒品</t>
        </is>
      </c>
      <c r="B445" s="34" t="inlineStr">
        <is>
          <t>非法持有大量管制物品罪</t>
        </is>
      </c>
      <c r="C445" s="34">
        <f>IF(AND($A444&lt;&gt;"",'算罪台'!$B$4&lt;&gt;"",ISNUMBER(SEARCH($A444,'算罪台'!$B$4))),1,0)</f>
        <v/>
      </c>
      <c r="D445" s="34">
        <f>IF(AND($A444&lt;&gt;"",'算罪台'!$B$5&lt;&gt;"",ISNUMBER(SEARCH($A444,'算罪台'!$B$5))),1,0)</f>
        <v/>
      </c>
      <c r="E445" s="34">
        <f>IF(AND($A444&lt;&gt;"",'算罪台'!$B$6&lt;&gt;"",ISNUMBER(SEARCH($A444,'算罪台'!$B$6))),1,0)</f>
        <v/>
      </c>
    </row>
    <row r="446">
      <c r="A446" s="34" t="inlineStr">
        <is>
          <t>整箱毒品</t>
        </is>
      </c>
      <c r="B446" s="34" t="inlineStr">
        <is>
          <t>非法持有大量管制物品罪</t>
        </is>
      </c>
      <c r="C446" s="34">
        <f>IF(AND($A445&lt;&gt;"",'算罪台'!$B$4&lt;&gt;"",ISNUMBER(SEARCH($A445,'算罪台'!$B$4))),1,0)</f>
        <v/>
      </c>
      <c r="D446" s="34">
        <f>IF(AND($A445&lt;&gt;"",'算罪台'!$B$5&lt;&gt;"",ISNUMBER(SEARCH($A445,'算罪台'!$B$5))),1,0)</f>
        <v/>
      </c>
      <c r="E446" s="34">
        <f>IF(AND($A445&lt;&gt;"",'算罪台'!$B$6&lt;&gt;"",ISNUMBER(SEARCH($A445,'算罪台'!$B$6))),1,0)</f>
        <v/>
      </c>
    </row>
    <row r="447">
      <c r="A447" s="34" t="inlineStr">
        <is>
          <t>一堆毒品</t>
        </is>
      </c>
      <c r="B447" s="34" t="inlineStr">
        <is>
          <t>非法持有大量管制物品罪</t>
        </is>
      </c>
      <c r="C447" s="34">
        <f>IF(AND($A446&lt;&gt;"",'算罪台'!$B$4&lt;&gt;"",ISNUMBER(SEARCH($A446,'算罪台'!$B$4))),1,0)</f>
        <v/>
      </c>
      <c r="D447" s="34">
        <f>IF(AND($A446&lt;&gt;"",'算罪台'!$B$5&lt;&gt;"",ISNUMBER(SEARCH($A446,'算罪台'!$B$5))),1,0)</f>
        <v/>
      </c>
      <c r="E447" s="34">
        <f>IF(AND($A446&lt;&gt;"",'算罪台'!$B$6&lt;&gt;"",ISNUMBER(SEARCH($A446,'算罪台'!$B$6))),1,0)</f>
        <v/>
      </c>
    </row>
    <row r="448">
      <c r="A448" s="34" t="inlineStr">
        <is>
          <t>大批毒品</t>
        </is>
      </c>
      <c r="B448" s="34" t="inlineStr">
        <is>
          <t>非法持有大量管制物品罪</t>
        </is>
      </c>
      <c r="C448" s="34">
        <f>IF(AND($A447&lt;&gt;"",'算罪台'!$B$4&lt;&gt;"",ISNUMBER(SEARCH($A447,'算罪台'!$B$4))),1,0)</f>
        <v/>
      </c>
      <c r="D448" s="34">
        <f>IF(AND($A447&lt;&gt;"",'算罪台'!$B$5&lt;&gt;"",ISNUMBER(SEARCH($A447,'算罪台'!$B$5))),1,0)</f>
        <v/>
      </c>
      <c r="E448" s="34">
        <f>IF(AND($A447&lt;&gt;"",'算罪台'!$B$6&lt;&gt;"",ISNUMBER(SEARCH($A447,'算罪台'!$B$6))),1,0)</f>
        <v/>
      </c>
    </row>
    <row r="449">
      <c r="A449" s="34" t="inlineStr">
        <is>
          <t>经营管制物品</t>
        </is>
      </c>
      <c r="B449" s="34" t="inlineStr">
        <is>
          <t>非法经营和分发管制物品罪</t>
        </is>
      </c>
      <c r="C449" s="34">
        <f>IF(AND($A448&lt;&gt;"",'算罪台'!$B$4&lt;&gt;"",ISNUMBER(SEARCH($A448,'算罪台'!$B$4))),1,0)</f>
        <v/>
      </c>
      <c r="D449" s="34">
        <f>IF(AND($A448&lt;&gt;"",'算罪台'!$B$5&lt;&gt;"",ISNUMBER(SEARCH($A448,'算罪台'!$B$5))),1,0)</f>
        <v/>
      </c>
      <c r="E449" s="34">
        <f>IF(AND($A448&lt;&gt;"",'算罪台'!$B$6&lt;&gt;"",ISNUMBER(SEARCH($A448,'算罪台'!$B$6))),1,0)</f>
        <v/>
      </c>
    </row>
    <row r="450">
      <c r="A450" s="34" t="inlineStr">
        <is>
          <t>分发毒品</t>
        </is>
      </c>
      <c r="B450" s="34" t="inlineStr">
        <is>
          <t>非法经营和分发管制物品罪</t>
        </is>
      </c>
      <c r="C450" s="34">
        <f>IF(AND($A449&lt;&gt;"",'算罪台'!$B$4&lt;&gt;"",ISNUMBER(SEARCH($A449,'算罪台'!$B$4))),1,0)</f>
        <v/>
      </c>
      <c r="D450" s="34">
        <f>IF(AND($A449&lt;&gt;"",'算罪台'!$B$5&lt;&gt;"",ISNUMBER(SEARCH($A449,'算罪台'!$B$5))),1,0)</f>
        <v/>
      </c>
      <c r="E450" s="34">
        <f>IF(AND($A449&lt;&gt;"",'算罪台'!$B$6&lt;&gt;"",ISNUMBER(SEARCH($A449,'算罪台'!$B$6))),1,0)</f>
        <v/>
      </c>
    </row>
    <row r="451">
      <c r="A451" s="34" t="inlineStr">
        <is>
          <t>贩毒据点</t>
        </is>
      </c>
      <c r="B451" s="34" t="inlineStr">
        <is>
          <t>非法经营和分发管制物品罪</t>
        </is>
      </c>
      <c r="C451" s="34">
        <f>IF(AND($A450&lt;&gt;"",'算罪台'!$B$4&lt;&gt;"",ISNUMBER(SEARCH($A450,'算罪台'!$B$4))),1,0)</f>
        <v/>
      </c>
      <c r="D451" s="34">
        <f>IF(AND($A450&lt;&gt;"",'算罪台'!$B$5&lt;&gt;"",ISNUMBER(SEARCH($A450,'算罪台'!$B$5))),1,0)</f>
        <v/>
      </c>
      <c r="E451" s="34">
        <f>IF(AND($A450&lt;&gt;"",'算罪台'!$B$6&lt;&gt;"",ISNUMBER(SEARCH($A450,'算罪台'!$B$6))),1,0)</f>
        <v/>
      </c>
    </row>
    <row r="452">
      <c r="A452" s="34" t="inlineStr">
        <is>
          <t>毒品窝点</t>
        </is>
      </c>
      <c r="B452" s="34" t="inlineStr">
        <is>
          <t>非法经营和分发管制物品罪</t>
        </is>
      </c>
      <c r="C452" s="34">
        <f>IF(AND($A451&lt;&gt;"",'算罪台'!$B$4&lt;&gt;"",ISNUMBER(SEARCH($A451,'算罪台'!$B$4))),1,0)</f>
        <v/>
      </c>
      <c r="D452" s="34">
        <f>IF(AND($A451&lt;&gt;"",'算罪台'!$B$5&lt;&gt;"",ISNUMBER(SEARCH($A451,'算罪台'!$B$5))),1,0)</f>
        <v/>
      </c>
      <c r="E452" s="34">
        <f>IF(AND($A451&lt;&gt;"",'算罪台'!$B$6&lt;&gt;"",ISNUMBER(SEARCH($A451,'算罪台'!$B$6))),1,0)</f>
        <v/>
      </c>
    </row>
    <row r="453">
      <c r="A453" s="34" t="inlineStr">
        <is>
          <t>开设毒品区域</t>
        </is>
      </c>
      <c r="B453" s="34" t="inlineStr">
        <is>
          <t>非法经营和分发管制物品罪</t>
        </is>
      </c>
      <c r="C453" s="34">
        <f>IF(AND($A452&lt;&gt;"",'算罪台'!$B$4&lt;&gt;"",ISNUMBER(SEARCH($A452,'算罪台'!$B$4))),1,0)</f>
        <v/>
      </c>
      <c r="D453" s="34">
        <f>IF(AND($A452&lt;&gt;"",'算罪台'!$B$5&lt;&gt;"",ISNUMBER(SEARCH($A452,'算罪台'!$B$5))),1,0)</f>
        <v/>
      </c>
      <c r="E453" s="34">
        <f>IF(AND($A452&lt;&gt;"",'算罪台'!$B$6&lt;&gt;"",ISNUMBER(SEARCH($A452,'算罪台'!$B$6))),1,0)</f>
        <v/>
      </c>
    </row>
    <row r="454">
      <c r="A454" s="34" t="inlineStr">
        <is>
          <t>卖毒品的店</t>
        </is>
      </c>
      <c r="B454" s="34" t="inlineStr">
        <is>
          <t>非法经营和分发管制物品罪</t>
        </is>
      </c>
      <c r="C454" s="34">
        <f>IF(AND($A453&lt;&gt;"",'算罪台'!$B$4&lt;&gt;"",ISNUMBER(SEARCH($A453,'算罪台'!$B$4))),1,0)</f>
        <v/>
      </c>
      <c r="D454" s="34">
        <f>IF(AND($A453&lt;&gt;"",'算罪台'!$B$5&lt;&gt;"",ISNUMBER(SEARCH($A453,'算罪台'!$B$5))),1,0)</f>
        <v/>
      </c>
      <c r="E454" s="34">
        <f>IF(AND($A453&lt;&gt;"",'算罪台'!$B$6&lt;&gt;"",ISNUMBER(SEARCH($A453,'算罪台'!$B$6))),1,0)</f>
        <v/>
      </c>
    </row>
    <row r="455">
      <c r="A455" s="34" t="inlineStr">
        <is>
          <t>制造管制物品</t>
        </is>
      </c>
      <c r="B455" s="34" t="inlineStr">
        <is>
          <t>非法制造管制物品罪</t>
        </is>
      </c>
      <c r="C455" s="34">
        <f>IF(AND($A454&lt;&gt;"",'算罪台'!$B$4&lt;&gt;"",ISNUMBER(SEARCH($A454,'算罪台'!$B$4))),1,0)</f>
        <v/>
      </c>
      <c r="D455" s="34">
        <f>IF(AND($A454&lt;&gt;"",'算罪台'!$B$5&lt;&gt;"",ISNUMBER(SEARCH($A454,'算罪台'!$B$5))),1,0)</f>
        <v/>
      </c>
      <c r="E455" s="34">
        <f>IF(AND($A454&lt;&gt;"",'算罪台'!$B$6&lt;&gt;"",ISNUMBER(SEARCH($A454,'算罪台'!$B$6))),1,0)</f>
        <v/>
      </c>
    </row>
    <row r="456">
      <c r="A456" s="34" t="inlineStr">
        <is>
          <t>制毒</t>
        </is>
      </c>
      <c r="B456" s="34" t="inlineStr">
        <is>
          <t>非法制造管制物品罪</t>
        </is>
      </c>
      <c r="C456" s="34">
        <f>IF(AND($A455&lt;&gt;"",'算罪台'!$B$4&lt;&gt;"",ISNUMBER(SEARCH($A455,'算罪台'!$B$4))),1,0)</f>
        <v/>
      </c>
      <c r="D456" s="34">
        <f>IF(AND($A455&lt;&gt;"",'算罪台'!$B$5&lt;&gt;"",ISNUMBER(SEARCH($A455,'算罪台'!$B$5))),1,0)</f>
        <v/>
      </c>
      <c r="E456" s="34">
        <f>IF(AND($A455&lt;&gt;"",'算罪台'!$B$6&lt;&gt;"",ISNUMBER(SEARCH($A455,'算罪台'!$B$6))),1,0)</f>
        <v/>
      </c>
    </row>
    <row r="457">
      <c r="A457" s="34" t="inlineStr">
        <is>
          <t>生产毒品</t>
        </is>
      </c>
      <c r="B457" s="34" t="inlineStr">
        <is>
          <t>非法制造管制物品罪</t>
        </is>
      </c>
      <c r="C457" s="34">
        <f>IF(AND($A456&lt;&gt;"",'算罪台'!$B$4&lt;&gt;"",ISNUMBER(SEARCH($A456,'算罪台'!$B$4))),1,0)</f>
        <v/>
      </c>
      <c r="D457" s="34">
        <f>IF(AND($A456&lt;&gt;"",'算罪台'!$B$5&lt;&gt;"",ISNUMBER(SEARCH($A456,'算罪台'!$B$5))),1,0)</f>
        <v/>
      </c>
      <c r="E457" s="34">
        <f>IF(AND($A456&lt;&gt;"",'算罪台'!$B$6&lt;&gt;"",ISNUMBER(SEARCH($A456,'算罪台'!$B$6))),1,0)</f>
        <v/>
      </c>
    </row>
    <row r="458">
      <c r="A458" s="34" t="inlineStr">
        <is>
          <t>种植大麻</t>
        </is>
      </c>
      <c r="B458" s="34" t="inlineStr">
        <is>
          <t>非法制造管制物品罪</t>
        </is>
      </c>
      <c r="C458" s="34">
        <f>IF(AND($A457&lt;&gt;"",'算罪台'!$B$4&lt;&gt;"",ISNUMBER(SEARCH($A457,'算罪台'!$B$4))),1,0)</f>
        <v/>
      </c>
      <c r="D458" s="34">
        <f>IF(AND($A457&lt;&gt;"",'算罪台'!$B$5&lt;&gt;"",ISNUMBER(SEARCH($A457,'算罪台'!$B$5))),1,0)</f>
        <v/>
      </c>
      <c r="E458" s="34">
        <f>IF(AND($A457&lt;&gt;"",'算罪台'!$B$6&lt;&gt;"",ISNUMBER(SEARCH($A457,'算罪台'!$B$6))),1,0)</f>
        <v/>
      </c>
    </row>
    <row r="459">
      <c r="A459" s="34" t="inlineStr">
        <is>
          <t>制造毒品</t>
        </is>
      </c>
      <c r="B459" s="34" t="inlineStr">
        <is>
          <t>非法制造管制物品罪</t>
        </is>
      </c>
      <c r="C459" s="34">
        <f>IF(AND($A458&lt;&gt;"",'算罪台'!$B$4&lt;&gt;"",ISNUMBER(SEARCH($A458,'算罪台'!$B$4))),1,0)</f>
        <v/>
      </c>
      <c r="D459" s="34">
        <f>IF(AND($A458&lt;&gt;"",'算罪台'!$B$5&lt;&gt;"",ISNUMBER(SEARCH($A458,'算罪台'!$B$5))),1,0)</f>
        <v/>
      </c>
      <c r="E459" s="34">
        <f>IF(AND($A458&lt;&gt;"",'算罪台'!$B$6&lt;&gt;"",ISNUMBER(SEARCH($A458,'算罪台'!$B$6))),1,0)</f>
        <v/>
      </c>
    </row>
    <row r="460">
      <c r="A460" s="34" t="inlineStr">
        <is>
          <t>种大麻</t>
        </is>
      </c>
      <c r="B460" s="34" t="inlineStr">
        <is>
          <t>非法制造管制物品罪</t>
        </is>
      </c>
      <c r="C460" s="34">
        <f>IF(AND($A459&lt;&gt;"",'算罪台'!$B$4&lt;&gt;"",ISNUMBER(SEARCH($A459,'算罪台'!$B$4))),1,0)</f>
        <v/>
      </c>
      <c r="D460" s="34">
        <f>IF(AND($A459&lt;&gt;"",'算罪台'!$B$5&lt;&gt;"",ISNUMBER(SEARCH($A459,'算罪台'!$B$5))),1,0)</f>
        <v/>
      </c>
      <c r="E460" s="34">
        <f>IF(AND($A459&lt;&gt;"",'算罪台'!$B$6&lt;&gt;"",ISNUMBER(SEARCH($A459,'算罪台'!$B$6))),1,0)</f>
        <v/>
      </c>
    </row>
    <row r="461">
      <c r="A461" s="34" t="inlineStr">
        <is>
          <t>煮毒</t>
        </is>
      </c>
      <c r="B461" s="34" t="inlineStr">
        <is>
          <t>非法制造管制物品罪</t>
        </is>
      </c>
      <c r="C461" s="34">
        <f>IF(AND($A460&lt;&gt;"",'算罪台'!$B$4&lt;&gt;"",ISNUMBER(SEARCH($A460,'算罪台'!$B$4))),1,0)</f>
        <v/>
      </c>
      <c r="D461" s="34">
        <f>IF(AND($A460&lt;&gt;"",'算罪台'!$B$5&lt;&gt;"",ISNUMBER(SEARCH($A460,'算罪台'!$B$5))),1,0)</f>
        <v/>
      </c>
      <c r="E461" s="34">
        <f>IF(AND($A460&lt;&gt;"",'算罪台'!$B$6&lt;&gt;"",ISNUMBER(SEARCH($A460,'算罪台'!$B$6))),1,0)</f>
        <v/>
      </c>
    </row>
    <row r="462">
      <c r="A462" s="34" t="inlineStr">
        <is>
          <t>贩卖管制物品</t>
        </is>
      </c>
      <c r="B462" s="34" t="inlineStr">
        <is>
          <t>非法贩卖管制物品罪</t>
        </is>
      </c>
      <c r="C462" s="34">
        <f>IF(AND($A461&lt;&gt;"",'算罪台'!$B$4&lt;&gt;"",ISNUMBER(SEARCH($A461,'算罪台'!$B$4))),1,0)</f>
        <v/>
      </c>
      <c r="D462" s="34">
        <f>IF(AND($A461&lt;&gt;"",'算罪台'!$B$5&lt;&gt;"",ISNUMBER(SEARCH($A461,'算罪台'!$B$5))),1,0)</f>
        <v/>
      </c>
      <c r="E462" s="34">
        <f>IF(AND($A461&lt;&gt;"",'算罪台'!$B$6&lt;&gt;"",ISNUMBER(SEARCH($A461,'算罪台'!$B$6))),1,0)</f>
        <v/>
      </c>
    </row>
    <row r="463">
      <c r="A463" s="34" t="inlineStr">
        <is>
          <t>贩毒</t>
        </is>
      </c>
      <c r="B463" s="34" t="inlineStr">
        <is>
          <t>非法贩卖管制物品罪</t>
        </is>
      </c>
      <c r="C463" s="34">
        <f>IF(AND($A462&lt;&gt;"",'算罪台'!$B$4&lt;&gt;"",ISNUMBER(SEARCH($A462,'算罪台'!$B$4))),1,0)</f>
        <v/>
      </c>
      <c r="D463" s="34">
        <f>IF(AND($A462&lt;&gt;"",'算罪台'!$B$5&lt;&gt;"",ISNUMBER(SEARCH($A462,'算罪台'!$B$5))),1,0)</f>
        <v/>
      </c>
      <c r="E463" s="34">
        <f>IF(AND($A462&lt;&gt;"",'算罪台'!$B$6&lt;&gt;"",ISNUMBER(SEARCH($A462,'算罪台'!$B$6))),1,0)</f>
        <v/>
      </c>
    </row>
    <row r="464">
      <c r="A464" s="34" t="inlineStr">
        <is>
          <t>卖毒品</t>
        </is>
      </c>
      <c r="B464" s="34" t="inlineStr">
        <is>
          <t>非法贩卖管制物品罪</t>
        </is>
      </c>
      <c r="C464" s="34">
        <f>IF(AND($A463&lt;&gt;"",'算罪台'!$B$4&lt;&gt;"",ISNUMBER(SEARCH($A463,'算罪台'!$B$4))),1,0)</f>
        <v/>
      </c>
      <c r="D464" s="34">
        <f>IF(AND($A463&lt;&gt;"",'算罪台'!$B$5&lt;&gt;"",ISNUMBER(SEARCH($A463,'算罪台'!$B$5))),1,0)</f>
        <v/>
      </c>
      <c r="E464" s="34">
        <f>IF(AND($A463&lt;&gt;"",'算罪台'!$B$6&lt;&gt;"",ISNUMBER(SEARCH($A463,'算罪台'!$B$6))),1,0)</f>
        <v/>
      </c>
    </row>
    <row r="465">
      <c r="A465" s="34" t="inlineStr">
        <is>
          <t>运输毒品</t>
        </is>
      </c>
      <c r="B465" s="34" t="inlineStr">
        <is>
          <t>非法贩卖管制物品罪</t>
        </is>
      </c>
      <c r="C465" s="34">
        <f>IF(AND($A464&lt;&gt;"",'算罪台'!$B$4&lt;&gt;"",ISNUMBER(SEARCH($A464,'算罪台'!$B$4))),1,0)</f>
        <v/>
      </c>
      <c r="D465" s="34">
        <f>IF(AND($A464&lt;&gt;"",'算罪台'!$B$5&lt;&gt;"",ISNUMBER(SEARCH($A464,'算罪台'!$B$5))),1,0)</f>
        <v/>
      </c>
      <c r="E465" s="34">
        <f>IF(AND($A464&lt;&gt;"",'算罪台'!$B$6&lt;&gt;"",ISNUMBER(SEARCH($A464,'算罪台'!$B$6))),1,0)</f>
        <v/>
      </c>
    </row>
    <row r="466">
      <c r="A466" s="34" t="inlineStr">
        <is>
          <t>贩卖毒品</t>
        </is>
      </c>
      <c r="B466" s="34" t="inlineStr">
        <is>
          <t>非法贩卖管制物品罪</t>
        </is>
      </c>
      <c r="C466" s="34">
        <f>IF(AND($A465&lt;&gt;"",'算罪台'!$B$4&lt;&gt;"",ISNUMBER(SEARCH($A465,'算罪台'!$B$4))),1,0)</f>
        <v/>
      </c>
      <c r="D466" s="34">
        <f>IF(AND($A465&lt;&gt;"",'算罪台'!$B$5&lt;&gt;"",ISNUMBER(SEARCH($A465,'算罪台'!$B$5))),1,0)</f>
        <v/>
      </c>
      <c r="E466" s="34">
        <f>IF(AND($A465&lt;&gt;"",'算罪台'!$B$6&lt;&gt;"",ISNUMBER(SEARCH($A465,'算罪台'!$B$6))),1,0)</f>
        <v/>
      </c>
    </row>
    <row r="467">
      <c r="A467" s="34" t="inlineStr">
        <is>
          <t>运毒</t>
        </is>
      </c>
      <c r="B467" s="34" t="inlineStr">
        <is>
          <t>非法贩卖管制物品罪</t>
        </is>
      </c>
      <c r="C467" s="34">
        <f>IF(AND($A466&lt;&gt;"",'算罪台'!$B$4&lt;&gt;"",ISNUMBER(SEARCH($A466,'算罪台'!$B$4))),1,0)</f>
        <v/>
      </c>
      <c r="D467" s="34">
        <f>IF(AND($A466&lt;&gt;"",'算罪台'!$B$5&lt;&gt;"",ISNUMBER(SEARCH($A466,'算罪台'!$B$5))),1,0)</f>
        <v/>
      </c>
      <c r="E467" s="34">
        <f>IF(AND($A466&lt;&gt;"",'算罪台'!$B$6&lt;&gt;"",ISNUMBER(SEARCH($A466,'算罪台'!$B$6))),1,0)</f>
        <v/>
      </c>
    </row>
    <row r="468">
      <c r="A468" s="34" t="inlineStr">
        <is>
          <t>送毒品</t>
        </is>
      </c>
      <c r="B468" s="34" t="inlineStr">
        <is>
          <t>非法贩卖管制物品罪</t>
        </is>
      </c>
      <c r="C468" s="34">
        <f>IF(AND($A467&lt;&gt;"",'算罪台'!$B$4&lt;&gt;"",ISNUMBER(SEARCH($A467,'算罪台'!$B$4))),1,0)</f>
        <v/>
      </c>
      <c r="D468" s="34">
        <f>IF(AND($A467&lt;&gt;"",'算罪台'!$B$5&lt;&gt;"",ISNUMBER(SEARCH($A467,'算罪台'!$B$5))),1,0)</f>
        <v/>
      </c>
      <c r="E468" s="34">
        <f>IF(AND($A467&lt;&gt;"",'算罪台'!$B$6&lt;&gt;"",ISNUMBER(SEARCH($A467,'算罪台'!$B$6))),1,0)</f>
        <v/>
      </c>
    </row>
    <row r="469">
      <c r="A469" s="34" t="inlineStr">
        <is>
          <t>倒卖毒品</t>
        </is>
      </c>
      <c r="B469" s="34" t="inlineStr">
        <is>
          <t>非法贩卖管制物品罪</t>
        </is>
      </c>
      <c r="C469" s="34">
        <f>IF(AND($A468&lt;&gt;"",'算罪台'!$B$4&lt;&gt;"",ISNUMBER(SEARCH($A468,'算罪台'!$B$4))),1,0)</f>
        <v/>
      </c>
      <c r="D469" s="34">
        <f>IF(AND($A468&lt;&gt;"",'算罪台'!$B$5&lt;&gt;"",ISNUMBER(SEARCH($A468,'算罪台'!$B$5))),1,0)</f>
        <v/>
      </c>
      <c r="E469" s="34">
        <f>IF(AND($A468&lt;&gt;"",'算罪台'!$B$6&lt;&gt;"",ISNUMBER(SEARCH($A468,'算罪台'!$B$6))),1,0)</f>
        <v/>
      </c>
    </row>
    <row r="470">
      <c r="A470" s="34" t="inlineStr">
        <is>
          <t>有组织犯罪</t>
        </is>
      </c>
      <c r="B470" s="34" t="inlineStr">
        <is>
          <t>有组织犯罪</t>
        </is>
      </c>
      <c r="C470" s="34">
        <f>IF(AND($A469&lt;&gt;"",'算罪台'!$B$4&lt;&gt;"",ISNUMBER(SEARCH($A469,'算罪台'!$B$4))),1,0)</f>
        <v/>
      </c>
      <c r="D470" s="34">
        <f>IF(AND($A469&lt;&gt;"",'算罪台'!$B$5&lt;&gt;"",ISNUMBER(SEARCH($A469,'算罪台'!$B$5))),1,0)</f>
        <v/>
      </c>
      <c r="E470" s="34">
        <f>IF(AND($A469&lt;&gt;"",'算罪台'!$B$6&lt;&gt;"",ISNUMBER(SEARCH($A469,'算罪台'!$B$6))),1,0)</f>
        <v/>
      </c>
    </row>
    <row r="471">
      <c r="A471" s="34" t="inlineStr">
        <is>
          <t>团伙犯罪</t>
        </is>
      </c>
      <c r="B471" s="34" t="inlineStr">
        <is>
          <t>有组织犯罪</t>
        </is>
      </c>
      <c r="C471" s="34">
        <f>IF(AND($A470&lt;&gt;"",'算罪台'!$B$4&lt;&gt;"",ISNUMBER(SEARCH($A470,'算罪台'!$B$4))),1,0)</f>
        <v/>
      </c>
      <c r="D471" s="34">
        <f>IF(AND($A470&lt;&gt;"",'算罪台'!$B$5&lt;&gt;"",ISNUMBER(SEARCH($A470,'算罪台'!$B$5))),1,0)</f>
        <v/>
      </c>
      <c r="E471" s="34">
        <f>IF(AND($A470&lt;&gt;"",'算罪台'!$B$6&lt;&gt;"",ISNUMBER(SEARCH($A470,'算罪台'!$B$6))),1,0)</f>
        <v/>
      </c>
    </row>
    <row r="472">
      <c r="A472" s="34" t="inlineStr">
        <is>
          <t>黑帮犯罪</t>
        </is>
      </c>
      <c r="B472" s="34" t="inlineStr">
        <is>
          <t>有组织犯罪</t>
        </is>
      </c>
      <c r="C472" s="34">
        <f>IF(AND($A471&lt;&gt;"",'算罪台'!$B$4&lt;&gt;"",ISNUMBER(SEARCH($A471,'算罪台'!$B$4))),1,0)</f>
        <v/>
      </c>
      <c r="D472" s="34">
        <f>IF(AND($A471&lt;&gt;"",'算罪台'!$B$5&lt;&gt;"",ISNUMBER(SEARCH($A471,'算罪台'!$B$5))),1,0)</f>
        <v/>
      </c>
      <c r="E472" s="34">
        <f>IF(AND($A471&lt;&gt;"",'算罪台'!$B$6&lt;&gt;"",ISNUMBER(SEARCH($A471,'算罪台'!$B$6))),1,0)</f>
        <v/>
      </c>
    </row>
    <row r="473">
      <c r="A473" s="34" t="inlineStr">
        <is>
          <t>犯罪集团</t>
        </is>
      </c>
      <c r="B473" s="34" t="inlineStr">
        <is>
          <t>有组织犯罪</t>
        </is>
      </c>
      <c r="C473" s="34">
        <f>IF(AND($A472&lt;&gt;"",'算罪台'!$B$4&lt;&gt;"",ISNUMBER(SEARCH($A472,'算罪台'!$B$4))),1,0)</f>
        <v/>
      </c>
      <c r="D473" s="34">
        <f>IF(AND($A472&lt;&gt;"",'算罪台'!$B$5&lt;&gt;"",ISNUMBER(SEARCH($A472,'算罪台'!$B$5))),1,0)</f>
        <v/>
      </c>
      <c r="E473" s="34">
        <f>IF(AND($A472&lt;&gt;"",'算罪台'!$B$6&lt;&gt;"",ISNUMBER(SEARCH($A472,'算罪台'!$B$6))),1,0)</f>
        <v/>
      </c>
    </row>
    <row r="474">
      <c r="A474" s="34" t="inlineStr">
        <is>
          <t>帮派作案</t>
        </is>
      </c>
      <c r="B474" s="34" t="inlineStr">
        <is>
          <t>有组织犯罪</t>
        </is>
      </c>
      <c r="C474" s="34">
        <f>IF(AND($A473&lt;&gt;"",'算罪台'!$B$4&lt;&gt;"",ISNUMBER(SEARCH($A473,'算罪台'!$B$4))),1,0)</f>
        <v/>
      </c>
      <c r="D474" s="34">
        <f>IF(AND($A473&lt;&gt;"",'算罪台'!$B$5&lt;&gt;"",ISNUMBER(SEARCH($A473,'算罪台'!$B$5))),1,0)</f>
        <v/>
      </c>
      <c r="E474" s="34">
        <f>IF(AND($A473&lt;&gt;"",'算罪台'!$B$6&lt;&gt;"",ISNUMBER(SEARCH($A473,'算罪台'!$B$6))),1,0)</f>
        <v/>
      </c>
    </row>
    <row r="475">
      <c r="A475" s="34" t="inlineStr">
        <is>
          <t>团伙作案</t>
        </is>
      </c>
      <c r="B475" s="34" t="inlineStr">
        <is>
          <t>有组织犯罪</t>
        </is>
      </c>
      <c r="C475" s="34">
        <f>IF(AND($A474&lt;&gt;"",'算罪台'!$B$4&lt;&gt;"",ISNUMBER(SEARCH($A474,'算罪台'!$B$4))),1,0)</f>
        <v/>
      </c>
      <c r="D475" s="34">
        <f>IF(AND($A474&lt;&gt;"",'算罪台'!$B$5&lt;&gt;"",ISNUMBER(SEARCH($A474,'算罪台'!$B$5))),1,0)</f>
        <v/>
      </c>
      <c r="E475" s="34">
        <f>IF(AND($A474&lt;&gt;"",'算罪台'!$B$6&lt;&gt;"",ISNUMBER(SEARCH($A474,'算罪台'!$B$6))),1,0)</f>
        <v/>
      </c>
    </row>
    <row r="476">
      <c r="A476" s="34" t="inlineStr">
        <is>
          <t>洗钱</t>
        </is>
      </c>
      <c r="B476" s="34" t="inlineStr">
        <is>
          <t>洗钱罪</t>
        </is>
      </c>
      <c r="C476" s="34">
        <f>IF(AND($A475&lt;&gt;"",'算罪台'!$B$4&lt;&gt;"",ISNUMBER(SEARCH($A475,'算罪台'!$B$4))),1,0)</f>
        <v/>
      </c>
      <c r="D476" s="34">
        <f>IF(AND($A475&lt;&gt;"",'算罪台'!$B$5&lt;&gt;"",ISNUMBER(SEARCH($A475,'算罪台'!$B$5))),1,0)</f>
        <v/>
      </c>
      <c r="E476" s="34">
        <f>IF(AND($A475&lt;&gt;"",'算罪台'!$B$6&lt;&gt;"",ISNUMBER(SEARCH($A475,'算罪台'!$B$6))),1,0)</f>
        <v/>
      </c>
    </row>
    <row r="477">
      <c r="A477" s="34" t="inlineStr">
        <is>
          <t>转移赃款</t>
        </is>
      </c>
      <c r="B477" s="34" t="inlineStr">
        <is>
          <t>洗钱罪</t>
        </is>
      </c>
      <c r="C477" s="34">
        <f>IF(AND($A476&lt;&gt;"",'算罪台'!$B$4&lt;&gt;"",ISNUMBER(SEARCH($A476,'算罪台'!$B$4))),1,0)</f>
        <v/>
      </c>
      <c r="D477" s="34">
        <f>IF(AND($A476&lt;&gt;"",'算罪台'!$B$5&lt;&gt;"",ISNUMBER(SEARCH($A476,'算罪台'!$B$5))),1,0)</f>
        <v/>
      </c>
      <c r="E477" s="34">
        <f>IF(AND($A476&lt;&gt;"",'算罪台'!$B$6&lt;&gt;"",ISNUMBER(SEARCH($A476,'算罪台'!$B$6))),1,0)</f>
        <v/>
      </c>
    </row>
    <row r="478">
      <c r="A478" s="34" t="inlineStr">
        <is>
          <t>清洗黑钱</t>
        </is>
      </c>
      <c r="B478" s="34" t="inlineStr">
        <is>
          <t>洗钱罪</t>
        </is>
      </c>
      <c r="C478" s="34">
        <f>IF(AND($A477&lt;&gt;"",'算罪台'!$B$4&lt;&gt;"",ISNUMBER(SEARCH($A477,'算罪台'!$B$4))),1,0)</f>
        <v/>
      </c>
      <c r="D478" s="34">
        <f>IF(AND($A477&lt;&gt;"",'算罪台'!$B$5&lt;&gt;"",ISNUMBER(SEARCH($A477,'算罪台'!$B$5))),1,0)</f>
        <v/>
      </c>
      <c r="E478" s="34">
        <f>IF(AND($A477&lt;&gt;"",'算罪台'!$B$6&lt;&gt;"",ISNUMBER(SEARCH($A477,'算罪台'!$B$6))),1,0)</f>
        <v/>
      </c>
    </row>
    <row r="479">
      <c r="A479" s="34" t="inlineStr">
        <is>
          <t>标记钞票</t>
        </is>
      </c>
      <c r="B479" s="34" t="inlineStr">
        <is>
          <t>洗钱罪</t>
        </is>
      </c>
      <c r="C479" s="34">
        <f>IF(AND($A478&lt;&gt;"",'算罪台'!$B$4&lt;&gt;"",ISNUMBER(SEARCH($A478,'算罪台'!$B$4))),1,0)</f>
        <v/>
      </c>
      <c r="D479" s="34">
        <f>IF(AND($A478&lt;&gt;"",'算罪台'!$B$5&lt;&gt;"",ISNUMBER(SEARCH($A478,'算罪台'!$B$5))),1,0)</f>
        <v/>
      </c>
      <c r="E479" s="34">
        <f>IF(AND($A478&lt;&gt;"",'算罪台'!$B$6&lt;&gt;"",ISNUMBER(SEARCH($A478,'算罪台'!$B$6))),1,0)</f>
        <v/>
      </c>
    </row>
    <row r="480">
      <c r="A480" s="34" t="inlineStr">
        <is>
          <t>漂白黑钱</t>
        </is>
      </c>
      <c r="B480" s="34" t="inlineStr">
        <is>
          <t>洗钱罪</t>
        </is>
      </c>
      <c r="C480" s="34">
        <f>IF(AND($A479&lt;&gt;"",'算罪台'!$B$4&lt;&gt;"",ISNUMBER(SEARCH($A479,'算罪台'!$B$4))),1,0)</f>
        <v/>
      </c>
      <c r="D480" s="34">
        <f>IF(AND($A479&lt;&gt;"",'算罪台'!$B$5&lt;&gt;"",ISNUMBER(SEARCH($A479,'算罪台'!$B$5))),1,0)</f>
        <v/>
      </c>
      <c r="E480" s="34">
        <f>IF(AND($A479&lt;&gt;"",'算罪台'!$B$6&lt;&gt;"",ISNUMBER(SEARCH($A479,'算罪台'!$B$6))),1,0)</f>
        <v/>
      </c>
    </row>
    <row r="481">
      <c r="A481" s="34" t="inlineStr">
        <is>
          <t>洗黑钱</t>
        </is>
      </c>
      <c r="B481" s="34" t="inlineStr">
        <is>
          <t>洗钱罪</t>
        </is>
      </c>
      <c r="C481" s="34">
        <f>IF(AND($A480&lt;&gt;"",'算罪台'!$B$4&lt;&gt;"",ISNUMBER(SEARCH($A480,'算罪台'!$B$4))),1,0)</f>
        <v/>
      </c>
      <c r="D481" s="34">
        <f>IF(AND($A480&lt;&gt;"",'算罪台'!$B$5&lt;&gt;"",ISNUMBER(SEARCH($A480,'算罪台'!$B$5))),1,0)</f>
        <v/>
      </c>
      <c r="E481" s="34">
        <f>IF(AND($A480&lt;&gt;"",'算罪台'!$B$6&lt;&gt;"",ISNUMBER(SEARCH($A480,'算罪台'!$B$6))),1,0)</f>
        <v/>
      </c>
    </row>
    <row r="482">
      <c r="A482" s="34" t="inlineStr">
        <is>
          <t>身份盗用</t>
        </is>
      </c>
      <c r="B482" s="34" t="inlineStr">
        <is>
          <t>身份盗用罪</t>
        </is>
      </c>
      <c r="C482" s="34">
        <f>IF(AND($A481&lt;&gt;"",'算罪台'!$B$4&lt;&gt;"",ISNUMBER(SEARCH($A481,'算罪台'!$B$4))),1,0)</f>
        <v/>
      </c>
      <c r="D482" s="34">
        <f>IF(AND($A481&lt;&gt;"",'算罪台'!$B$5&lt;&gt;"",ISNUMBER(SEARCH($A481,'算罪台'!$B$5))),1,0)</f>
        <v/>
      </c>
      <c r="E482" s="34">
        <f>IF(AND($A481&lt;&gt;"",'算罪台'!$B$6&lt;&gt;"",ISNUMBER(SEARCH($A481,'算罪台'!$B$6))),1,0)</f>
        <v/>
      </c>
    </row>
    <row r="483">
      <c r="A483" s="34" t="inlineStr">
        <is>
          <t>盗用身份</t>
        </is>
      </c>
      <c r="B483" s="34" t="inlineStr">
        <is>
          <t>身份盗用罪</t>
        </is>
      </c>
      <c r="C483" s="34">
        <f>IF(AND($A482&lt;&gt;"",'算罪台'!$B$4&lt;&gt;"",ISNUMBER(SEARCH($A482,'算罪台'!$B$4))),1,0)</f>
        <v/>
      </c>
      <c r="D483" s="34">
        <f>IF(AND($A482&lt;&gt;"",'算罪台'!$B$5&lt;&gt;"",ISNUMBER(SEARCH($A482,'算罪台'!$B$5))),1,0)</f>
        <v/>
      </c>
      <c r="E483" s="34">
        <f>IF(AND($A482&lt;&gt;"",'算罪台'!$B$6&lt;&gt;"",ISNUMBER(SEARCH($A482,'算罪台'!$B$6))),1,0)</f>
        <v/>
      </c>
    </row>
    <row r="484">
      <c r="A484" s="34" t="inlineStr">
        <is>
          <t>冒用身份</t>
        </is>
      </c>
      <c r="B484" s="34" t="inlineStr">
        <is>
          <t>身份盗用罪</t>
        </is>
      </c>
      <c r="C484" s="34">
        <f>IF(AND($A483&lt;&gt;"",'算罪台'!$B$4&lt;&gt;"",ISNUMBER(SEARCH($A483,'算罪台'!$B$4))),1,0)</f>
        <v/>
      </c>
      <c r="D484" s="34">
        <f>IF(AND($A483&lt;&gt;"",'算罪台'!$B$5&lt;&gt;"",ISNUMBER(SEARCH($A483,'算罪台'!$B$5))),1,0)</f>
        <v/>
      </c>
      <c r="E484" s="34">
        <f>IF(AND($A483&lt;&gt;"",'算罪台'!$B$6&lt;&gt;"",ISNUMBER(SEARCH($A483,'算罪台'!$B$6))),1,0)</f>
        <v/>
      </c>
    </row>
    <row r="485">
      <c r="A485" s="34" t="inlineStr">
        <is>
          <t>盗用个人信息</t>
        </is>
      </c>
      <c r="B485" s="34" t="inlineStr">
        <is>
          <t>身份盗用罪</t>
        </is>
      </c>
      <c r="C485" s="34">
        <f>IF(AND($A484&lt;&gt;"",'算罪台'!$B$4&lt;&gt;"",ISNUMBER(SEARCH($A484,'算罪台'!$B$4))),1,0)</f>
        <v/>
      </c>
      <c r="D485" s="34">
        <f>IF(AND($A484&lt;&gt;"",'算罪台'!$B$5&lt;&gt;"",ISNUMBER(SEARCH($A484,'算罪台'!$B$5))),1,0)</f>
        <v/>
      </c>
      <c r="E485" s="34">
        <f>IF(AND($A484&lt;&gt;"",'算罪台'!$B$6&lt;&gt;"",ISNUMBER(SEARCH($A484,'算罪台'!$B$6))),1,0)</f>
        <v/>
      </c>
    </row>
    <row r="486">
      <c r="A486" s="34" t="inlineStr">
        <is>
          <t>盗用银行账号</t>
        </is>
      </c>
      <c r="B486" s="34" t="inlineStr">
        <is>
          <t>身份盗用罪</t>
        </is>
      </c>
      <c r="C486" s="34">
        <f>IF(AND($A485&lt;&gt;"",'算罪台'!$B$4&lt;&gt;"",ISNUMBER(SEARCH($A485,'算罪台'!$B$4))),1,0)</f>
        <v/>
      </c>
      <c r="D486" s="34">
        <f>IF(AND($A485&lt;&gt;"",'算罪台'!$B$5&lt;&gt;"",ISNUMBER(SEARCH($A485,'算罪台'!$B$5))),1,0)</f>
        <v/>
      </c>
      <c r="E486" s="34">
        <f>IF(AND($A485&lt;&gt;"",'算罪台'!$B$6&lt;&gt;"",ISNUMBER(SEARCH($A485,'算罪台'!$B$6))),1,0)</f>
        <v/>
      </c>
    </row>
    <row r="487">
      <c r="A487" s="34" t="inlineStr">
        <is>
          <t>冒用他人信息</t>
        </is>
      </c>
      <c r="B487" s="34" t="inlineStr">
        <is>
          <t>身份盗用罪</t>
        </is>
      </c>
      <c r="C487" s="34">
        <f>IF(AND($A486&lt;&gt;"",'算罪台'!$B$4&lt;&gt;"",ISNUMBER(SEARCH($A486,'算罪台'!$B$4))),1,0)</f>
        <v/>
      </c>
      <c r="D487" s="34">
        <f>IF(AND($A486&lt;&gt;"",'算罪台'!$B$5&lt;&gt;"",ISNUMBER(SEARCH($A486,'算罪台'!$B$5))),1,0)</f>
        <v/>
      </c>
      <c r="E487" s="34">
        <f>IF(AND($A486&lt;&gt;"",'算罪台'!$B$6&lt;&gt;"",ISNUMBER(SEARCH($A486,'算罪台'!$B$6))),1,0)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2026-06-26T22:14:17Z</dcterms:created>
  <dcterms:modified xsi:type="dcterms:W3CDTF">2026-06-26T22:14:17Z</dcterms:modified>
  <cp:lastModifiedBy>袁尘</cp:lastModifiedBy>
  <cp:keywords>袁尘 原创</cp:keywords>
</cp:coreProperties>
</file>