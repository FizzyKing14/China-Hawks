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0"/>
    </font>
    <font>
      <b val="1"/>
      <color rgb="001B2A41"/>
      <sz val="12"/>
    </font>
    <font>
      <color rgb="008A6D00"/>
      <sz val="10"/>
    </font>
    <font>
      <b val="1"/>
      <color rgb="00FFFFFF"/>
    </font>
    <font>
      <b val="1"/>
      <color rgb="00C0392B"/>
      <sz val="12"/>
    </font>
    <font>
      <color rgb="001B2A41"/>
      <sz val="10"/>
    </font>
    <font>
      <b val="1"/>
      <color rgb="00FFFFFF"/>
      <sz val="12"/>
    </font>
    <font>
      <b val="1"/>
      <color rgb="001B2A41"/>
    </font>
    <font>
      <b val="1"/>
      <color rgb="002C4A7C"/>
    </font>
    <font>
      <i val="1"/>
      <color rgb="006B7280"/>
      <sz val="9"/>
    </font>
    <font>
      <b val="1"/>
      <color rgb="0012243B"/>
      <sz val="10"/>
    </font>
    <font>
      <b val="1"/>
      <color rgb="00FFFFFF"/>
      <sz val="14"/>
    </font>
    <font>
      <b val="1"/>
    </font>
    <font>
      <b val="1"/>
      <color rgb="00FFFFFF"/>
      <sz val="15"/>
    </font>
    <font>
      <b val="1"/>
      <color rgb="001F3A5F"/>
      <sz val="11"/>
    </font>
  </fonts>
  <fills count="16">
    <fill>
      <patternFill/>
    </fill>
    <fill>
      <patternFill patternType="gray125"/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F3E6BE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FF8E1"/>
      </patternFill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F7FAFC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EEF4FA"/>
      </patternFill>
    </fill>
  </fills>
  <borders count="5">
    <border>
      <left/>
      <right/>
      <top/>
      <bottom/>
      <diagonal/>
    </border>
    <border>
      <bottom style="medium">
        <color rgb="00C9A227"/>
      </bottom>
    </border>
    <border>
      <left style="thick">
        <color rgb="00C9A227"/>
      </left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7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8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0" fillId="4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6" borderId="3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6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0" fontId="7" fillId="10" borderId="3" applyAlignment="1" pivotButton="0" quotePrefix="0" xfId="0">
      <alignment horizontal="center" vertical="center" wrapText="1"/>
    </xf>
    <xf numFmtId="0" fontId="0" fillId="10" borderId="3" pivotButton="0" quotePrefix="0" xfId="0"/>
    <xf numFmtId="0" fontId="7" fillId="5" borderId="3" applyAlignment="1" pivotButton="0" quotePrefix="0" xfId="0">
      <alignment horizontal="center" vertical="center" wrapText="1"/>
    </xf>
    <xf numFmtId="0" fontId="5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3" fontId="5" fillId="11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9" fillId="12" borderId="3" applyAlignment="1" pivotButton="0" quotePrefix="0" xfId="0">
      <alignment horizontal="left" vertical="center" wrapText="1"/>
    </xf>
    <xf numFmtId="0" fontId="0" fillId="12" borderId="3" pivotButton="0" quotePrefix="0" xfId="0"/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center" vertical="center" wrapText="1"/>
    </xf>
    <xf numFmtId="0" fontId="0" fillId="3" borderId="4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0" fillId="2" borderId="3" applyAlignment="1" pivotButton="0" quotePrefix="0" xfId="0">
      <alignment horizontal="center" vertical="center" wrapText="1"/>
    </xf>
    <xf numFmtId="0" fontId="11" fillId="2" borderId="3" pivotButton="0" quotePrefix="0" xfId="0"/>
    <xf numFmtId="0" fontId="0" fillId="13" borderId="3" applyAlignment="1" pivotButton="0" quotePrefix="0" xfId="0">
      <alignment horizontal="center" vertical="center" wrapText="1"/>
    </xf>
    <xf numFmtId="3" fontId="0" fillId="2" borderId="3" applyAlignment="1" pivotButton="0" quotePrefix="0" xfId="0">
      <alignment horizontal="center" vertical="center" wrapText="1"/>
    </xf>
    <xf numFmtId="0" fontId="0" fillId="2" borderId="3" applyAlignment="1" pivotButton="0" quotePrefix="0" xfId="0">
      <alignment vertical="top" wrapText="1"/>
    </xf>
    <xf numFmtId="0" fontId="12" fillId="6" borderId="3" applyAlignment="1" pivotButton="0" quotePrefix="0" xfId="0">
      <alignment horizontal="center" vertical="center" wrapText="1"/>
    </xf>
    <xf numFmtId="0" fontId="0" fillId="14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11" fillId="0" borderId="3" pivotButton="0" quotePrefix="0" xfId="0"/>
    <xf numFmtId="3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3" fillId="2" borderId="0" applyAlignment="1" pivotButton="0" quotePrefix="0" xfId="0">
      <alignment vertical="top" wrapText="1"/>
    </xf>
    <xf numFmtId="0" fontId="14" fillId="2" borderId="0" applyAlignment="1" pivotButton="0" quotePrefix="0" xfId="0">
      <alignment horizontal="righ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16" fillId="11" borderId="3" pivotButton="0" quotePrefix="0" xfId="0"/>
    <xf numFmtId="3" fontId="0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vertical="top" wrapText="1"/>
    </xf>
    <xf numFmtId="0" fontId="0" fillId="15" borderId="3" applyAlignment="1" pivotButton="0" quotePrefix="0" xfId="0">
      <alignment horizontal="center" vertical="center" wrapText="1"/>
    </xf>
    <xf numFmtId="0" fontId="16" fillId="15" borderId="3" pivotButton="0" quotePrefix="0" xfId="0"/>
    <xf numFmtId="3" fontId="0" fillId="15" borderId="3" applyAlignment="1" pivotButton="0" quotePrefix="0" xfId="0">
      <alignment horizontal="center" vertical="center" wrapText="1"/>
    </xf>
    <xf numFmtId="0" fontId="0" fillId="15" borderId="3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三步走</t>
        </is>
      </c>
    </row>
    <row r="4">
      <c r="B4" s="4" t="inlineStr">
        <is>
          <t>第1步 立案问答：在「算罪台」顶部填 需判罪人数 / 受伤人数 / 死亡人数。下面会给出对应提示。</t>
        </is>
      </c>
    </row>
    <row r="5">
      <c r="B5" s="4" t="inlineStr">
        <is>
          <t>第2步 勾选清单：在罪名清单里，给每个人「做了什么」逐条打勾——在 甲/乙/丙 列填 1。</t>
        </is>
      </c>
    </row>
    <row r="6">
      <c r="B6" s="4" t="inlineStr">
        <is>
          <t>第3步 看结果：顶部「实时结果」自动累加每人罪名、刑期、罚款、保释金，并指出主要责任方。</t>
        </is>
      </c>
    </row>
    <row r="7">
      <c r="A7" s="3" t="inlineStr">
        <is>
          <t>② 怎么填</t>
        </is>
      </c>
    </row>
    <row r="8">
      <c r="B8" s="4" t="inlineStr">
        <is>
          <t>只判一个人 → 只填「甲」列。两三个人 → 分别填 甲 / 乙 / 丙 三列。</t>
        </is>
      </c>
    </row>
    <row r="9">
      <c r="B9" s="4" t="inlineStr">
        <is>
          <t>同一个人同一条罪只填一次（填 1）。若同一条罪有多名受害人(如打伤3人)，可在该格填件数 3。</t>
        </is>
      </c>
    </row>
    <row r="10">
      <c r="B10" s="4" t="inlineStr">
        <is>
          <t>勾选后整条罪名会变绿，方便核对。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数罪叠加、罚款累计；但总刑期最高不超过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抢劫/盗窃/破坏等另需按价值赔偿(财产≥$8000；人身/精神$5000~$80000)，本表未自动计算。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正当防卫：针对生命威胁的合理防卫，符合条件可无罪释放。</t>
        </is>
      </c>
    </row>
    <row r="18">
      <c r="B18" s="4" t="inlineStr">
        <is>
          <t>堡垒原则：他人非法入侵/暴力袭击私人领地，可使用致命武力(引诱进入者除外)。</t>
        </is>
      </c>
    </row>
    <row r="19">
      <c r="B19" s="4" t="inlineStr">
        <is>
          <t>未遂 / 同谋 / 教唆 / 从犯：按所对应主罪名「同罪论处」。包庇：按主犯论处但≤其50%。</t>
        </is>
      </c>
    </row>
    <row r="20">
      <c r="B20" s="4" t="inlineStr">
        <is>
          <t>分级罪名(收受赃物、盗窃车辆、持有大量管制物品等)：本表取常见档位，请按实际情节核对。</t>
        </is>
      </c>
    </row>
    <row r="21">
      <c r="A21" s="3" t="inlineStr">
        <is>
          <t>⑤ 想自己改</t>
        </is>
      </c>
    </row>
    <row r="22">
      <c r="B22" s="4" t="inlineStr">
        <is>
          <t>改罪名/刑期/罚款 → 直接在「算罪台」清单或「罪名表」里改值。</t>
        </is>
      </c>
    </row>
    <row r="23">
      <c r="B23" s="4" t="inlineStr">
        <is>
          <t>加罪名 → 在清单对应章节下插入一行，填好 罪名/刑期/罚款 即可（结果公式会自动覆盖到末行附近）。</t>
        </is>
      </c>
    </row>
    <row r="24">
      <c r="A24" s="3" t="inlineStr">
        <is>
          <t>⑥ 免责声明</t>
        </is>
      </c>
    </row>
    <row r="25">
      <c r="B25" s="4" t="inlineStr">
        <is>
          <t>本工具仅为辅助参考，最终定罪与量刑以服务器法官 / 司法部裁量为准。</t>
        </is>
      </c>
    </row>
    <row r="27">
      <c r="A27" s="3" t="inlineStr">
        <is>
          <t>原创制作</t>
        </is>
      </c>
      <c r="B27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9" customWidth="1" min="4" max="4"/>
    <col width="11" customWidth="1" min="5" max="5"/>
    <col width="30" customWidth="1" min="6" max="6"/>
    <col width="7" customWidth="1" min="7" max="7"/>
    <col width="7" customWidth="1" min="8" max="8"/>
    <col width="7" customWidth="1" min="9" max="9"/>
    <col hidden="1" width="2" customWidth="1" min="10" max="10"/>
    <col hidden="1" width="2" customWidth="1" min="11" max="11"/>
    <col hidden="1" width="2" customWidth="1" min="12" max="12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18" customHeight="1">
      <c r="A2" s="7" t="inlineStr">
        <is>
          <t>问答 + 逐条勾选　|　依据《圣安地列斯州刑法典》自动算罪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8" t="inlineStr">
        <is>
          <t xml:space="preserve">　① 立案问答　—　先回答下面三个问题</t>
        </is>
      </c>
      <c r="B3" s="9" t="n"/>
      <c r="C3" s="9" t="n"/>
      <c r="D3" s="9" t="n"/>
      <c r="E3" s="9" t="n"/>
      <c r="F3" s="9" t="n"/>
      <c r="G3" s="9" t="n"/>
      <c r="H3" s="9" t="n"/>
      <c r="I3" s="9" t="n"/>
    </row>
    <row r="4" ht="26" customHeight="1">
      <c r="A4" s="10" t="inlineStr">
        <is>
          <t>❓ 需判罪人数</t>
        </is>
      </c>
      <c r="B4" s="11" t="n"/>
      <c r="C4" s="12" t="n">
        <v>1</v>
      </c>
      <c r="D4" s="13" t="inlineStr">
        <is>
          <t>❓ 受伤人数</t>
        </is>
      </c>
      <c r="E4" s="14" t="n"/>
      <c r="F4" s="12" t="n">
        <v>0</v>
      </c>
      <c r="G4" s="15" t="inlineStr">
        <is>
          <t>❓ 死亡人数</t>
        </is>
      </c>
      <c r="H4" s="16" t="n"/>
      <c r="I4" s="12" t="n">
        <v>0</v>
      </c>
    </row>
    <row r="5" ht="30" customHeight="1">
      <c r="A5" s="17">
        <f>"　本案需判罪 "&amp;IF($C$4="","?",$C$4)&amp;" 人。"&amp;IF(N($I$4)&gt;0,"  ⚠ 有 "&amp;$I$4&amp;" 人死亡 → 请为相应嫌疑人勾选 一级/二级/三级谋杀罪 之一；","")&amp;IF(N($F$4)&gt;0,"  有 "&amp;$F$4&amp;" 人受伤 → 可勾选 故意袭击罪 / 持有危险武器人身攻击罪；","")&amp;"  请在下方清单里逐条勾选每个人「做了什么」(在甲/乙/丙列填 1)，结果自动累加。"</f>
        <v/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 ht="22" customHeight="1">
      <c r="A6" s="8" t="inlineStr">
        <is>
          <t xml:space="preserve">　② 实时结果　—　随勾选自动更新（刑期已按法典封顶 5 年）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 ht="20" customHeight="1">
      <c r="A7" s="19" t="inlineStr">
        <is>
          <t>当事人</t>
        </is>
      </c>
      <c r="B7" s="19" t="inlineStr">
        <is>
          <t>罪名数</t>
        </is>
      </c>
      <c r="C7" s="19" t="inlineStr">
        <is>
          <t>合计刑期(月)</t>
        </is>
      </c>
      <c r="D7" s="19" t="inlineStr">
        <is>
          <t>合计罚款($)</t>
        </is>
      </c>
      <c r="E7" s="19" t="inlineStr">
        <is>
          <t>建议保释金($)</t>
        </is>
      </c>
      <c r="F7" s="19" t="inlineStr">
        <is>
          <t>已选罪名</t>
        </is>
      </c>
      <c r="G7" s="20" t="n"/>
      <c r="H7" s="20" t="n"/>
      <c r="I7" s="20" t="n"/>
    </row>
    <row r="8" ht="38" customHeight="1">
      <c r="A8" s="21" t="inlineStr">
        <is>
          <t>当事人甲</t>
        </is>
      </c>
      <c r="B8" s="22">
        <f>COUNTIF($G$15:$G$83,"&gt;0")</f>
        <v/>
      </c>
      <c r="C8" s="23">
        <f>MIN(60,SUMPRODUCT($G$15:$G$83,$D$15:$D$83))</f>
        <v/>
      </c>
      <c r="D8" s="24">
        <f>SUMPRODUCT($G$15:$G$83,$E$15:$E$83)</f>
        <v/>
      </c>
      <c r="E8" s="25">
        <f>ROUND(C8*D8/6,0)</f>
        <v/>
      </c>
      <c r="F8" s="26">
        <f>IF($J$83="","（未勾选 / 无罪名）",$J$83)</f>
        <v/>
      </c>
      <c r="G8" s="27" t="n"/>
      <c r="H8" s="27" t="n"/>
      <c r="I8" s="27" t="n"/>
    </row>
    <row r="9" ht="38" customHeight="1">
      <c r="A9" s="28" t="inlineStr">
        <is>
          <t>当事人乙</t>
        </is>
      </c>
      <c r="B9" s="22">
        <f>COUNTIF($H$15:$H$83,"&gt;0")</f>
        <v/>
      </c>
      <c r="C9" s="23">
        <f>MIN(60,SUMPRODUCT($H$15:$H$83,$D$15:$D$83))</f>
        <v/>
      </c>
      <c r="D9" s="24">
        <f>SUMPRODUCT($H$15:$H$83,$E$15:$E$83)</f>
        <v/>
      </c>
      <c r="E9" s="25">
        <f>ROUND(C9*D9/6,0)</f>
        <v/>
      </c>
      <c r="F9" s="26">
        <f>IF($K$83="","（未勾选 / 无罪名）",$K$83)</f>
        <v/>
      </c>
      <c r="G9" s="27" t="n"/>
      <c r="H9" s="27" t="n"/>
      <c r="I9" s="27" t="n"/>
    </row>
    <row r="10" ht="38" customHeight="1">
      <c r="A10" s="29" t="inlineStr">
        <is>
          <t>当事人丙</t>
        </is>
      </c>
      <c r="B10" s="22">
        <f>COUNTIF($I$15:$I$83,"&gt;0")</f>
        <v/>
      </c>
      <c r="C10" s="23">
        <f>MIN(60,SUMPRODUCT($I$15:$I$83,$D$15:$D$83))</f>
        <v/>
      </c>
      <c r="D10" s="24">
        <f>SUMPRODUCT($I$15:$I$83,$E$15:$E$83)</f>
        <v/>
      </c>
      <c r="E10" s="25">
        <f>ROUND(C10*D10/6,0)</f>
        <v/>
      </c>
      <c r="F10" s="26">
        <f>IF($L$83="","（未勾选 / 无罪名）",$L$83)</f>
        <v/>
      </c>
      <c r="G10" s="27" t="n"/>
      <c r="H10" s="27" t="n"/>
      <c r="I10" s="27" t="n"/>
    </row>
    <row r="11" ht="34" customHeight="1">
      <c r="A11" s="30">
        <f>IF(MAX(C8,C9,C10)=0,"⚠ 还没勾选任何罪名：请在上方问答后，到下面清单里给每个人勾选「做了什么」。","🔨 主要责任方：当事人"&amp;IF(C8=MAX(C8,C9,C10),"甲",IF(C9=MAX(C8,C9,C10),"乙","丙"))&amp;"　|　合计刑期 "&amp;MAX(C8,C9,C10)&amp;" 个月（"&amp;ROUND(MAX(C8,C9,C10)/12,1)&amp;" 年）"&amp;"　|　仅供参考，正当防卫 / 堡垒原则 / 同类不并罚等请人工复核")</f>
        <v/>
      </c>
      <c r="B11" s="31" t="n"/>
      <c r="C11" s="31" t="n"/>
      <c r="D11" s="31" t="n"/>
      <c r="E11" s="31" t="n"/>
      <c r="F11" s="31" t="n"/>
      <c r="G11" s="31" t="n"/>
      <c r="H11" s="31" t="n"/>
      <c r="I11" s="31" t="n"/>
    </row>
    <row r="12" ht="6" customHeight="1">
      <c r="A12" s="32" t="n"/>
      <c r="B12" s="32" t="n"/>
      <c r="C12" s="32" t="n"/>
      <c r="D12" s="32" t="n"/>
      <c r="E12" s="32" t="n"/>
      <c r="F12" s="32" t="n"/>
      <c r="G12" s="32" t="n"/>
      <c r="H12" s="32" t="n"/>
      <c r="I12" s="32" t="n"/>
    </row>
    <row r="13" ht="30" customHeight="1">
      <c r="A13" s="8" t="inlineStr">
        <is>
          <t xml:space="preserve">　③ 罪名勾选清单　—　在「甲/乙/丙」列填 1 即给该人定该罪（多名受害人可填件数，如打伤3人填3）；同一人同一罪只需填一次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</row>
    <row r="14" ht="22" customHeight="1">
      <c r="A14" s="19" t="inlineStr">
        <is>
          <t>章节</t>
        </is>
      </c>
      <c r="B14" s="19" t="inlineStr">
        <is>
          <t>罪名</t>
        </is>
      </c>
      <c r="C14" s="19" t="inlineStr">
        <is>
          <t>定性</t>
        </is>
      </c>
      <c r="D14" s="19" t="inlineStr">
        <is>
          <t>刑期(月)</t>
        </is>
      </c>
      <c r="E14" s="19" t="inlineStr">
        <is>
          <t>罚款($)</t>
        </is>
      </c>
      <c r="F14" s="19" t="inlineStr">
        <is>
          <t>说明 / 量刑要点</t>
        </is>
      </c>
      <c r="G14" s="19" t="inlineStr">
        <is>
          <t>甲</t>
        </is>
      </c>
      <c r="H14" s="19" t="inlineStr">
        <is>
          <t>乙</t>
        </is>
      </c>
      <c r="I14" s="19" t="inlineStr">
        <is>
          <t>丙</t>
        </is>
      </c>
    </row>
    <row r="15" ht="18" customHeight="1">
      <c r="A15" s="33" t="inlineStr">
        <is>
          <t>▍ 第二章 · 涉及人身安全的犯罪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>
        <f>IF($G15&gt;0,IF($J14="",$B15,$J14&amp;"、"&amp;$B15),$J14)</f>
        <v/>
      </c>
      <c r="K15">
        <f>IF($H15&gt;0,IF($K14="",$B15,$K14&amp;"、"&amp;$B15),$K14)</f>
        <v/>
      </c>
      <c r="L15">
        <f>IF($I15&gt;0,IF($L14="",$B15,$L14&amp;"、"&amp;$B15),$L14)</f>
        <v/>
      </c>
    </row>
    <row r="16" ht="30" customHeight="1">
      <c r="A16" s="34" t="inlineStr">
        <is>
          <t>二·人身</t>
        </is>
      </c>
      <c r="B16" s="35" t="inlineStr">
        <is>
          <t>威胁罪</t>
        </is>
      </c>
      <c r="C16" s="36" t="inlineStr">
        <is>
          <t>轻罪</t>
        </is>
      </c>
      <c r="D16" s="34" t="n">
        <v>12</v>
      </c>
      <c r="E16" s="37" t="n">
        <v>8000</v>
      </c>
      <c r="F16" s="38" t="inlineStr">
        <is>
          <t>口头/书面/网络威胁他人或其亲友</t>
        </is>
      </c>
      <c r="G16" s="39" t="n"/>
      <c r="H16" s="39" t="n"/>
      <c r="I16" s="39" t="n"/>
      <c r="J16">
        <f>IF($G16&gt;0,IF($J15="",$B16,$J15&amp;"、"&amp;$B16),$J15)</f>
        <v/>
      </c>
      <c r="K16">
        <f>IF($H16&gt;0,IF($K15="",$B16,$K15&amp;"、"&amp;$B16),$K15)</f>
        <v/>
      </c>
      <c r="L16">
        <f>IF($I16&gt;0,IF($L15="",$B16,$L15&amp;"、"&amp;$B16),$L15)</f>
        <v/>
      </c>
    </row>
    <row r="17" ht="30" customHeight="1">
      <c r="A17" s="34" t="inlineStr">
        <is>
          <t>二·人身</t>
        </is>
      </c>
      <c r="B17" s="35" t="inlineStr">
        <is>
          <t>持有危险武器人身攻击罪</t>
        </is>
      </c>
      <c r="C17" s="40" t="inlineStr">
        <is>
          <t>重罪</t>
        </is>
      </c>
      <c r="D17" s="34" t="n">
        <v>48</v>
      </c>
      <c r="E17" s="37" t="n">
        <v>20000</v>
      </c>
      <c r="F17" s="38" t="inlineStr">
        <is>
          <t>用武器/工具威胁或伤害他人</t>
        </is>
      </c>
      <c r="G17" s="39" t="n"/>
      <c r="H17" s="39" t="n"/>
      <c r="I17" s="39" t="n"/>
      <c r="J17">
        <f>IF($G17&gt;0,IF($J16="",$B17,$J16&amp;"、"&amp;$B17),$J16)</f>
        <v/>
      </c>
      <c r="K17">
        <f>IF($H17&gt;0,IF($K16="",$B17,$K16&amp;"、"&amp;$B17),$K16)</f>
        <v/>
      </c>
      <c r="L17">
        <f>IF($I17&gt;0,IF($L16="",$B17,$L16&amp;"、"&amp;$B17),$L16)</f>
        <v/>
      </c>
    </row>
    <row r="18" ht="30" customHeight="1">
      <c r="A18" s="34" t="inlineStr">
        <is>
          <t>二·人身</t>
        </is>
      </c>
      <c r="B18" s="35" t="inlineStr">
        <is>
          <t>一级谋杀罪</t>
        </is>
      </c>
      <c r="C18" s="40" t="inlineStr">
        <is>
          <t>重罪</t>
        </is>
      </c>
      <c r="D18" s="34" t="n">
        <v>60</v>
      </c>
      <c r="E18" s="37" t="n">
        <v>30000</v>
      </c>
      <c r="F18" s="38" t="inlineStr">
        <is>
          <t>预谋故意杀人 / 重罪过程中杀人</t>
        </is>
      </c>
      <c r="G18" s="39" t="n"/>
      <c r="H18" s="39" t="n"/>
      <c r="I18" s="39" t="n"/>
      <c r="J18">
        <f>IF($G18&gt;0,IF($J17="",$B18,$J17&amp;"、"&amp;$B18),$J17)</f>
        <v/>
      </c>
      <c r="K18">
        <f>IF($H18&gt;0,IF($K17="",$B18,$K17&amp;"、"&amp;$B18),$K17)</f>
        <v/>
      </c>
      <c r="L18">
        <f>IF($I18&gt;0,IF($L17="",$B18,$L17&amp;"、"&amp;$B18),$L17)</f>
        <v/>
      </c>
    </row>
    <row r="19" ht="30" customHeight="1">
      <c r="A19" s="34" t="inlineStr">
        <is>
          <t>二·人身</t>
        </is>
      </c>
      <c r="B19" s="35" t="inlineStr">
        <is>
          <t>二级谋杀罪</t>
        </is>
      </c>
      <c r="C19" s="40" t="inlineStr">
        <is>
          <t>重罪</t>
        </is>
      </c>
      <c r="D19" s="34" t="n">
        <v>60</v>
      </c>
      <c r="E19" s="37" t="n">
        <v>20000</v>
      </c>
      <c r="F19" s="38" t="inlineStr">
        <is>
          <t>非预谋的故意杀人 (3至5年)</t>
        </is>
      </c>
      <c r="G19" s="39" t="n"/>
      <c r="H19" s="39" t="n"/>
      <c r="I19" s="39" t="n"/>
      <c r="J19">
        <f>IF($G19&gt;0,IF($J18="",$B19,$J18&amp;"、"&amp;$B19),$J18)</f>
        <v/>
      </c>
      <c r="K19">
        <f>IF($H19&gt;0,IF($K18="",$B19,$K18&amp;"、"&amp;$B19),$K18)</f>
        <v/>
      </c>
      <c r="L19">
        <f>IF($I19&gt;0,IF($L18="",$B19,$L18&amp;"、"&amp;$B19),$L18)</f>
        <v/>
      </c>
    </row>
    <row r="20" ht="30" customHeight="1">
      <c r="A20" s="34" t="inlineStr">
        <is>
          <t>二·人身</t>
        </is>
      </c>
      <c r="B20" s="35" t="inlineStr">
        <is>
          <t>三级谋杀罪</t>
        </is>
      </c>
      <c r="C20" s="40" t="inlineStr">
        <is>
          <t>重罪</t>
        </is>
      </c>
      <c r="D20" s="34" t="n">
        <v>60</v>
      </c>
      <c r="E20" s="37" t="n">
        <v>15000</v>
      </c>
      <c r="F20" s="38" t="inlineStr">
        <is>
          <t>无意致死/鲁莽过失致死 (3至5年, 不含正当防卫)</t>
        </is>
      </c>
      <c r="G20" s="39" t="n"/>
      <c r="H20" s="39" t="n"/>
      <c r="I20" s="39" t="n"/>
      <c r="J20">
        <f>IF($G20&gt;0,IF($J19="",$B20,$J19&amp;"、"&amp;$B20),$J19)</f>
        <v/>
      </c>
      <c r="K20">
        <f>IF($H20&gt;0,IF($K19="",$B20,$K19&amp;"、"&amp;$B20),$K19)</f>
        <v/>
      </c>
      <c r="L20">
        <f>IF($I20&gt;0,IF($L19="",$B20,$L19&amp;"、"&amp;$B20),$L19)</f>
        <v/>
      </c>
    </row>
    <row r="21" ht="30" customHeight="1">
      <c r="A21" s="41" t="inlineStr">
        <is>
          <t>二·人身</t>
        </is>
      </c>
      <c r="B21" s="42" t="inlineStr">
        <is>
          <t>非法拘禁罪</t>
        </is>
      </c>
      <c r="C21" s="40" t="inlineStr">
        <is>
          <t>重罪</t>
        </is>
      </c>
      <c r="D21" s="41" t="n">
        <v>36</v>
      </c>
      <c r="E21" s="43" t="n">
        <v>15000</v>
      </c>
      <c r="F21" s="44" t="inlineStr">
        <is>
          <t>违背意愿约束/扣押/拘禁他人</t>
        </is>
      </c>
      <c r="G21" s="39" t="n"/>
      <c r="H21" s="39" t="n"/>
      <c r="I21" s="39" t="n"/>
      <c r="J21">
        <f>IF($G21&gt;0,IF($J20="",$B21,$J20&amp;"、"&amp;$B21),$J20)</f>
        <v/>
      </c>
      <c r="K21">
        <f>IF($H21&gt;0,IF($K20="",$B21,$K20&amp;"、"&amp;$B21),$K20)</f>
        <v/>
      </c>
      <c r="L21">
        <f>IF($I21&gt;0,IF($L20="",$B21,$L20&amp;"、"&amp;$B21),$L20)</f>
        <v/>
      </c>
    </row>
    <row r="22" ht="30" customHeight="1">
      <c r="A22" s="41" t="inlineStr">
        <is>
          <t>二·人身</t>
        </is>
      </c>
      <c r="B22" s="42" t="inlineStr">
        <is>
          <t>故意袭击罪</t>
        </is>
      </c>
      <c r="C22" s="40" t="inlineStr">
        <is>
          <t>重罪</t>
        </is>
      </c>
      <c r="D22" s="41" t="n">
        <v>36</v>
      </c>
      <c r="E22" s="43" t="n">
        <v>15000</v>
      </c>
      <c r="F22" s="44" t="inlineStr">
        <is>
          <t>蓄意暴力致他人身体受伤</t>
        </is>
      </c>
      <c r="G22" s="39" t="n"/>
      <c r="H22" s="39" t="n"/>
      <c r="I22" s="39" t="n"/>
      <c r="J22">
        <f>IF($G22&gt;0,IF($J21="",$B22,$J21&amp;"、"&amp;$B22),$J21)</f>
        <v/>
      </c>
      <c r="K22">
        <f>IF($H22&gt;0,IF($K21="",$B22,$K21&amp;"、"&amp;$B22),$K21)</f>
        <v/>
      </c>
      <c r="L22">
        <f>IF($I22&gt;0,IF($L21="",$B22,$L21&amp;"、"&amp;$B22),$L21)</f>
        <v/>
      </c>
    </row>
    <row r="23" ht="30" customHeight="1">
      <c r="A23" s="41" t="inlineStr">
        <is>
          <t>二·人身</t>
        </is>
      </c>
      <c r="B23" s="42" t="inlineStr">
        <is>
          <t>绑架罪</t>
        </is>
      </c>
      <c r="C23" s="40" t="inlineStr">
        <is>
          <t>重罪</t>
        </is>
      </c>
      <c r="D23" s="41" t="n">
        <v>60</v>
      </c>
      <c r="E23" s="43" t="n">
        <v>25000</v>
      </c>
      <c r="F23" s="44" t="inlineStr">
        <is>
          <t>侵占/羁押/控制他人意图恐吓</t>
        </is>
      </c>
      <c r="G23" s="39" t="n"/>
      <c r="H23" s="39" t="n"/>
      <c r="I23" s="39" t="n"/>
      <c r="J23">
        <f>IF($G23&gt;0,IF($J22="",$B23,$J22&amp;"、"&amp;$B23),$J22)</f>
        <v/>
      </c>
      <c r="K23">
        <f>IF($H23&gt;0,IF($K22="",$B23,$K22&amp;"、"&amp;$B23),$K22)</f>
        <v/>
      </c>
      <c r="L23">
        <f>IF($I23&gt;0,IF($L22="",$B23,$L22&amp;"、"&amp;$B23),$L22)</f>
        <v/>
      </c>
    </row>
    <row r="24" ht="30" customHeight="1">
      <c r="A24" s="41" t="inlineStr">
        <is>
          <t>二·人身</t>
        </is>
      </c>
      <c r="B24" s="42" t="inlineStr">
        <is>
          <t>亵渎尸体罪</t>
        </is>
      </c>
      <c r="C24" s="40" t="inlineStr">
        <is>
          <t>重罪</t>
        </is>
      </c>
      <c r="D24" s="41" t="n">
        <v>24</v>
      </c>
      <c r="E24" s="43" t="n">
        <v>20000</v>
      </c>
      <c r="F24" s="44" t="inlineStr">
        <is>
          <t>毁损/处置尸体掩盖犯罪</t>
        </is>
      </c>
      <c r="G24" s="39" t="n"/>
      <c r="H24" s="39" t="n"/>
      <c r="I24" s="39" t="n"/>
      <c r="J24">
        <f>IF($G24&gt;0,IF($J23="",$B24,$J23&amp;"、"&amp;$B24),$J23)</f>
        <v/>
      </c>
      <c r="K24">
        <f>IF($H24&gt;0,IF($K23="",$B24,$K23&amp;"、"&amp;$B24),$K23)</f>
        <v/>
      </c>
      <c r="L24">
        <f>IF($I24&gt;0,IF($L23="",$B24,$L23&amp;"、"&amp;$B24),$L23)</f>
        <v/>
      </c>
    </row>
    <row r="25" ht="30" customHeight="1">
      <c r="A25" s="41" t="inlineStr">
        <is>
          <t>二·人身</t>
        </is>
      </c>
      <c r="B25" s="42" t="inlineStr">
        <is>
          <t>诈骗罪</t>
        </is>
      </c>
      <c r="C25" s="40" t="inlineStr">
        <is>
          <t>重罪</t>
        </is>
      </c>
      <c r="D25" s="41" t="n">
        <v>60</v>
      </c>
      <c r="E25" s="43" t="n">
        <v>5000</v>
      </c>
      <c r="F25" s="44" t="inlineStr">
        <is>
          <t>以欺诈欺瞒获取他人财物 (1-5年)</t>
        </is>
      </c>
      <c r="G25" s="39" t="n"/>
      <c r="H25" s="39" t="n"/>
      <c r="I25" s="39" t="n"/>
      <c r="J25">
        <f>IF($G25&gt;0,IF($J24="",$B25,$J24&amp;"、"&amp;$B25),$J24)</f>
        <v/>
      </c>
      <c r="K25">
        <f>IF($H25&gt;0,IF($K24="",$B25,$K24&amp;"、"&amp;$B25),$K24)</f>
        <v/>
      </c>
      <c r="L25">
        <f>IF($I25&gt;0,IF($L24="",$B25,$L24&amp;"、"&amp;$B25),$L24)</f>
        <v/>
      </c>
    </row>
    <row r="26" ht="18" customHeight="1">
      <c r="A26" s="33" t="inlineStr">
        <is>
          <t>▍ 第三章 · 涉及财产安全的犯罪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>
        <f>IF($G26&gt;0,IF($J25="",$B26,$J25&amp;"、"&amp;$B26),$J25)</f>
        <v/>
      </c>
      <c r="K26">
        <f>IF($H26&gt;0,IF($K25="",$B26,$K25&amp;"、"&amp;$B26),$K25)</f>
        <v/>
      </c>
      <c r="L26">
        <f>IF($I26&gt;0,IF($L25="",$B26,$L25&amp;"、"&amp;$B26),$L25)</f>
        <v/>
      </c>
    </row>
    <row r="27" ht="30" customHeight="1">
      <c r="A27" s="41" t="inlineStr">
        <is>
          <t>三·财产</t>
        </is>
      </c>
      <c r="B27" s="42" t="inlineStr">
        <is>
          <t>非法入侵罪</t>
        </is>
      </c>
      <c r="C27" s="36" t="inlineStr">
        <is>
          <t>轻罪</t>
        </is>
      </c>
      <c r="D27" s="41" t="n">
        <v>24</v>
      </c>
      <c r="E27" s="43" t="n">
        <v>8000</v>
      </c>
      <c r="F27" s="44" t="inlineStr">
        <is>
          <t>被要求离开后仍拒绝离开</t>
        </is>
      </c>
      <c r="G27" s="39" t="n"/>
      <c r="H27" s="39" t="n"/>
      <c r="I27" s="39" t="n"/>
      <c r="J27">
        <f>IF($G27&gt;0,IF($J26="",$B27,$J26&amp;"、"&amp;$B27),$J26)</f>
        <v/>
      </c>
      <c r="K27">
        <f>IF($H27&gt;0,IF($K26="",$B27,$K26&amp;"、"&amp;$B27),$K26)</f>
        <v/>
      </c>
      <c r="L27">
        <f>IF($I27&gt;0,IF($L26="",$B27,$L26&amp;"、"&amp;$B27),$L26)</f>
        <v/>
      </c>
    </row>
    <row r="28" ht="30" customHeight="1">
      <c r="A28" s="41" t="inlineStr">
        <is>
          <t>三·财产</t>
        </is>
      </c>
      <c r="B28" s="42" t="inlineStr">
        <is>
          <t>非法入侵禁区罪</t>
        </is>
      </c>
      <c r="C28" s="36" t="inlineStr">
        <is>
          <t>轻罪</t>
        </is>
      </c>
      <c r="D28" s="41" t="n">
        <v>36</v>
      </c>
      <c r="E28" s="43" t="n">
        <v>10000</v>
      </c>
      <c r="F28" s="44" t="inlineStr">
        <is>
          <t>未经授权进入警局/机场/军事基地等限制区</t>
        </is>
      </c>
      <c r="G28" s="39" t="n"/>
      <c r="H28" s="39" t="n"/>
      <c r="I28" s="39" t="n"/>
      <c r="J28">
        <f>IF($G28&gt;0,IF($J27="",$B28,$J27&amp;"、"&amp;$B28),$J27)</f>
        <v/>
      </c>
      <c r="K28">
        <f>IF($H28&gt;0,IF($K27="",$B28,$K27&amp;"、"&amp;$B28),$K27)</f>
        <v/>
      </c>
      <c r="L28">
        <f>IF($I28&gt;0,IF($L27="",$B28,$L27&amp;"、"&amp;$B28),$L27)</f>
        <v/>
      </c>
    </row>
    <row r="29" ht="30" customHeight="1">
      <c r="A29" s="41" t="inlineStr">
        <is>
          <t>三·财产</t>
        </is>
      </c>
      <c r="B29" s="42" t="inlineStr">
        <is>
          <t>入室盗窃罪</t>
        </is>
      </c>
      <c r="C29" s="40" t="inlineStr">
        <is>
          <t>重罪</t>
        </is>
      </c>
      <c r="D29" s="41" t="n">
        <v>36</v>
      </c>
      <c r="E29" s="43" t="n">
        <v>25000</v>
      </c>
      <c r="F29" s="44" t="inlineStr">
        <is>
          <t>擅入住宅/办公室/仓库盗窃, 另需赔偿</t>
        </is>
      </c>
      <c r="G29" s="39" t="n"/>
      <c r="H29" s="39" t="n"/>
      <c r="I29" s="39" t="n"/>
      <c r="J29">
        <f>IF($G29&gt;0,IF($J28="",$B29,$J28&amp;"、"&amp;$B29),$J28)</f>
        <v/>
      </c>
      <c r="K29">
        <f>IF($H29&gt;0,IF($K28="",$B29,$K28&amp;"、"&amp;$B29),$K28)</f>
        <v/>
      </c>
      <c r="L29">
        <f>IF($I29&gt;0,IF($L28="",$B29,$L28&amp;"、"&amp;$B29),$L28)</f>
        <v/>
      </c>
    </row>
    <row r="30" ht="30" customHeight="1">
      <c r="A30" s="41" t="inlineStr">
        <is>
          <t>三·财产</t>
        </is>
      </c>
      <c r="B30" s="42" t="inlineStr">
        <is>
          <t>抢劫罪</t>
        </is>
      </c>
      <c r="C30" s="40" t="inlineStr">
        <is>
          <t>重罪</t>
        </is>
      </c>
      <c r="D30" s="41" t="n">
        <v>60</v>
      </c>
      <c r="E30" s="43" t="n">
        <v>20000</v>
      </c>
      <c r="F30" s="44" t="inlineStr">
        <is>
          <t>以武力/威胁强夺他人财产, 另需赔偿</t>
        </is>
      </c>
      <c r="G30" s="39" t="n">
        <v>1</v>
      </c>
      <c r="H30" s="39" t="n"/>
      <c r="I30" s="39" t="n"/>
      <c r="J30">
        <f>IF($G30&gt;0,IF($J29="",$B30,$J29&amp;"、"&amp;$B30),$J29)</f>
        <v/>
      </c>
      <c r="K30">
        <f>IF($H30&gt;0,IF($K29="",$B30,$K29&amp;"、"&amp;$B30),$K29)</f>
        <v/>
      </c>
      <c r="L30">
        <f>IF($I30&gt;0,IF($L29="",$B30,$L29&amp;"、"&amp;$B30),$L29)</f>
        <v/>
      </c>
    </row>
    <row r="31" ht="30" customHeight="1">
      <c r="A31" s="41" t="inlineStr">
        <is>
          <t>三·财产</t>
        </is>
      </c>
      <c r="B31" s="42" t="inlineStr">
        <is>
          <t>盗窃罪</t>
        </is>
      </c>
      <c r="C31" s="40" t="inlineStr">
        <is>
          <t>重罪</t>
        </is>
      </c>
      <c r="D31" s="41" t="n">
        <v>48</v>
      </c>
      <c r="E31" s="43" t="n">
        <v>20000</v>
      </c>
      <c r="F31" s="44" t="inlineStr">
        <is>
          <t>盗窃/占用他人财物, 另需赔偿</t>
        </is>
      </c>
      <c r="G31" s="39" t="n"/>
      <c r="H31" s="39" t="n"/>
      <c r="I31" s="39" t="n"/>
      <c r="J31">
        <f>IF($G31&gt;0,IF($J30="",$B31,$J30&amp;"、"&amp;$B31),$J30)</f>
        <v/>
      </c>
      <c r="K31">
        <f>IF($H31&gt;0,IF($K30="",$B31,$K30&amp;"、"&amp;$B31),$K30)</f>
        <v/>
      </c>
      <c r="L31">
        <f>IF($I31&gt;0,IF($L30="",$B31,$L30&amp;"、"&amp;$B31),$L30)</f>
        <v/>
      </c>
    </row>
    <row r="32" ht="30" customHeight="1">
      <c r="A32" s="41" t="inlineStr">
        <is>
          <t>三·财产</t>
        </is>
      </c>
      <c r="B32" s="42" t="inlineStr">
        <is>
          <t>盗窃车辆罪</t>
        </is>
      </c>
      <c r="C32" s="36" t="inlineStr">
        <is>
          <t>轻罪</t>
        </is>
      </c>
      <c r="D32" s="41" t="n">
        <v>12</v>
      </c>
      <c r="E32" s="43" t="n">
        <v>5000</v>
      </c>
      <c r="F32" s="44" t="inlineStr">
        <is>
          <t>默认未造成严重后果(轻罪1年$5000); 严重后果=重罪4年$15000, 均赔偿</t>
        </is>
      </c>
      <c r="G32" s="39" t="n"/>
      <c r="H32" s="39" t="n"/>
      <c r="I32" s="39" t="n"/>
      <c r="J32">
        <f>IF($G32&gt;0,IF($J31="",$B32,$J31&amp;"、"&amp;$B32),$J31)</f>
        <v/>
      </c>
      <c r="K32">
        <f>IF($H32&gt;0,IF($K31="",$B32,$K31&amp;"、"&amp;$B32),$K31)</f>
        <v/>
      </c>
      <c r="L32">
        <f>IF($I32&gt;0,IF($L31="",$B32,$L31&amp;"、"&amp;$B32),$L31)</f>
        <v/>
      </c>
    </row>
    <row r="33" ht="30" customHeight="1">
      <c r="A33" s="41" t="inlineStr">
        <is>
          <t>三·财产</t>
        </is>
      </c>
      <c r="B33" s="42" t="inlineStr">
        <is>
          <t>收受赃物罪</t>
        </is>
      </c>
      <c r="C33" s="36" t="inlineStr">
        <is>
          <t>轻罪</t>
        </is>
      </c>
      <c r="D33" s="41" t="n">
        <v>24</v>
      </c>
      <c r="E33" s="43" t="n">
        <v>10000</v>
      </c>
      <c r="F33" s="44" t="inlineStr">
        <is>
          <t>默认赃值&lt;$5000(轻罪2年$10000); ≥$5000=重罪4年$20000</t>
        </is>
      </c>
      <c r="G33" s="39" t="n"/>
      <c r="H33" s="39" t="n"/>
      <c r="I33" s="39" t="n"/>
      <c r="J33">
        <f>IF($G33&gt;0,IF($J32="",$B33,$J32&amp;"、"&amp;$B33),$J32)</f>
        <v/>
      </c>
      <c r="K33">
        <f>IF($H33&gt;0,IF($K32="",$B33,$K32&amp;"、"&amp;$B33),$K32)</f>
        <v/>
      </c>
      <c r="L33">
        <f>IF($I33&gt;0,IF($L32="",$B33,$L32&amp;"、"&amp;$B33),$L32)</f>
        <v/>
      </c>
    </row>
    <row r="34" ht="30" customHeight="1">
      <c r="A34" s="41" t="inlineStr">
        <is>
          <t>三·财产</t>
        </is>
      </c>
      <c r="B34" s="42" t="inlineStr">
        <is>
          <t>敲诈勒索罪</t>
        </is>
      </c>
      <c r="C34" s="40" t="inlineStr">
        <is>
          <t>重罪</t>
        </is>
      </c>
      <c r="D34" s="41" t="n">
        <v>24</v>
      </c>
      <c r="E34" s="43" t="n">
        <v>20000</v>
      </c>
      <c r="F34" s="44" t="inlineStr">
        <is>
          <t>以威胁/恐吓/滥权强迫他人交付财物</t>
        </is>
      </c>
      <c r="G34" s="39" t="n"/>
      <c r="H34" s="39" t="n"/>
      <c r="I34" s="39" t="n"/>
      <c r="J34">
        <f>IF($G34&gt;0,IF($J33="",$B34,$J33&amp;"、"&amp;$B34),$J33)</f>
        <v/>
      </c>
      <c r="K34">
        <f>IF($H34&gt;0,IF($K33="",$B34,$K33&amp;"、"&amp;$B34),$K33)</f>
        <v/>
      </c>
      <c r="L34">
        <f>IF($I34&gt;0,IF($L33="",$B34,$L33&amp;"、"&amp;$B34),$L33)</f>
        <v/>
      </c>
    </row>
    <row r="35" ht="30" customHeight="1">
      <c r="A35" s="41" t="inlineStr">
        <is>
          <t>三·财产</t>
        </is>
      </c>
      <c r="B35" s="42" t="inlineStr">
        <is>
          <t>蓄意破坏罪</t>
        </is>
      </c>
      <c r="C35" s="36" t="inlineStr">
        <is>
          <t>轻罪</t>
        </is>
      </c>
      <c r="D35" s="41" t="n">
        <v>24</v>
      </c>
      <c r="E35" s="43" t="n">
        <v>25000</v>
      </c>
      <c r="F35" s="44" t="inlineStr">
        <is>
          <t>蓄意破坏他人财产/车辆, 另需赔偿</t>
        </is>
      </c>
      <c r="G35" s="39" t="n"/>
      <c r="H35" s="39" t="n"/>
      <c r="I35" s="39" t="n"/>
      <c r="J35">
        <f>IF($G35&gt;0,IF($J34="",$B35,$J34&amp;"、"&amp;$B35),$J34)</f>
        <v/>
      </c>
      <c r="K35">
        <f>IF($H35&gt;0,IF($K34="",$B35,$K34&amp;"、"&amp;$B35),$K34)</f>
        <v/>
      </c>
      <c r="L35">
        <f>IF($I35&gt;0,IF($L34="",$B35,$L34&amp;"、"&amp;$B35),$L34)</f>
        <v/>
      </c>
    </row>
    <row r="36" ht="30" customHeight="1">
      <c r="A36" s="41" t="inlineStr">
        <is>
          <t>三·财产</t>
        </is>
      </c>
      <c r="B36" s="42" t="inlineStr">
        <is>
          <t>挪用公款公物罪</t>
        </is>
      </c>
      <c r="C36" s="36" t="inlineStr">
        <is>
          <t>轻罪</t>
        </is>
      </c>
      <c r="D36" s="41" t="n">
        <v>48</v>
      </c>
      <c r="E36" s="43" t="n">
        <v>80000</v>
      </c>
      <c r="F36" s="44" t="inlineStr">
        <is>
          <t>擅自挪用受托管理的财物, 另需赔偿</t>
        </is>
      </c>
      <c r="G36" s="39" t="n"/>
      <c r="H36" s="39" t="n"/>
      <c r="I36" s="39" t="n"/>
      <c r="J36">
        <f>IF($G36&gt;0,IF($J35="",$B36,$J35&amp;"、"&amp;$B36),$J35)</f>
        <v/>
      </c>
      <c r="K36">
        <f>IF($H36&gt;0,IF($K35="",$B36,$K35&amp;"、"&amp;$B36),$K35)</f>
        <v/>
      </c>
      <c r="L36">
        <f>IF($I36&gt;0,IF($L35="",$B36,$L35&amp;"、"&amp;$B36),$L35)</f>
        <v/>
      </c>
    </row>
    <row r="37" ht="30" customHeight="1">
      <c r="A37" s="41" t="inlineStr">
        <is>
          <t>三·财产</t>
        </is>
      </c>
      <c r="B37" s="42" t="inlineStr">
        <is>
          <t>持有失窃物品罪</t>
        </is>
      </c>
      <c r="C37" s="36" t="inlineStr">
        <is>
          <t>轻罪</t>
        </is>
      </c>
      <c r="D37" s="41" t="n">
        <v>24</v>
      </c>
      <c r="E37" s="43" t="n">
        <v>2000</v>
      </c>
      <c r="F37" s="44" t="inlineStr">
        <is>
          <t>非法占有他人遗失/失窃财物 (1-2年), 另需赔偿</t>
        </is>
      </c>
      <c r="G37" s="39" t="n"/>
      <c r="H37" s="39" t="n"/>
      <c r="I37" s="39" t="n"/>
      <c r="J37">
        <f>IF($G37&gt;0,IF($J36="",$B37,$J36&amp;"、"&amp;$B37),$J36)</f>
        <v/>
      </c>
      <c r="K37">
        <f>IF($H37&gt;0,IF($K36="",$B37,$K36&amp;"、"&amp;$B37),$K36)</f>
        <v/>
      </c>
      <c r="L37">
        <f>IF($I37&gt;0,IF($L36="",$B37,$L36&amp;"、"&amp;$B37),$L36)</f>
        <v/>
      </c>
    </row>
    <row r="38" ht="18" customHeight="1">
      <c r="A38" s="33" t="inlineStr">
        <is>
          <t>▍ 第四章 · 违反公共道德的犯罪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>
        <f>IF($G38&gt;0,IF($J37="",$B38,$J37&amp;"、"&amp;$B38),$J37)</f>
        <v/>
      </c>
      <c r="K38">
        <f>IF($H38&gt;0,IF($K37="",$B38,$K37&amp;"、"&amp;$B38),$K37)</f>
        <v/>
      </c>
      <c r="L38">
        <f>IF($I38&gt;0,IF($L37="",$B38,$L37&amp;"、"&amp;$B38),$L37)</f>
        <v/>
      </c>
    </row>
    <row r="39" ht="30" customHeight="1">
      <c r="A39" s="41" t="inlineStr">
        <is>
          <t>四·公德</t>
        </is>
      </c>
      <c r="B39" s="42" t="inlineStr">
        <is>
          <t>在公共场合从事淫秽行为罪</t>
        </is>
      </c>
      <c r="C39" s="36" t="inlineStr">
        <is>
          <t>轻罪</t>
        </is>
      </c>
      <c r="D39" s="41" t="n">
        <v>24</v>
      </c>
      <c r="E39" s="43" t="n">
        <v>10000</v>
      </c>
      <c r="F39" s="44" t="inlineStr">
        <is>
          <t>公开场所性行为/猥亵/招嫖 (1-2年)</t>
        </is>
      </c>
      <c r="G39" s="39" t="n"/>
      <c r="H39" s="39" t="n"/>
      <c r="I39" s="39" t="n"/>
      <c r="J39">
        <f>IF($G39&gt;0,IF($J38="",$B39,$J38&amp;"、"&amp;$B39),$J38)</f>
        <v/>
      </c>
      <c r="K39">
        <f>IF($H39&gt;0,IF($K38="",$B39,$K38&amp;"、"&amp;$B39),$K38)</f>
        <v/>
      </c>
      <c r="L39">
        <f>IF($I39&gt;0,IF($L38="",$B39,$L38&amp;"、"&amp;$B39),$L38)</f>
        <v/>
      </c>
    </row>
    <row r="40" ht="30" customHeight="1">
      <c r="A40" s="41" t="inlineStr">
        <is>
          <t>四·公德</t>
        </is>
      </c>
      <c r="B40" s="42" t="inlineStr">
        <is>
          <t>组织卖淫罪</t>
        </is>
      </c>
      <c r="C40" s="40" t="inlineStr">
        <is>
          <t>重罪</t>
        </is>
      </c>
      <c r="D40" s="41" t="n">
        <v>36</v>
      </c>
      <c r="E40" s="43" t="n">
        <v>15000</v>
      </c>
      <c r="F40" s="44" t="inlineStr">
        <is>
          <t>支持/介绍/强迫他人卖淫牟利</t>
        </is>
      </c>
      <c r="G40" s="39" t="n"/>
      <c r="H40" s="39" t="n"/>
      <c r="I40" s="39" t="n"/>
      <c r="J40">
        <f>IF($G40&gt;0,IF($J39="",$B40,$J39&amp;"、"&amp;$B40),$J39)</f>
        <v/>
      </c>
      <c r="K40">
        <f>IF($H40&gt;0,IF($K39="",$B40,$K39&amp;"、"&amp;$B40),$K39)</f>
        <v/>
      </c>
      <c r="L40">
        <f>IF($I40&gt;0,IF($L39="",$B40,$L39&amp;"、"&amp;$B40),$L39)</f>
        <v/>
      </c>
    </row>
    <row r="41" ht="30" customHeight="1">
      <c r="A41" s="41" t="inlineStr">
        <is>
          <t>四·公德</t>
        </is>
      </c>
      <c r="B41" s="42" t="inlineStr">
        <is>
          <t>卖淫罪</t>
        </is>
      </c>
      <c r="C41" s="36" t="inlineStr">
        <is>
          <t>轻罪</t>
        </is>
      </c>
      <c r="D41" s="41" t="n">
        <v>24</v>
      </c>
      <c r="E41" s="43" t="n">
        <v>15000</v>
      </c>
      <c r="F41" s="44" t="inlineStr">
        <is>
          <t>以性服务换取财物</t>
        </is>
      </c>
      <c r="G41" s="39" t="n"/>
      <c r="H41" s="39" t="n"/>
      <c r="I41" s="39" t="n"/>
      <c r="J41">
        <f>IF($G41&gt;0,IF($J40="",$B41,$J40&amp;"、"&amp;$B41),$J40)</f>
        <v/>
      </c>
      <c r="K41">
        <f>IF($H41&gt;0,IF($K40="",$B41,$K40&amp;"、"&amp;$B41),$K40)</f>
        <v/>
      </c>
      <c r="L41">
        <f>IF($I41&gt;0,IF($L40="",$B41,$L40&amp;"、"&amp;$B41),$L40)</f>
        <v/>
      </c>
    </row>
    <row r="42" ht="30" customHeight="1">
      <c r="A42" s="41" t="inlineStr">
        <is>
          <t>四·公德</t>
        </is>
      </c>
      <c r="B42" s="42" t="inlineStr">
        <is>
          <t>强奸罪</t>
        </is>
      </c>
      <c r="C42" s="40" t="inlineStr">
        <is>
          <t>重罪</t>
        </is>
      </c>
      <c r="D42" s="41" t="n">
        <v>60</v>
      </c>
      <c r="E42" s="43" t="n">
        <v>30000</v>
      </c>
      <c r="F42" s="44" t="inlineStr">
        <is>
          <t>违背意愿强迫性行为 / 与未满18岁者发生关系</t>
        </is>
      </c>
      <c r="G42" s="39" t="n"/>
      <c r="H42" s="39" t="n"/>
      <c r="I42" s="39" t="n"/>
      <c r="J42">
        <f>IF($G42&gt;0,IF($J41="",$B42,$J41&amp;"、"&amp;$B42),$J41)</f>
        <v/>
      </c>
      <c r="K42">
        <f>IF($H42&gt;0,IF($K41="",$B42,$K41&amp;"、"&amp;$B42),$K41)</f>
        <v/>
      </c>
      <c r="L42">
        <f>IF($I42&gt;0,IF($L41="",$B42,$L41&amp;"、"&amp;$B42),$L41)</f>
        <v/>
      </c>
    </row>
    <row r="43" ht="30" customHeight="1">
      <c r="A43" s="41" t="inlineStr">
        <is>
          <t>四·公德</t>
        </is>
      </c>
      <c r="B43" s="42" t="inlineStr">
        <is>
          <t>传播淫秽色情罪</t>
        </is>
      </c>
      <c r="C43" s="36" t="inlineStr">
        <is>
          <t>轻罪</t>
        </is>
      </c>
      <c r="D43" s="41" t="n">
        <v>12</v>
      </c>
      <c r="E43" s="43" t="n">
        <v>8000</v>
      </c>
      <c r="F43" s="44" t="inlineStr">
        <is>
          <t>制作/传播/贩卖淫秽色情内容</t>
        </is>
      </c>
      <c r="G43" s="39" t="n"/>
      <c r="H43" s="39" t="n"/>
      <c r="I43" s="39" t="n"/>
      <c r="J43">
        <f>IF($G43&gt;0,IF($J42="",$B43,$J42&amp;"、"&amp;$B43),$J42)</f>
        <v/>
      </c>
      <c r="K43">
        <f>IF($H43&gt;0,IF($K42="",$B43,$K42&amp;"、"&amp;$B43),$K42)</f>
        <v/>
      </c>
      <c r="L43">
        <f>IF($I43&gt;0,IF($L42="",$B43,$L42&amp;"、"&amp;$B43),$L42)</f>
        <v/>
      </c>
    </row>
    <row r="44" ht="30" customHeight="1">
      <c r="A44" s="41" t="inlineStr">
        <is>
          <t>四·公德</t>
        </is>
      </c>
      <c r="B44" s="42" t="inlineStr">
        <is>
          <t>歧视罪</t>
        </is>
      </c>
      <c r="C44" s="36" t="inlineStr">
        <is>
          <t>轻罪</t>
        </is>
      </c>
      <c r="D44" s="41" t="n">
        <v>36</v>
      </c>
      <c r="E44" s="43" t="n">
        <v>30000</v>
      </c>
      <c r="F44" s="44" t="inlineStr">
        <is>
          <t>因受保护特征贬低/辱骂/歧视他人</t>
        </is>
      </c>
      <c r="G44" s="39" t="n"/>
      <c r="H44" s="39" t="n"/>
      <c r="I44" s="39" t="n"/>
      <c r="J44">
        <f>IF($G44&gt;0,IF($J43="",$B44,$J43&amp;"、"&amp;$B44),$J43)</f>
        <v/>
      </c>
      <c r="K44">
        <f>IF($H44&gt;0,IF($K43="",$B44,$K43&amp;"、"&amp;$B44),$K43)</f>
        <v/>
      </c>
      <c r="L44">
        <f>IF($I44&gt;0,IF($L43="",$B44,$L43&amp;"、"&amp;$B44),$L43)</f>
        <v/>
      </c>
    </row>
    <row r="45" ht="30" customHeight="1">
      <c r="A45" s="41" t="inlineStr">
        <is>
          <t>四·公德</t>
        </is>
      </c>
      <c r="B45" s="42" t="inlineStr">
        <is>
          <t>诽谤罪</t>
        </is>
      </c>
      <c r="C45" s="36" t="inlineStr">
        <is>
          <t>轻罪</t>
        </is>
      </c>
      <c r="D45" s="41" t="n">
        <v>24</v>
      </c>
      <c r="E45" s="43" t="n">
        <v>15000</v>
      </c>
      <c r="F45" s="44" t="inlineStr">
        <is>
          <t>捏造/传播虚假信息损害名誉</t>
        </is>
      </c>
      <c r="G45" s="39" t="n"/>
      <c r="H45" s="39" t="n"/>
      <c r="I45" s="39" t="n"/>
      <c r="J45">
        <f>IF($G45&gt;0,IF($J44="",$B45,$J44&amp;"、"&amp;$B45),$J44)</f>
        <v/>
      </c>
      <c r="K45">
        <f>IF($H45&gt;0,IF($K44="",$B45,$K44&amp;"、"&amp;$B45),$K44)</f>
        <v/>
      </c>
      <c r="L45">
        <f>IF($I45&gt;0,IF($L44="",$B45,$L44&amp;"、"&amp;$B45),$L44)</f>
        <v/>
      </c>
    </row>
    <row r="46" ht="18" customHeight="1">
      <c r="A46" s="33" t="inlineStr">
        <is>
          <t>▍ 第五章 · 司法公正的犯罪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>
        <f>IF($G46&gt;0,IF($J45="",$B46,$J45&amp;"、"&amp;$B46),$J45)</f>
        <v/>
      </c>
      <c r="K46">
        <f>IF($H46&gt;0,IF($K45="",$B46,$K45&amp;"、"&amp;$B46),$K45)</f>
        <v/>
      </c>
      <c r="L46">
        <f>IF($I46&gt;0,IF($L45="",$B46,$L45&amp;"、"&amp;$B46),$L45)</f>
        <v/>
      </c>
    </row>
    <row r="47" ht="30" customHeight="1">
      <c r="A47" s="41" t="inlineStr">
        <is>
          <t>五·司法</t>
        </is>
      </c>
      <c r="B47" s="42" t="inlineStr">
        <is>
          <t>行贿罪</t>
        </is>
      </c>
      <c r="C47" s="40" t="inlineStr">
        <is>
          <t>重罪</t>
        </is>
      </c>
      <c r="D47" s="41" t="n">
        <v>24</v>
      </c>
      <c r="E47" s="43" t="n">
        <v>20000</v>
      </c>
      <c r="F47" s="44" t="inlineStr">
        <is>
          <t>向政府雇员提供财物/利益以影响其职责</t>
        </is>
      </c>
      <c r="G47" s="39" t="n"/>
      <c r="H47" s="39" t="n"/>
      <c r="I47" s="39" t="n"/>
      <c r="J47">
        <f>IF($G47&gt;0,IF($J46="",$B47,$J46&amp;"、"&amp;$B47),$J46)</f>
        <v/>
      </c>
      <c r="K47">
        <f>IF($H47&gt;0,IF($K46="",$B47,$K46&amp;"、"&amp;$B47),$K46)</f>
        <v/>
      </c>
      <c r="L47">
        <f>IF($I47&gt;0,IF($L46="",$B47,$L46&amp;"、"&amp;$B47),$L46)</f>
        <v/>
      </c>
    </row>
    <row r="48" ht="30" customHeight="1">
      <c r="A48" s="41" t="inlineStr">
        <is>
          <t>五·司法</t>
        </is>
      </c>
      <c r="B48" s="42" t="inlineStr">
        <is>
          <t>妨碍司法罪</t>
        </is>
      </c>
      <c r="C48" s="40" t="inlineStr">
        <is>
          <t>重罪</t>
        </is>
      </c>
      <c r="D48" s="41" t="n">
        <v>36</v>
      </c>
      <c r="E48" s="43" t="n">
        <v>15000</v>
      </c>
      <c r="F48" s="44" t="inlineStr">
        <is>
          <t>阻碍法律文书签署/分发/执行</t>
        </is>
      </c>
      <c r="G48" s="39" t="n"/>
      <c r="H48" s="39" t="n"/>
      <c r="I48" s="39" t="n"/>
      <c r="J48">
        <f>IF($G48&gt;0,IF($J47="",$B48,$J47&amp;"、"&amp;$B48),$J47)</f>
        <v/>
      </c>
      <c r="K48">
        <f>IF($H48&gt;0,IF($K47="",$B48,$K47&amp;"、"&amp;$B48),$K47)</f>
        <v/>
      </c>
      <c r="L48">
        <f>IF($I48&gt;0,IF($L47="",$B48,$L47&amp;"、"&amp;$B48),$L47)</f>
        <v/>
      </c>
    </row>
    <row r="49" ht="30" customHeight="1">
      <c r="A49" s="41" t="inlineStr">
        <is>
          <t>五·司法</t>
        </is>
      </c>
      <c r="B49" s="42" t="inlineStr">
        <is>
          <t>拒绝听从执法人员命令与检查罪</t>
        </is>
      </c>
      <c r="C49" s="36" t="inlineStr">
        <is>
          <t>轻罪</t>
        </is>
      </c>
      <c r="D49" s="41" t="n">
        <v>36</v>
      </c>
      <c r="E49" s="43" t="n">
        <v>15000</v>
      </c>
      <c r="F49" s="44" t="inlineStr">
        <is>
          <t>拒绝执法人员合法命令/检查</t>
        </is>
      </c>
      <c r="G49" s="39" t="n"/>
      <c r="H49" s="39" t="n"/>
      <c r="I49" s="39" t="n"/>
      <c r="J49">
        <f>IF($G49&gt;0,IF($J48="",$B49,$J48&amp;"、"&amp;$B49),$J48)</f>
        <v/>
      </c>
      <c r="K49">
        <f>IF($H49&gt;0,IF($K48="",$B49,$K48&amp;"、"&amp;$B49),$K48)</f>
        <v/>
      </c>
      <c r="L49">
        <f>IF($I49&gt;0,IF($L48="",$B49,$L48&amp;"、"&amp;$B49),$L48)</f>
        <v/>
      </c>
    </row>
    <row r="50" ht="30" customHeight="1">
      <c r="A50" s="41" t="inlineStr">
        <is>
          <t>五·司法</t>
        </is>
      </c>
      <c r="B50" s="42" t="inlineStr">
        <is>
          <t>拒绝提供身份罪</t>
        </is>
      </c>
      <c r="C50" s="36" t="inlineStr">
        <is>
          <t>轻罪</t>
        </is>
      </c>
      <c r="D50" s="41" t="n">
        <v>12</v>
      </c>
      <c r="E50" s="43" t="n">
        <v>10000</v>
      </c>
      <c r="F50" s="44" t="inlineStr">
        <is>
          <t>被扣留/逮捕后拒绝提供身份信息</t>
        </is>
      </c>
      <c r="G50" s="39" t="n"/>
      <c r="H50" s="39" t="n"/>
      <c r="I50" s="39" t="n"/>
      <c r="J50">
        <f>IF($G50&gt;0,IF($J49="",$B50,$J49&amp;"、"&amp;$B50),$J49)</f>
        <v/>
      </c>
      <c r="K50">
        <f>IF($H50&gt;0,IF($K49="",$B50,$K49&amp;"、"&amp;$B50),$K49)</f>
        <v/>
      </c>
      <c r="L50">
        <f>IF($I50&gt;0,IF($L49="",$B50,$L49&amp;"、"&amp;$B50),$L49)</f>
        <v/>
      </c>
    </row>
    <row r="51" ht="30" customHeight="1">
      <c r="A51" s="41" t="inlineStr">
        <is>
          <t>五·司法</t>
        </is>
      </c>
      <c r="B51" s="42" t="inlineStr">
        <is>
          <t>破坏证据罪</t>
        </is>
      </c>
      <c r="C51" s="36" t="inlineStr">
        <is>
          <t>轻罪</t>
        </is>
      </c>
      <c r="D51" s="41" t="n">
        <v>36</v>
      </c>
      <c r="E51" s="43" t="n">
        <v>20000</v>
      </c>
      <c r="F51" s="44" t="inlineStr">
        <is>
          <t>隐瞒/销毁/篡改/伪造证据</t>
        </is>
      </c>
      <c r="G51" s="39" t="n"/>
      <c r="H51" s="39" t="n"/>
      <c r="I51" s="39" t="n"/>
      <c r="J51">
        <f>IF($G51&gt;0,IF($J50="",$B51,$J50&amp;"、"&amp;$B51),$J50)</f>
        <v/>
      </c>
      <c r="K51">
        <f>IF($H51&gt;0,IF($K50="",$B51,$K50&amp;"、"&amp;$B51),$K50)</f>
        <v/>
      </c>
      <c r="L51">
        <f>IF($I51&gt;0,IF($L50="",$B51,$L50&amp;"、"&amp;$B51),$L50)</f>
        <v/>
      </c>
    </row>
    <row r="52" ht="30" customHeight="1">
      <c r="A52" s="41" t="inlineStr">
        <is>
          <t>五·司法</t>
        </is>
      </c>
      <c r="B52" s="42" t="inlineStr">
        <is>
          <t>冒充政府雇员罪</t>
        </is>
      </c>
      <c r="C52" s="40" t="inlineStr">
        <is>
          <t>重罪</t>
        </is>
      </c>
      <c r="D52" s="41" t="n">
        <v>24</v>
      </c>
      <c r="E52" s="43" t="n">
        <v>15000</v>
      </c>
      <c r="F52" s="44" t="inlineStr">
        <is>
          <t>假冒政府雇员身份(穿制服/佩戴徽章等)</t>
        </is>
      </c>
      <c r="G52" s="39" t="n"/>
      <c r="H52" s="39" t="n"/>
      <c r="I52" s="39" t="n"/>
      <c r="J52">
        <f>IF($G52&gt;0,IF($J51="",$B52,$J51&amp;"、"&amp;$B52),$J51)</f>
        <v/>
      </c>
      <c r="K52">
        <f>IF($H52&gt;0,IF($K51="",$B52,$K51&amp;"、"&amp;$B52),$K51)</f>
        <v/>
      </c>
      <c r="L52">
        <f>IF($I52&gt;0,IF($L51="",$B52,$L51&amp;"、"&amp;$B52),$L51)</f>
        <v/>
      </c>
    </row>
    <row r="53" ht="30" customHeight="1">
      <c r="A53" s="41" t="inlineStr">
        <is>
          <t>五·司法</t>
        </is>
      </c>
      <c r="B53" s="42" t="inlineStr">
        <is>
          <t>虚假逮捕罪</t>
        </is>
      </c>
      <c r="C53" s="40" t="inlineStr">
        <is>
          <t>重罪</t>
        </is>
      </c>
      <c r="D53" s="41" t="n">
        <v>48</v>
      </c>
      <c r="E53" s="43" t="n">
        <v>20000</v>
      </c>
      <c r="F53" s="44" t="inlineStr">
        <is>
          <t>无法律依据以执法名义扣留/逮捕/没收(仅主管可起诉)</t>
        </is>
      </c>
      <c r="G53" s="39" t="n"/>
      <c r="H53" s="39" t="n"/>
      <c r="I53" s="39" t="n"/>
      <c r="J53">
        <f>IF($G53&gt;0,IF($J52="",$B53,$J52&amp;"、"&amp;$B53),$J52)</f>
        <v/>
      </c>
      <c r="K53">
        <f>IF($H53&gt;0,IF($K52="",$B53,$K52&amp;"、"&amp;$B53),$K52)</f>
        <v/>
      </c>
      <c r="L53">
        <f>IF($I53&gt;0,IF($L52="",$B53,$L52&amp;"、"&amp;$B53),$L52)</f>
        <v/>
      </c>
    </row>
    <row r="54" ht="30" customHeight="1">
      <c r="A54" s="41" t="inlineStr">
        <is>
          <t>五·司法</t>
        </is>
      </c>
      <c r="B54" s="42" t="inlineStr">
        <is>
          <t>伪证罪</t>
        </is>
      </c>
      <c r="C54" s="40" t="inlineStr">
        <is>
          <t>重罪</t>
        </is>
      </c>
      <c r="D54" s="41" t="n">
        <v>48</v>
      </c>
      <c r="E54" s="43" t="n">
        <v>25000</v>
      </c>
      <c r="F54" s="44" t="inlineStr">
        <is>
          <t>司法程序中提供虚假证言/信息</t>
        </is>
      </c>
      <c r="G54" s="39" t="n"/>
      <c r="H54" s="39" t="n"/>
      <c r="I54" s="39" t="n"/>
      <c r="J54">
        <f>IF($G54&gt;0,IF($J53="",$B54,$J53&amp;"、"&amp;$B54),$J53)</f>
        <v/>
      </c>
      <c r="K54">
        <f>IF($H54&gt;0,IF($K53="",$B54,$K53&amp;"、"&amp;$B54),$K53)</f>
        <v/>
      </c>
      <c r="L54">
        <f>IF($I54&gt;0,IF($L53="",$B54,$L53&amp;"、"&amp;$B54),$L53)</f>
        <v/>
      </c>
    </row>
    <row r="55" ht="30" customHeight="1">
      <c r="A55" s="41" t="inlineStr">
        <is>
          <t>五·司法</t>
        </is>
      </c>
      <c r="B55" s="42" t="inlineStr">
        <is>
          <t>冒充律师罪</t>
        </is>
      </c>
      <c r="C55" s="36" t="inlineStr">
        <is>
          <t>轻罪</t>
        </is>
      </c>
      <c r="D55" s="41" t="n">
        <v>36</v>
      </c>
      <c r="E55" s="43" t="n">
        <v>15000</v>
      </c>
      <c r="F55" s="44" t="inlineStr">
        <is>
          <t>未经认证从事律师业务/假扮律师</t>
        </is>
      </c>
      <c r="G55" s="39" t="n"/>
      <c r="H55" s="39" t="n"/>
      <c r="I55" s="39" t="n"/>
      <c r="J55">
        <f>IF($G55&gt;0,IF($J54="",$B55,$J54&amp;"、"&amp;$B55),$J54)</f>
        <v/>
      </c>
      <c r="K55">
        <f>IF($H55&gt;0,IF($K54="",$B55,$K54&amp;"、"&amp;$B55),$K54)</f>
        <v/>
      </c>
      <c r="L55">
        <f>IF($I55&gt;0,IF($L54="",$B55,$L54&amp;"、"&amp;$B55),$L54)</f>
        <v/>
      </c>
    </row>
    <row r="56" ht="30" customHeight="1">
      <c r="A56" s="41" t="inlineStr">
        <is>
          <t>五·司法</t>
        </is>
      </c>
      <c r="B56" s="42" t="inlineStr">
        <is>
          <t>妨碍政府雇员执行公务罪</t>
        </is>
      </c>
      <c r="C56" s="40" t="inlineStr">
        <is>
          <t>重罪</t>
        </is>
      </c>
      <c r="D56" s="41" t="n">
        <v>36</v>
      </c>
      <c r="E56" s="43" t="n">
        <v>15000</v>
      </c>
      <c r="F56" s="44" t="inlineStr">
        <is>
          <t>抵抗/延误/阻碍执法/消防/急救/司法人员执行职责</t>
        </is>
      </c>
      <c r="G56" s="39" t="n"/>
      <c r="H56" s="39" t="n"/>
      <c r="I56" s="39" t="n"/>
      <c r="J56">
        <f>IF($G56&gt;0,IF($J55="",$B56,$J55&amp;"、"&amp;$B56),$J55)</f>
        <v/>
      </c>
      <c r="K56">
        <f>IF($H56&gt;0,IF($K55="",$B56,$K55&amp;"、"&amp;$B56),$K55)</f>
        <v/>
      </c>
      <c r="L56">
        <f>IF($I56&gt;0,IF($L55="",$B56,$L55&amp;"、"&amp;$B56),$L55)</f>
        <v/>
      </c>
    </row>
    <row r="57" ht="30" customHeight="1">
      <c r="A57" s="41" t="inlineStr">
        <is>
          <t>五·司法</t>
        </is>
      </c>
      <c r="B57" s="42" t="inlineStr">
        <is>
          <t>拒捕罪</t>
        </is>
      </c>
      <c r="C57" s="40" t="inlineStr">
        <is>
          <t>重罪</t>
        </is>
      </c>
      <c r="D57" s="41" t="n">
        <v>36</v>
      </c>
      <c r="E57" s="43" t="n">
        <v>15000</v>
      </c>
      <c r="F57" s="44" t="inlineStr">
        <is>
          <t>逮捕时以任何方式拒绝/抗拒/逃避逮捕</t>
        </is>
      </c>
      <c r="G57" s="39" t="n">
        <v>1</v>
      </c>
      <c r="H57" s="39" t="n"/>
      <c r="I57" s="39" t="n"/>
      <c r="J57">
        <f>IF($G57&gt;0,IF($J56="",$B57,$J56&amp;"、"&amp;$B57),$J56)</f>
        <v/>
      </c>
      <c r="K57">
        <f>IF($H57&gt;0,IF($K56="",$B57,$K56&amp;"、"&amp;$B57),$K56)</f>
        <v/>
      </c>
      <c r="L57">
        <f>IF($I57&gt;0,IF($L56="",$B57,$L56&amp;"、"&amp;$B57),$L56)</f>
        <v/>
      </c>
    </row>
    <row r="58" ht="30" customHeight="1">
      <c r="A58" s="41" t="inlineStr">
        <is>
          <t>五·司法</t>
        </is>
      </c>
      <c r="B58" s="42" t="inlineStr">
        <is>
          <t>逃避羁押罪</t>
        </is>
      </c>
      <c r="C58" s="40" t="inlineStr">
        <is>
          <t>重罪</t>
        </is>
      </c>
      <c r="D58" s="41" t="n">
        <v>36</v>
      </c>
      <c r="E58" s="43" t="n">
        <v>10000</v>
      </c>
      <c r="F58" s="44" t="inlineStr">
        <is>
          <t>被合法扣留/逮捕后逃脱监护</t>
        </is>
      </c>
      <c r="G58" s="39" t="n">
        <v>1</v>
      </c>
      <c r="H58" s="39" t="n"/>
      <c r="I58" s="39" t="n"/>
      <c r="J58">
        <f>IF($G58&gt;0,IF($J57="",$B58,$J57&amp;"、"&amp;$B58),$J57)</f>
        <v/>
      </c>
      <c r="K58">
        <f>IF($H58&gt;0,IF($K57="",$B58,$K57&amp;"、"&amp;$B58),$K57)</f>
        <v/>
      </c>
      <c r="L58">
        <f>IF($I58&gt;0,IF($L57="",$B58,$L57&amp;"、"&amp;$B58),$L57)</f>
        <v/>
      </c>
    </row>
    <row r="59" ht="30" customHeight="1">
      <c r="A59" s="41" t="inlineStr">
        <is>
          <t>五·司法</t>
        </is>
      </c>
      <c r="B59" s="42" t="inlineStr">
        <is>
          <t>藐视法庭罪</t>
        </is>
      </c>
      <c r="C59" s="40" t="inlineStr">
        <is>
          <t>重罪</t>
        </is>
      </c>
      <c r="D59" s="41" t="n">
        <v>48</v>
      </c>
      <c r="E59" s="43" t="n">
        <v>25000</v>
      </c>
      <c r="F59" s="44" t="inlineStr">
        <is>
          <t>扰乱法庭秩序/无视法庭命令(须法官当庭宣布)</t>
        </is>
      </c>
      <c r="G59" s="39" t="n"/>
      <c r="H59" s="39" t="n"/>
      <c r="I59" s="39" t="n"/>
      <c r="J59">
        <f>IF($G59&gt;0,IF($J58="",$B59,$J58&amp;"、"&amp;$B59),$J58)</f>
        <v/>
      </c>
      <c r="K59">
        <f>IF($H59&gt;0,IF($K58="",$B59,$K58&amp;"、"&amp;$B59),$K58)</f>
        <v/>
      </c>
      <c r="L59">
        <f>IF($I59&gt;0,IF($L58="",$B59,$L58&amp;"、"&amp;$B59),$L58)</f>
        <v/>
      </c>
    </row>
    <row r="60" ht="30" customHeight="1">
      <c r="A60" s="41" t="inlineStr">
        <is>
          <t>五·司法</t>
        </is>
      </c>
      <c r="B60" s="42" t="inlineStr">
        <is>
          <t>恶意占用公共资源罪</t>
        </is>
      </c>
      <c r="C60" s="36" t="inlineStr">
        <is>
          <t>轻罪</t>
        </is>
      </c>
      <c r="D60" s="41" t="n">
        <v>12</v>
      </c>
      <c r="E60" s="43" t="n">
        <v>5000</v>
      </c>
      <c r="F60" s="44" t="inlineStr">
        <is>
          <t>非紧急/恶意占用政府紧急热线</t>
        </is>
      </c>
      <c r="G60" s="39" t="n"/>
      <c r="H60" s="39" t="n"/>
      <c r="I60" s="39" t="n"/>
      <c r="J60">
        <f>IF($G60&gt;0,IF($J59="",$B60,$J59&amp;"、"&amp;$B60),$J59)</f>
        <v/>
      </c>
      <c r="K60">
        <f>IF($H60&gt;0,IF($K59="",$B60,$K59&amp;"、"&amp;$B60),$K59)</f>
        <v/>
      </c>
      <c r="L60">
        <f>IF($I60&gt;0,IF($L59="",$B60,$L59&amp;"、"&amp;$B60),$L59)</f>
        <v/>
      </c>
    </row>
    <row r="61" ht="30" customHeight="1">
      <c r="A61" s="41" t="inlineStr">
        <is>
          <t>五·司法</t>
        </is>
      </c>
      <c r="B61" s="42" t="inlineStr">
        <is>
          <t>未经许可进入封闭紧急区域罪</t>
        </is>
      </c>
      <c r="C61" s="36" t="inlineStr">
        <is>
          <t>轻罪</t>
        </is>
      </c>
      <c r="D61" s="41" t="n">
        <v>12</v>
      </c>
      <c r="E61" s="43" t="n">
        <v>15000</v>
      </c>
      <c r="F61" s="44" t="inlineStr">
        <is>
          <t>未经授权进入被警戒线封闭的紧急区域</t>
        </is>
      </c>
      <c r="G61" s="39" t="n"/>
      <c r="H61" s="39" t="n"/>
      <c r="I61" s="39" t="n"/>
      <c r="J61">
        <f>IF($G61&gt;0,IF($J60="",$B61,$J60&amp;"、"&amp;$B61),$J60)</f>
        <v/>
      </c>
      <c r="K61">
        <f>IF($H61&gt;0,IF($K60="",$B61,$K60&amp;"、"&amp;$B61),$K60)</f>
        <v/>
      </c>
      <c r="L61">
        <f>IF($I61&gt;0,IF($L60="",$B61,$L60&amp;"、"&amp;$B61),$L60)</f>
        <v/>
      </c>
    </row>
    <row r="62" ht="30" customHeight="1">
      <c r="A62" s="41" t="inlineStr">
        <is>
          <t>五·司法</t>
        </is>
      </c>
      <c r="B62" s="42" t="inlineStr">
        <is>
          <t>袭警罪</t>
        </is>
      </c>
      <c r="C62" s="40" t="inlineStr">
        <is>
          <t>重罪</t>
        </is>
      </c>
      <c r="D62" s="41" t="n">
        <v>48</v>
      </c>
      <c r="E62" s="43" t="n">
        <v>25000</v>
      </c>
      <c r="F62" s="44" t="inlineStr">
        <is>
          <t>袭击/伤害警务人员/警车/警犬</t>
        </is>
      </c>
      <c r="G62" s="39" t="n"/>
      <c r="H62" s="39" t="n"/>
      <c r="I62" s="39" t="n"/>
      <c r="J62">
        <f>IF($G62&gt;0,IF($J61="",$B62,$J61&amp;"、"&amp;$B62),$J61)</f>
        <v/>
      </c>
      <c r="K62">
        <f>IF($H62&gt;0,IF($K61="",$B62,$K61&amp;"、"&amp;$B62),$K61)</f>
        <v/>
      </c>
      <c r="L62">
        <f>IF($I62&gt;0,IF($L61="",$B62,$L61&amp;"、"&amp;$B62),$L61)</f>
        <v/>
      </c>
    </row>
    <row r="63" ht="18" customHeight="1">
      <c r="A63" s="33" t="inlineStr">
        <is>
          <t>▍ 第六章 · 涉及公共秩序的犯罪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>
        <f>IF($G63&gt;0,IF($J62="",$B63,$J62&amp;"、"&amp;$B63),$J62)</f>
        <v/>
      </c>
      <c r="K63">
        <f>IF($H63&gt;0,IF($K62="",$B63,$K62&amp;"、"&amp;$B63),$K62)</f>
        <v/>
      </c>
      <c r="L63">
        <f>IF($I63&gt;0,IF($L62="",$B63,$L62&amp;"、"&amp;$B63),$L62)</f>
        <v/>
      </c>
    </row>
    <row r="64" ht="30" customHeight="1">
      <c r="A64" s="41" t="inlineStr">
        <is>
          <t>六·秩序</t>
        </is>
      </c>
      <c r="B64" s="42" t="inlineStr">
        <is>
          <t>扰乱治安罪</t>
        </is>
      </c>
      <c r="C64" s="36" t="inlineStr">
        <is>
          <t>轻罪</t>
        </is>
      </c>
      <c r="D64" s="41" t="n">
        <v>12</v>
      </c>
      <c r="E64" s="43" t="n">
        <v>5000</v>
      </c>
      <c r="F64" s="44" t="inlineStr">
        <is>
          <t>公共场所挑衅/扰乱/冒犯性言语</t>
        </is>
      </c>
      <c r="G64" s="39" t="n"/>
      <c r="H64" s="39" t="n"/>
      <c r="I64" s="39" t="n"/>
      <c r="J64">
        <f>IF($G64&gt;0,IF($J63="",$B64,$J63&amp;"、"&amp;$B64),$J63)</f>
        <v/>
      </c>
      <c r="K64">
        <f>IF($H64&gt;0,IF($K63="",$B64,$K63&amp;"、"&amp;$B64),$K63)</f>
        <v/>
      </c>
      <c r="L64">
        <f>IF($I64&gt;0,IF($L63="",$B64,$L63&amp;"、"&amp;$B64),$L63)</f>
        <v/>
      </c>
    </row>
    <row r="65" ht="30" customHeight="1">
      <c r="A65" s="41" t="inlineStr">
        <is>
          <t>六·秩序</t>
        </is>
      </c>
      <c r="B65" s="42" t="inlineStr">
        <is>
          <t>非法集会罪</t>
        </is>
      </c>
      <c r="C65" s="36" t="inlineStr">
        <is>
          <t>轻罪</t>
        </is>
      </c>
      <c r="D65" s="41" t="n">
        <v>12</v>
      </c>
      <c r="E65" s="43" t="n">
        <v>20000</v>
      </c>
      <c r="F65" s="44" t="inlineStr">
        <is>
          <t>两人以上聚集引发骚乱/非法行动</t>
        </is>
      </c>
      <c r="G65" s="39" t="n"/>
      <c r="H65" s="39" t="n"/>
      <c r="I65" s="39" t="n"/>
      <c r="J65">
        <f>IF($G65&gt;0,IF($J64="",$B65,$J64&amp;"、"&amp;$B65),$J64)</f>
        <v/>
      </c>
      <c r="K65">
        <f>IF($H65&gt;0,IF($K64="",$B65,$K64&amp;"、"&amp;$B65),$K64)</f>
        <v/>
      </c>
      <c r="L65">
        <f>IF($I65&gt;0,IF($L64="",$B65,$L64&amp;"、"&amp;$B65),$L64)</f>
        <v/>
      </c>
    </row>
    <row r="66" ht="30" customHeight="1">
      <c r="A66" s="41" t="inlineStr">
        <is>
          <t>六·秩序</t>
        </is>
      </c>
      <c r="B66" s="42" t="inlineStr">
        <is>
          <t>煽动暴乱罪</t>
        </is>
      </c>
      <c r="C66" s="40" t="inlineStr">
        <is>
          <t>重罪</t>
        </is>
      </c>
      <c r="D66" s="41" t="n">
        <v>48</v>
      </c>
      <c r="E66" s="43" t="n">
        <v>0</v>
      </c>
      <c r="F66" s="44" t="inlineStr">
        <is>
          <t>意图引起暴乱/鼓励他人暴力破坏(仅监禁)</t>
        </is>
      </c>
      <c r="G66" s="39" t="n"/>
      <c r="H66" s="39" t="n"/>
      <c r="I66" s="39" t="n"/>
      <c r="J66">
        <f>IF($G66&gt;0,IF($J65="",$B66,$J65&amp;"、"&amp;$B66),$J65)</f>
        <v/>
      </c>
      <c r="K66">
        <f>IF($H66&gt;0,IF($K65="",$B66,$K65&amp;"、"&amp;$B66),$K65)</f>
        <v/>
      </c>
      <c r="L66">
        <f>IF($I66&gt;0,IF($L65="",$B66,$L65&amp;"、"&amp;$B66),$L65)</f>
        <v/>
      </c>
    </row>
    <row r="67" ht="30" customHeight="1">
      <c r="A67" s="41" t="inlineStr">
        <is>
          <t>六·秩序</t>
        </is>
      </c>
      <c r="B67" s="42" t="inlineStr">
        <is>
          <t>遮挡面部罪</t>
        </is>
      </c>
      <c r="C67" s="36" t="inlineStr">
        <is>
          <t>轻罪</t>
        </is>
      </c>
      <c r="D67" s="41" t="n">
        <v>24</v>
      </c>
      <c r="E67" s="43" t="n">
        <v>5000</v>
      </c>
      <c r="F67" s="44" t="inlineStr">
        <is>
          <t>遮面拒揭 / 犯罪过程中遮面(节庆等除外)</t>
        </is>
      </c>
      <c r="G67" s="39" t="n"/>
      <c r="H67" s="39" t="n"/>
      <c r="I67" s="39" t="n"/>
      <c r="J67">
        <f>IF($G67&gt;0,IF($J66="",$B67,$J66&amp;"、"&amp;$B67),$J66)</f>
        <v/>
      </c>
      <c r="K67">
        <f>IF($H67&gt;0,IF($K66="",$B67,$K66&amp;"、"&amp;$B67),$K66)</f>
        <v/>
      </c>
      <c r="L67">
        <f>IF($I67&gt;0,IF($L66="",$B67,$L66&amp;"、"&amp;$B67),$L66)</f>
        <v/>
      </c>
    </row>
    <row r="68" ht="18" customHeight="1">
      <c r="A68" s="33" t="inlineStr">
        <is>
          <t>▍ 第七章 · 热武器和设备的管制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>
        <f>IF($G68&gt;0,IF($J67="",$B68,$J67&amp;"、"&amp;$B68),$J67)</f>
        <v/>
      </c>
      <c r="K68">
        <f>IF($H68&gt;0,IF($K67="",$B68,$K67&amp;"、"&amp;$B68),$K67)</f>
        <v/>
      </c>
      <c r="L68">
        <f>IF($I68&gt;0,IF($L67="",$B68,$L67&amp;"、"&amp;$B68),$L67)</f>
        <v/>
      </c>
    </row>
    <row r="69" ht="30" customHeight="1">
      <c r="A69" s="41" t="inlineStr">
        <is>
          <t>七·热武器</t>
        </is>
      </c>
      <c r="B69" s="42" t="inlineStr">
        <is>
          <t>非法持有热武器罪</t>
        </is>
      </c>
      <c r="C69" s="40" t="inlineStr">
        <is>
          <t>重罪</t>
        </is>
      </c>
      <c r="D69" s="41" t="n">
        <v>24</v>
      </c>
      <c r="E69" s="43" t="n">
        <v>15000</v>
      </c>
      <c r="F69" s="44" t="inlineStr">
        <is>
          <t>无证/非法持有枪支/爆炸物(执法公务除外)</t>
        </is>
      </c>
      <c r="G69" s="39" t="n"/>
      <c r="H69" s="39" t="n"/>
      <c r="I69" s="39" t="n"/>
      <c r="J69">
        <f>IF($G69&gt;0,IF($J68="",$B69,$J68&amp;"、"&amp;$B69),$J68)</f>
        <v/>
      </c>
      <c r="K69">
        <f>IF($H69&gt;0,IF($K68="",$B69,$K68&amp;"、"&amp;$B69),$K68)</f>
        <v/>
      </c>
      <c r="L69">
        <f>IF($I69&gt;0,IF($L68="",$B69,$L68&amp;"、"&amp;$B69),$L68)</f>
        <v/>
      </c>
    </row>
    <row r="70" ht="30" customHeight="1">
      <c r="A70" s="41" t="inlineStr">
        <is>
          <t>七·热武器</t>
        </is>
      </c>
      <c r="B70" s="42" t="inlineStr">
        <is>
          <t>非法展示热武器罪</t>
        </is>
      </c>
      <c r="C70" s="36" t="inlineStr">
        <is>
          <t>轻罪</t>
        </is>
      </c>
      <c r="D70" s="41" t="n">
        <v>12</v>
      </c>
      <c r="E70" s="43" t="n">
        <v>8000</v>
      </c>
      <c r="F70" s="44" t="inlineStr">
        <is>
          <t>公共场所公开携带/挥舞展示武器</t>
        </is>
      </c>
      <c r="G70" s="39" t="n"/>
      <c r="H70" s="39" t="n"/>
      <c r="I70" s="39" t="n"/>
      <c r="J70">
        <f>IF($G70&gt;0,IF($J69="",$B70,$J69&amp;"、"&amp;$B70),$J69)</f>
        <v/>
      </c>
      <c r="K70">
        <f>IF($H70&gt;0,IF($K69="",$B70,$K69&amp;"、"&amp;$B70),$K69)</f>
        <v/>
      </c>
      <c r="L70">
        <f>IF($I70&gt;0,IF($L69="",$B70,$L69&amp;"、"&amp;$B70),$L69)</f>
        <v/>
      </c>
    </row>
    <row r="71" ht="30" customHeight="1">
      <c r="A71" s="41" t="inlineStr">
        <is>
          <t>七·热武器</t>
        </is>
      </c>
      <c r="B71" s="42" t="inlineStr">
        <is>
          <t>非法使用热武器罪</t>
        </is>
      </c>
      <c r="C71" s="40" t="inlineStr">
        <is>
          <t>重罪</t>
        </is>
      </c>
      <c r="D71" s="41" t="n">
        <v>24</v>
      </c>
      <c r="E71" s="43" t="n">
        <v>15000</v>
      </c>
      <c r="F71" s="44" t="inlineStr">
        <is>
          <t>鲁莽/蓄意/威胁公共安全方式开枪</t>
        </is>
      </c>
      <c r="G71" s="39" t="n">
        <v>1</v>
      </c>
      <c r="H71" s="39" t="n"/>
      <c r="I71" s="39" t="n"/>
      <c r="J71">
        <f>IF($G71&gt;0,IF($J70="",$B71,$J70&amp;"、"&amp;$B71),$J70)</f>
        <v/>
      </c>
      <c r="K71">
        <f>IF($H71&gt;0,IF($K70="",$B71,$K70&amp;"、"&amp;$B71),$K70)</f>
        <v/>
      </c>
      <c r="L71">
        <f>IF($I71&gt;0,IF($L70="",$B71,$L70&amp;"、"&amp;$B71),$L70)</f>
        <v/>
      </c>
    </row>
    <row r="72" ht="30" customHeight="1">
      <c r="A72" s="41" t="inlineStr">
        <is>
          <t>七·热武器</t>
        </is>
      </c>
      <c r="B72" s="42" t="inlineStr">
        <is>
          <t>非法贩卖武器罪</t>
        </is>
      </c>
      <c r="C72" s="40" t="inlineStr">
        <is>
          <t>重罪</t>
        </is>
      </c>
      <c r="D72" s="41" t="n">
        <v>48</v>
      </c>
      <c r="E72" s="43" t="n">
        <v>25000</v>
      </c>
      <c r="F72" s="44" t="inlineStr">
        <is>
          <t>贩卖/转让/出售非法或未认证武器</t>
        </is>
      </c>
      <c r="G72" s="39" t="n"/>
      <c r="H72" s="39" t="n"/>
      <c r="I72" s="39" t="n"/>
      <c r="J72">
        <f>IF($G72&gt;0,IF($J71="",$B72,$J71&amp;"、"&amp;$B72),$J71)</f>
        <v/>
      </c>
      <c r="K72">
        <f>IF($H72&gt;0,IF($K71="",$B72,$K71&amp;"、"&amp;$B72),$K71)</f>
        <v/>
      </c>
      <c r="L72">
        <f>IF($I72&gt;0,IF($L71="",$B72,$L71&amp;"、"&amp;$B72),$L71)</f>
        <v/>
      </c>
    </row>
    <row r="73" ht="30" customHeight="1">
      <c r="A73" s="41" t="inlineStr">
        <is>
          <t>七·热武器</t>
        </is>
      </c>
      <c r="B73" s="42" t="inlineStr">
        <is>
          <t>走私罪</t>
        </is>
      </c>
      <c r="C73" s="40" t="inlineStr">
        <is>
          <t>重罪</t>
        </is>
      </c>
      <c r="D73" s="41" t="n">
        <v>48</v>
      </c>
      <c r="E73" s="43" t="n">
        <v>30000</v>
      </c>
      <c r="F73" s="44" t="inlineStr">
        <is>
          <t>非法运输/转让武器爆炸物 / 参与军火走私</t>
        </is>
      </c>
      <c r="G73" s="39" t="n"/>
      <c r="H73" s="39" t="n"/>
      <c r="I73" s="39" t="n"/>
      <c r="J73">
        <f>IF($G73&gt;0,IF($J72="",$B73,$J72&amp;"、"&amp;$B73),$J72)</f>
        <v/>
      </c>
      <c r="K73">
        <f>IF($H73&gt;0,IF($K72="",$B73,$K72&amp;"、"&amp;$B73),$K72)</f>
        <v/>
      </c>
      <c r="L73">
        <f>IF($I73&gt;0,IF($L72="",$B73,$L72&amp;"、"&amp;$B73),$L72)</f>
        <v/>
      </c>
    </row>
    <row r="74" ht="18" customHeight="1">
      <c r="A74" s="33" t="inlineStr">
        <is>
          <t>▍ 第十章 · 公共安全犯罪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>
        <f>IF($G74&gt;0,IF($J73="",$B74,$J73&amp;"、"&amp;$B74),$J73)</f>
        <v/>
      </c>
      <c r="K74">
        <f>IF($H74&gt;0,IF($K73="",$B74,$K73&amp;"、"&amp;$B74),$K73)</f>
        <v/>
      </c>
      <c r="L74">
        <f>IF($I74&gt;0,IF($L73="",$B74,$L73&amp;"、"&amp;$B74),$L73)</f>
        <v/>
      </c>
    </row>
    <row r="75" ht="30" customHeight="1">
      <c r="A75" s="41" t="inlineStr">
        <is>
          <t>十·公共安全</t>
        </is>
      </c>
      <c r="B75" s="42" t="inlineStr">
        <is>
          <t>非法持有管制物品罪</t>
        </is>
      </c>
      <c r="C75" s="40" t="inlineStr">
        <is>
          <t>重罪</t>
        </is>
      </c>
      <c r="D75" s="41" t="n">
        <v>48</v>
      </c>
      <c r="E75" s="43" t="n">
        <v>30000</v>
      </c>
      <c r="F75" s="44" t="inlineStr">
        <is>
          <t>默认毒品/非法枪支(重罪4年$30000); 工具/8cm刀具=轻罪1年$15000</t>
        </is>
      </c>
      <c r="G75" s="39" t="n"/>
      <c r="H75" s="39" t="n"/>
      <c r="I75" s="39" t="n"/>
      <c r="J75">
        <f>IF($G75&gt;0,IF($J74="",$B75,$J74&amp;"、"&amp;$B75),$J74)</f>
        <v/>
      </c>
      <c r="K75">
        <f>IF($H75&gt;0,IF($K74="",$B75,$K74&amp;"、"&amp;$B75),$K74)</f>
        <v/>
      </c>
      <c r="L75">
        <f>IF($I75&gt;0,IF($L74="",$B75,$L74&amp;"、"&amp;$B75),$L74)</f>
        <v/>
      </c>
    </row>
    <row r="76" ht="30" customHeight="1">
      <c r="A76" s="41" t="inlineStr">
        <is>
          <t>十·公共安全</t>
        </is>
      </c>
      <c r="B76" s="42" t="inlineStr">
        <is>
          <t>非法持有大量管制物品罪</t>
        </is>
      </c>
      <c r="C76" s="40" t="inlineStr">
        <is>
          <t>重罪</t>
        </is>
      </c>
      <c r="D76" s="41" t="n">
        <v>36</v>
      </c>
      <c r="E76" s="43" t="n">
        <v>6000</v>
      </c>
      <c r="F76" s="44" t="inlineStr">
        <is>
          <t>按量: 10-50个=3年$6000; 51-200=2-4年$10000; 201-500=4-6年$15000; 501-999=6-10年$30000(可超5年)</t>
        </is>
      </c>
      <c r="G76" s="39" t="n"/>
      <c r="H76" s="39" t="n"/>
      <c r="I76" s="39" t="n"/>
      <c r="J76">
        <f>IF($G76&gt;0,IF($J75="",$B76,$J75&amp;"、"&amp;$B76),$J75)</f>
        <v/>
      </c>
      <c r="K76">
        <f>IF($H76&gt;0,IF($K75="",$B76,$K75&amp;"、"&amp;$B76),$K75)</f>
        <v/>
      </c>
      <c r="L76">
        <f>IF($I76&gt;0,IF($L75="",$B76,$L75&amp;"、"&amp;$B76),$L75)</f>
        <v/>
      </c>
    </row>
    <row r="77" ht="30" customHeight="1">
      <c r="A77" s="41" t="inlineStr">
        <is>
          <t>十·公共安全</t>
        </is>
      </c>
      <c r="B77" s="42" t="inlineStr">
        <is>
          <t>非法经营和分发管制物品罪</t>
        </is>
      </c>
      <c r="C77" s="40" t="inlineStr">
        <is>
          <t>重罪</t>
        </is>
      </c>
      <c r="D77" s="41" t="n">
        <v>12</v>
      </c>
      <c r="E77" s="43" t="n">
        <v>5000</v>
      </c>
      <c r="F77" s="44" t="inlineStr">
        <is>
          <t>以出售/分发/储存为目的经营管制物品</t>
        </is>
      </c>
      <c r="G77" s="39" t="n"/>
      <c r="H77" s="39" t="n"/>
      <c r="I77" s="39" t="n"/>
      <c r="J77">
        <f>IF($G77&gt;0,IF($J76="",$B77,$J76&amp;"、"&amp;$B77),$J76)</f>
        <v/>
      </c>
      <c r="K77">
        <f>IF($H77&gt;0,IF($K76="",$B77,$K76&amp;"、"&amp;$B77),$K76)</f>
        <v/>
      </c>
      <c r="L77">
        <f>IF($I77&gt;0,IF($L76="",$B77,$L76&amp;"、"&amp;$B77),$L76)</f>
        <v/>
      </c>
    </row>
    <row r="78" ht="30" customHeight="1">
      <c r="A78" s="41" t="inlineStr">
        <is>
          <t>十·公共安全</t>
        </is>
      </c>
      <c r="B78" s="42" t="inlineStr">
        <is>
          <t>非法制造管制物品罪</t>
        </is>
      </c>
      <c r="C78" s="40" t="inlineStr">
        <is>
          <t>重罪</t>
        </is>
      </c>
      <c r="D78" s="41" t="n">
        <v>24</v>
      </c>
      <c r="E78" s="43" t="n">
        <v>8000</v>
      </c>
      <c r="F78" s="44" t="inlineStr">
        <is>
          <t>生产/制造处方药/大麻等管制物品</t>
        </is>
      </c>
      <c r="G78" s="39" t="n"/>
      <c r="H78" s="39" t="n"/>
      <c r="I78" s="39" t="n"/>
      <c r="J78">
        <f>IF($G78&gt;0,IF($J77="",$B78,$J77&amp;"、"&amp;$B78),$J77)</f>
        <v/>
      </c>
      <c r="K78">
        <f>IF($H78&gt;0,IF($K77="",$B78,$K77&amp;"、"&amp;$B78),$K77)</f>
        <v/>
      </c>
      <c r="L78">
        <f>IF($I78&gt;0,IF($L77="",$B78,$L77&amp;"、"&amp;$B78),$L77)</f>
        <v/>
      </c>
    </row>
    <row r="79" ht="30" customHeight="1">
      <c r="A79" s="41" t="inlineStr">
        <is>
          <t>十·公共安全</t>
        </is>
      </c>
      <c r="B79" s="42" t="inlineStr">
        <is>
          <t>非法贩卖管制物品罪</t>
        </is>
      </c>
      <c r="C79" s="40" t="inlineStr">
        <is>
          <t>重罪</t>
        </is>
      </c>
      <c r="D79" s="41" t="n">
        <v>36</v>
      </c>
      <c r="E79" s="43" t="n">
        <v>10000</v>
      </c>
      <c r="F79" s="44" t="inlineStr">
        <is>
          <t>非法出售/赠送/运输管制物品给他人</t>
        </is>
      </c>
      <c r="G79" s="39" t="n"/>
      <c r="H79" s="39" t="n"/>
      <c r="I79" s="39" t="n"/>
      <c r="J79">
        <f>IF($G79&gt;0,IF($J78="",$B79,$J78&amp;"、"&amp;$B79),$J78)</f>
        <v/>
      </c>
      <c r="K79">
        <f>IF($H79&gt;0,IF($K78="",$B79,$K78&amp;"、"&amp;$B79),$K78)</f>
        <v/>
      </c>
      <c r="L79">
        <f>IF($I79&gt;0,IF($L78="",$B79,$L78&amp;"、"&amp;$B79),$L78)</f>
        <v/>
      </c>
    </row>
    <row r="80" ht="18" customHeight="1">
      <c r="A80" s="33" t="inlineStr">
        <is>
          <t>▍ 第十一章 · 其他违法行为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>
        <f>IF($G80&gt;0,IF($J79="",$B80,$J79&amp;"、"&amp;$B80),$J79)</f>
        <v/>
      </c>
      <c r="K80">
        <f>IF($H80&gt;0,IF($K79="",$B80,$K79&amp;"、"&amp;$B80),$K79)</f>
        <v/>
      </c>
      <c r="L80">
        <f>IF($I80&gt;0,IF($L79="",$B80,$L79&amp;"、"&amp;$B80),$L79)</f>
        <v/>
      </c>
    </row>
    <row r="81" ht="30" customHeight="1">
      <c r="A81" s="41" t="inlineStr">
        <is>
          <t>十一·其他</t>
        </is>
      </c>
      <c r="B81" s="42" t="inlineStr">
        <is>
          <t>有组织犯罪</t>
        </is>
      </c>
      <c r="C81" s="40" t="inlineStr">
        <is>
          <t>重罪</t>
        </is>
      </c>
      <c r="D81" s="41" t="n">
        <v>24</v>
      </c>
      <c r="E81" s="43" t="n">
        <v>10000</v>
      </c>
      <c r="F81" s="44" t="inlineStr">
        <is>
          <t>团体以牟利为目的实施违法犯罪(逮捕须先取逮捕令)</t>
        </is>
      </c>
      <c r="G81" s="39" t="n"/>
      <c r="H81" s="39" t="n"/>
      <c r="I81" s="39" t="n"/>
      <c r="J81">
        <f>IF($G81&gt;0,IF($J80="",$B81,$J80&amp;"、"&amp;$B81),$J80)</f>
        <v/>
      </c>
      <c r="K81">
        <f>IF($H81&gt;0,IF($K80="",$B81,$K80&amp;"、"&amp;$B81),$K80)</f>
        <v/>
      </c>
      <c r="L81">
        <f>IF($I81&gt;0,IF($L80="",$B81,$L80&amp;"、"&amp;$B81),$L80)</f>
        <v/>
      </c>
    </row>
    <row r="82" ht="30" customHeight="1">
      <c r="A82" s="41" t="inlineStr">
        <is>
          <t>十一·其他</t>
        </is>
      </c>
      <c r="B82" s="42" t="inlineStr">
        <is>
          <t>洗钱罪</t>
        </is>
      </c>
      <c r="C82" s="40" t="inlineStr">
        <is>
          <t>重罪</t>
        </is>
      </c>
      <c r="D82" s="41" t="n">
        <v>48</v>
      </c>
      <c r="E82" s="43" t="n">
        <v>30000</v>
      </c>
      <c r="F82" s="44" t="inlineStr">
        <is>
          <t>持有/隐藏/转移违法所得 / 协助洗钱</t>
        </is>
      </c>
      <c r="G82" s="39" t="n"/>
      <c r="H82" s="39" t="n"/>
      <c r="I82" s="39" t="n"/>
      <c r="J82">
        <f>IF($G82&gt;0,IF($J81="",$B82,$J81&amp;"、"&amp;$B82),$J81)</f>
        <v/>
      </c>
      <c r="K82">
        <f>IF($H82&gt;0,IF($K81="",$B82,$K81&amp;"、"&amp;$B82),$K81)</f>
        <v/>
      </c>
      <c r="L82">
        <f>IF($I82&gt;0,IF($L81="",$B82,$L81&amp;"、"&amp;$B82),$L81)</f>
        <v/>
      </c>
    </row>
    <row r="83" ht="30" customHeight="1">
      <c r="A83" s="41" t="inlineStr">
        <is>
          <t>十一·其他</t>
        </is>
      </c>
      <c r="B83" s="42" t="inlineStr">
        <is>
          <t>身份盗用罪</t>
        </is>
      </c>
      <c r="C83" s="36" t="inlineStr">
        <is>
          <t>轻罪</t>
        </is>
      </c>
      <c r="D83" s="41" t="n">
        <v>12</v>
      </c>
      <c r="E83" s="43" t="n">
        <v>8000</v>
      </c>
      <c r="F83" s="44" t="inlineStr">
        <is>
          <t>未经许可盗取/使用他人个人信息, 另需赔偿</t>
        </is>
      </c>
      <c r="G83" s="39" t="n"/>
      <c r="H83" s="39" t="n"/>
      <c r="I83" s="39" t="n"/>
      <c r="J83">
        <f>IF($G83&gt;0,IF($J82="",$B83,$J82&amp;"、"&amp;$B83),$J82)</f>
        <v/>
      </c>
      <c r="K83">
        <f>IF($H83&gt;0,IF($K82="",$B83,$K82&amp;"、"&amp;$B83),$K82)</f>
        <v/>
      </c>
      <c r="L83">
        <f>IF($I83&gt;0,IF($L82="",$B83,$L82&amp;"、"&amp;$B83),$L82)</f>
        <v/>
      </c>
    </row>
    <row r="85">
      <c r="A85" s="45" t="inlineStr">
        <is>
          <t>提示 · 只算一人 → 只填「甲」列；保释金 = 刑期(月)×罚款÷6；想加/改罪名 → 直接在本清单插行或改值；红=重罪 橙=轻罪 黄=违法。</t>
        </is>
      </c>
      <c r="B85" s="32" t="n"/>
      <c r="C85" s="32" t="n"/>
      <c r="D85" s="32" t="n"/>
      <c r="E85" s="32" t="n"/>
      <c r="F85" s="32" t="n"/>
      <c r="G85" s="32" t="n"/>
      <c r="H85" s="32" t="n"/>
      <c r="I85" s="32" t="n"/>
    </row>
    <row r="86">
      <c r="A86" s="46" t="inlineStr">
        <is>
          <t xml:space="preserve">原创制作：袁尘　</t>
        </is>
      </c>
      <c r="B86" s="32" t="n"/>
      <c r="C86" s="32" t="n"/>
      <c r="D86" s="32" t="n"/>
      <c r="E86" s="32" t="n"/>
      <c r="F86" s="32" t="n"/>
      <c r="G86" s="32" t="n"/>
      <c r="H86" s="32" t="n"/>
      <c r="I86" s="32" t="n"/>
    </row>
  </sheetData>
  <mergeCells count="24">
    <mergeCell ref="F9:I9"/>
    <mergeCell ref="A46:I46"/>
    <mergeCell ref="A80:I80"/>
    <mergeCell ref="A3:I3"/>
    <mergeCell ref="A74:I74"/>
    <mergeCell ref="A26:I26"/>
    <mergeCell ref="A86:I86"/>
    <mergeCell ref="A2:I2"/>
    <mergeCell ref="A85:I85"/>
    <mergeCell ref="A5:I5"/>
    <mergeCell ref="F10:I10"/>
    <mergeCell ref="A38:I38"/>
    <mergeCell ref="A68:I68"/>
    <mergeCell ref="A63:I63"/>
    <mergeCell ref="F7:I7"/>
    <mergeCell ref="A13:I13"/>
    <mergeCell ref="D4:E4"/>
    <mergeCell ref="A4:B4"/>
    <mergeCell ref="G4:H4"/>
    <mergeCell ref="A15:I15"/>
    <mergeCell ref="A11:I11"/>
    <mergeCell ref="F8:I8"/>
    <mergeCell ref="A1:I1"/>
    <mergeCell ref="A6:I6"/>
  </mergeCells>
  <conditionalFormatting sqref="A15:I83">
    <cfRule type="expression" priority="1" dxfId="0">
      <formula>AND($A15&lt;&gt;"",OR($G15&gt;0,$H15&gt;0,$I15&gt;0))</formula>
    </cfRule>
  </conditionalFormatting>
  <dataValidations count="3">
    <dataValidation sqref="G15:I83" showDropDown="0" showInputMessage="0" showErrorMessage="0" allowBlank="1" type="list">
      <formula1>"1,2,3,4,5"</formula1>
    </dataValidation>
    <dataValidation sqref="C4" showDropDown="0" showInputMessage="0" showErrorMessage="0" allowBlank="1" type="list">
      <formula1>"1,2,3"</formula1>
    </dataValidation>
    <dataValidation sqref="F4 I4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3" customWidth="1" min="4" max="4"/>
    <col width="11" customWidth="1" min="5" max="5"/>
    <col width="56" customWidth="1" min="6" max="6"/>
  </cols>
  <sheetData>
    <row r="1" ht="26" customHeight="1">
      <c r="A1" s="47" t="inlineStr">
        <is>
          <t>《圣安地列斯州刑法典》罪名速查表（原创整理：袁尘）</t>
        </is>
      </c>
      <c r="B1" s="2" t="n"/>
      <c r="C1" s="2" t="n"/>
      <c r="D1" s="2" t="n"/>
      <c r="E1" s="2" t="n"/>
      <c r="F1" s="2" t="n"/>
    </row>
    <row r="2">
      <c r="A2" s="19" t="inlineStr">
        <is>
          <t>章节</t>
        </is>
      </c>
      <c r="B2" s="19" t="inlineStr">
        <is>
          <t>罪名</t>
        </is>
      </c>
      <c r="C2" s="19" t="inlineStr">
        <is>
          <t>定性</t>
        </is>
      </c>
      <c r="D2" s="19" t="inlineStr">
        <is>
          <t>最高刑期(月)</t>
        </is>
      </c>
      <c r="E2" s="19" t="inlineStr">
        <is>
          <t>罚款($)</t>
        </is>
      </c>
      <c r="F2" s="19" t="inlineStr">
        <is>
          <t>说明 / 量刑要点</t>
        </is>
      </c>
    </row>
    <row r="3" ht="28" customHeight="1">
      <c r="A3" s="48" t="inlineStr">
        <is>
          <t>二·人身</t>
        </is>
      </c>
      <c r="B3" s="49" t="inlineStr">
        <is>
          <t>威胁罪</t>
        </is>
      </c>
      <c r="C3" s="36" t="inlineStr">
        <is>
          <t>轻罪</t>
        </is>
      </c>
      <c r="D3" s="48" t="n">
        <v>12</v>
      </c>
      <c r="E3" s="50" t="n">
        <v>8000</v>
      </c>
      <c r="F3" s="51" t="inlineStr">
        <is>
          <t>口头/书面/网络威胁他人或其亲友</t>
        </is>
      </c>
    </row>
    <row r="4" ht="28" customHeight="1">
      <c r="A4" s="52" t="inlineStr">
        <is>
          <t>二·人身</t>
        </is>
      </c>
      <c r="B4" s="53" t="inlineStr">
        <is>
          <t>持有危险武器人身攻击罪</t>
        </is>
      </c>
      <c r="C4" s="40" t="inlineStr">
        <is>
          <t>重罪</t>
        </is>
      </c>
      <c r="D4" s="52" t="n">
        <v>48</v>
      </c>
      <c r="E4" s="54" t="n">
        <v>20000</v>
      </c>
      <c r="F4" s="55" t="inlineStr">
        <is>
          <t>用武器/工具威胁或伤害他人</t>
        </is>
      </c>
    </row>
    <row r="5" ht="28" customHeight="1">
      <c r="A5" s="48" t="inlineStr">
        <is>
          <t>二·人身</t>
        </is>
      </c>
      <c r="B5" s="49" t="inlineStr">
        <is>
          <t>一级谋杀罪</t>
        </is>
      </c>
      <c r="C5" s="40" t="inlineStr">
        <is>
          <t>重罪</t>
        </is>
      </c>
      <c r="D5" s="48" t="n">
        <v>60</v>
      </c>
      <c r="E5" s="50" t="n">
        <v>30000</v>
      </c>
      <c r="F5" s="51" t="inlineStr">
        <is>
          <t>预谋故意杀人 / 重罪过程中杀人</t>
        </is>
      </c>
    </row>
    <row r="6" ht="28" customHeight="1">
      <c r="A6" s="52" t="inlineStr">
        <is>
          <t>二·人身</t>
        </is>
      </c>
      <c r="B6" s="53" t="inlineStr">
        <is>
          <t>二级谋杀罪</t>
        </is>
      </c>
      <c r="C6" s="40" t="inlineStr">
        <is>
          <t>重罪</t>
        </is>
      </c>
      <c r="D6" s="52" t="n">
        <v>60</v>
      </c>
      <c r="E6" s="54" t="n">
        <v>20000</v>
      </c>
      <c r="F6" s="55" t="inlineStr">
        <is>
          <t>非预谋的故意杀人 (3至5年)</t>
        </is>
      </c>
    </row>
    <row r="7" ht="28" customHeight="1">
      <c r="A7" s="48" t="inlineStr">
        <is>
          <t>二·人身</t>
        </is>
      </c>
      <c r="B7" s="49" t="inlineStr">
        <is>
          <t>三级谋杀罪</t>
        </is>
      </c>
      <c r="C7" s="40" t="inlineStr">
        <is>
          <t>重罪</t>
        </is>
      </c>
      <c r="D7" s="48" t="n">
        <v>60</v>
      </c>
      <c r="E7" s="50" t="n">
        <v>15000</v>
      </c>
      <c r="F7" s="51" t="inlineStr">
        <is>
          <t>无意致死/鲁莽过失致死 (3至5年, 不含正当防卫)</t>
        </is>
      </c>
    </row>
    <row r="8" ht="28" customHeight="1">
      <c r="A8" s="52" t="inlineStr">
        <is>
          <t>二·人身</t>
        </is>
      </c>
      <c r="B8" s="53" t="inlineStr">
        <is>
          <t>非法拘禁罪</t>
        </is>
      </c>
      <c r="C8" s="40" t="inlineStr">
        <is>
          <t>重罪</t>
        </is>
      </c>
      <c r="D8" s="52" t="n">
        <v>36</v>
      </c>
      <c r="E8" s="54" t="n">
        <v>15000</v>
      </c>
      <c r="F8" s="55" t="inlineStr">
        <is>
          <t>违背意愿约束/扣押/拘禁他人</t>
        </is>
      </c>
    </row>
    <row r="9" ht="28" customHeight="1">
      <c r="A9" s="48" t="inlineStr">
        <is>
          <t>二·人身</t>
        </is>
      </c>
      <c r="B9" s="49" t="inlineStr">
        <is>
          <t>故意袭击罪</t>
        </is>
      </c>
      <c r="C9" s="40" t="inlineStr">
        <is>
          <t>重罪</t>
        </is>
      </c>
      <c r="D9" s="48" t="n">
        <v>36</v>
      </c>
      <c r="E9" s="50" t="n">
        <v>15000</v>
      </c>
      <c r="F9" s="51" t="inlineStr">
        <is>
          <t>蓄意暴力致他人身体受伤</t>
        </is>
      </c>
    </row>
    <row r="10" ht="28" customHeight="1">
      <c r="A10" s="52" t="inlineStr">
        <is>
          <t>二·人身</t>
        </is>
      </c>
      <c r="B10" s="53" t="inlineStr">
        <is>
          <t>绑架罪</t>
        </is>
      </c>
      <c r="C10" s="40" t="inlineStr">
        <is>
          <t>重罪</t>
        </is>
      </c>
      <c r="D10" s="52" t="n">
        <v>60</v>
      </c>
      <c r="E10" s="54" t="n">
        <v>25000</v>
      </c>
      <c r="F10" s="55" t="inlineStr">
        <is>
          <t>侵占/羁押/控制他人意图恐吓</t>
        </is>
      </c>
    </row>
    <row r="11" ht="28" customHeight="1">
      <c r="A11" s="48" t="inlineStr">
        <is>
          <t>二·人身</t>
        </is>
      </c>
      <c r="B11" s="49" t="inlineStr">
        <is>
          <t>亵渎尸体罪</t>
        </is>
      </c>
      <c r="C11" s="40" t="inlineStr">
        <is>
          <t>重罪</t>
        </is>
      </c>
      <c r="D11" s="48" t="n">
        <v>24</v>
      </c>
      <c r="E11" s="50" t="n">
        <v>20000</v>
      </c>
      <c r="F11" s="51" t="inlineStr">
        <is>
          <t>毁损/处置尸体掩盖犯罪</t>
        </is>
      </c>
    </row>
    <row r="12" ht="28" customHeight="1">
      <c r="A12" s="52" t="inlineStr">
        <is>
          <t>二·人身</t>
        </is>
      </c>
      <c r="B12" s="53" t="inlineStr">
        <is>
          <t>诈骗罪</t>
        </is>
      </c>
      <c r="C12" s="40" t="inlineStr">
        <is>
          <t>重罪</t>
        </is>
      </c>
      <c r="D12" s="52" t="n">
        <v>60</v>
      </c>
      <c r="E12" s="54" t="n">
        <v>5000</v>
      </c>
      <c r="F12" s="55" t="inlineStr">
        <is>
          <t>以欺诈欺瞒获取他人财物 (1-5年)</t>
        </is>
      </c>
    </row>
    <row r="13" ht="28" customHeight="1">
      <c r="A13" s="48" t="inlineStr">
        <is>
          <t>三·财产</t>
        </is>
      </c>
      <c r="B13" s="49" t="inlineStr">
        <is>
          <t>非法入侵罪</t>
        </is>
      </c>
      <c r="C13" s="36" t="inlineStr">
        <is>
          <t>轻罪</t>
        </is>
      </c>
      <c r="D13" s="48" t="n">
        <v>24</v>
      </c>
      <c r="E13" s="50" t="n">
        <v>8000</v>
      </c>
      <c r="F13" s="51" t="inlineStr">
        <is>
          <t>被要求离开后仍拒绝离开</t>
        </is>
      </c>
    </row>
    <row r="14" ht="28" customHeight="1">
      <c r="A14" s="52" t="inlineStr">
        <is>
          <t>三·财产</t>
        </is>
      </c>
      <c r="B14" s="53" t="inlineStr">
        <is>
          <t>非法入侵禁区罪</t>
        </is>
      </c>
      <c r="C14" s="36" t="inlineStr">
        <is>
          <t>轻罪</t>
        </is>
      </c>
      <c r="D14" s="52" t="n">
        <v>36</v>
      </c>
      <c r="E14" s="54" t="n">
        <v>10000</v>
      </c>
      <c r="F14" s="55" t="inlineStr">
        <is>
          <t>未经授权进入警局/机场/军事基地等限制区</t>
        </is>
      </c>
    </row>
    <row r="15" ht="28" customHeight="1">
      <c r="A15" s="48" t="inlineStr">
        <is>
          <t>三·财产</t>
        </is>
      </c>
      <c r="B15" s="49" t="inlineStr">
        <is>
          <t>入室盗窃罪</t>
        </is>
      </c>
      <c r="C15" s="40" t="inlineStr">
        <is>
          <t>重罪</t>
        </is>
      </c>
      <c r="D15" s="48" t="n">
        <v>36</v>
      </c>
      <c r="E15" s="50" t="n">
        <v>25000</v>
      </c>
      <c r="F15" s="51" t="inlineStr">
        <is>
          <t>擅入住宅/办公室/仓库盗窃, 另需赔偿</t>
        </is>
      </c>
    </row>
    <row r="16" ht="28" customHeight="1">
      <c r="A16" s="52" t="inlineStr">
        <is>
          <t>三·财产</t>
        </is>
      </c>
      <c r="B16" s="53" t="inlineStr">
        <is>
          <t>抢劫罪</t>
        </is>
      </c>
      <c r="C16" s="40" t="inlineStr">
        <is>
          <t>重罪</t>
        </is>
      </c>
      <c r="D16" s="52" t="n">
        <v>60</v>
      </c>
      <c r="E16" s="54" t="n">
        <v>20000</v>
      </c>
      <c r="F16" s="55" t="inlineStr">
        <is>
          <t>以武力/威胁强夺他人财产, 另需赔偿</t>
        </is>
      </c>
    </row>
    <row r="17" ht="28" customHeight="1">
      <c r="A17" s="48" t="inlineStr">
        <is>
          <t>三·财产</t>
        </is>
      </c>
      <c r="B17" s="49" t="inlineStr">
        <is>
          <t>盗窃罪</t>
        </is>
      </c>
      <c r="C17" s="40" t="inlineStr">
        <is>
          <t>重罪</t>
        </is>
      </c>
      <c r="D17" s="48" t="n">
        <v>48</v>
      </c>
      <c r="E17" s="50" t="n">
        <v>20000</v>
      </c>
      <c r="F17" s="51" t="inlineStr">
        <is>
          <t>盗窃/占用他人财物, 另需赔偿</t>
        </is>
      </c>
    </row>
    <row r="18" ht="28" customHeight="1">
      <c r="A18" s="52" t="inlineStr">
        <is>
          <t>三·财产</t>
        </is>
      </c>
      <c r="B18" s="53" t="inlineStr">
        <is>
          <t>盗窃车辆罪</t>
        </is>
      </c>
      <c r="C18" s="36" t="inlineStr">
        <is>
          <t>轻罪</t>
        </is>
      </c>
      <c r="D18" s="52" t="n">
        <v>12</v>
      </c>
      <c r="E18" s="54" t="n">
        <v>5000</v>
      </c>
      <c r="F18" s="55" t="inlineStr">
        <is>
          <t>默认未造成严重后果(轻罪1年$5000); 严重后果=重罪4年$15000, 均赔偿</t>
        </is>
      </c>
    </row>
    <row r="19" ht="28" customHeight="1">
      <c r="A19" s="48" t="inlineStr">
        <is>
          <t>三·财产</t>
        </is>
      </c>
      <c r="B19" s="49" t="inlineStr">
        <is>
          <t>收受赃物罪</t>
        </is>
      </c>
      <c r="C19" s="36" t="inlineStr">
        <is>
          <t>轻罪</t>
        </is>
      </c>
      <c r="D19" s="48" t="n">
        <v>24</v>
      </c>
      <c r="E19" s="50" t="n">
        <v>10000</v>
      </c>
      <c r="F19" s="51" t="inlineStr">
        <is>
          <t>默认赃值&lt;$5000(轻罪2年$10000); ≥$5000=重罪4年$20000</t>
        </is>
      </c>
    </row>
    <row r="20" ht="28" customHeight="1">
      <c r="A20" s="52" t="inlineStr">
        <is>
          <t>三·财产</t>
        </is>
      </c>
      <c r="B20" s="53" t="inlineStr">
        <is>
          <t>敲诈勒索罪</t>
        </is>
      </c>
      <c r="C20" s="40" t="inlineStr">
        <is>
          <t>重罪</t>
        </is>
      </c>
      <c r="D20" s="52" t="n">
        <v>24</v>
      </c>
      <c r="E20" s="54" t="n">
        <v>20000</v>
      </c>
      <c r="F20" s="55" t="inlineStr">
        <is>
          <t>以威胁/恐吓/滥权强迫他人交付财物</t>
        </is>
      </c>
    </row>
    <row r="21" ht="28" customHeight="1">
      <c r="A21" s="48" t="inlineStr">
        <is>
          <t>三·财产</t>
        </is>
      </c>
      <c r="B21" s="49" t="inlineStr">
        <is>
          <t>蓄意破坏罪</t>
        </is>
      </c>
      <c r="C21" s="36" t="inlineStr">
        <is>
          <t>轻罪</t>
        </is>
      </c>
      <c r="D21" s="48" t="n">
        <v>24</v>
      </c>
      <c r="E21" s="50" t="n">
        <v>25000</v>
      </c>
      <c r="F21" s="51" t="inlineStr">
        <is>
          <t>蓄意破坏他人财产/车辆, 另需赔偿</t>
        </is>
      </c>
    </row>
    <row r="22" ht="28" customHeight="1">
      <c r="A22" s="52" t="inlineStr">
        <is>
          <t>三·财产</t>
        </is>
      </c>
      <c r="B22" s="53" t="inlineStr">
        <is>
          <t>挪用公款公物罪</t>
        </is>
      </c>
      <c r="C22" s="36" t="inlineStr">
        <is>
          <t>轻罪</t>
        </is>
      </c>
      <c r="D22" s="52" t="n">
        <v>48</v>
      </c>
      <c r="E22" s="54" t="n">
        <v>80000</v>
      </c>
      <c r="F22" s="55" t="inlineStr">
        <is>
          <t>擅自挪用受托管理的财物, 另需赔偿</t>
        </is>
      </c>
    </row>
    <row r="23" ht="28" customHeight="1">
      <c r="A23" s="48" t="inlineStr">
        <is>
          <t>三·财产</t>
        </is>
      </c>
      <c r="B23" s="49" t="inlineStr">
        <is>
          <t>持有失窃物品罪</t>
        </is>
      </c>
      <c r="C23" s="36" t="inlineStr">
        <is>
          <t>轻罪</t>
        </is>
      </c>
      <c r="D23" s="48" t="n">
        <v>24</v>
      </c>
      <c r="E23" s="50" t="n">
        <v>2000</v>
      </c>
      <c r="F23" s="51" t="inlineStr">
        <is>
          <t>非法占有他人遗失/失窃财物 (1-2年), 另需赔偿</t>
        </is>
      </c>
    </row>
    <row r="24" ht="28" customHeight="1">
      <c r="A24" s="52" t="inlineStr">
        <is>
          <t>四·公德</t>
        </is>
      </c>
      <c r="B24" s="53" t="inlineStr">
        <is>
          <t>在公共场合从事淫秽行为罪</t>
        </is>
      </c>
      <c r="C24" s="36" t="inlineStr">
        <is>
          <t>轻罪</t>
        </is>
      </c>
      <c r="D24" s="52" t="n">
        <v>24</v>
      </c>
      <c r="E24" s="54" t="n">
        <v>10000</v>
      </c>
      <c r="F24" s="55" t="inlineStr">
        <is>
          <t>公开场所性行为/猥亵/招嫖 (1-2年)</t>
        </is>
      </c>
    </row>
    <row r="25" ht="28" customHeight="1">
      <c r="A25" s="48" t="inlineStr">
        <is>
          <t>四·公德</t>
        </is>
      </c>
      <c r="B25" s="49" t="inlineStr">
        <is>
          <t>组织卖淫罪</t>
        </is>
      </c>
      <c r="C25" s="40" t="inlineStr">
        <is>
          <t>重罪</t>
        </is>
      </c>
      <c r="D25" s="48" t="n">
        <v>36</v>
      </c>
      <c r="E25" s="50" t="n">
        <v>15000</v>
      </c>
      <c r="F25" s="51" t="inlineStr">
        <is>
          <t>支持/介绍/强迫他人卖淫牟利</t>
        </is>
      </c>
    </row>
    <row r="26" ht="28" customHeight="1">
      <c r="A26" s="52" t="inlineStr">
        <is>
          <t>四·公德</t>
        </is>
      </c>
      <c r="B26" s="53" t="inlineStr">
        <is>
          <t>卖淫罪</t>
        </is>
      </c>
      <c r="C26" s="36" t="inlineStr">
        <is>
          <t>轻罪</t>
        </is>
      </c>
      <c r="D26" s="52" t="n">
        <v>24</v>
      </c>
      <c r="E26" s="54" t="n">
        <v>15000</v>
      </c>
      <c r="F26" s="55" t="inlineStr">
        <is>
          <t>以性服务换取财物</t>
        </is>
      </c>
    </row>
    <row r="27" ht="28" customHeight="1">
      <c r="A27" s="48" t="inlineStr">
        <is>
          <t>四·公德</t>
        </is>
      </c>
      <c r="B27" s="49" t="inlineStr">
        <is>
          <t>强奸罪</t>
        </is>
      </c>
      <c r="C27" s="40" t="inlineStr">
        <is>
          <t>重罪</t>
        </is>
      </c>
      <c r="D27" s="48" t="n">
        <v>60</v>
      </c>
      <c r="E27" s="50" t="n">
        <v>30000</v>
      </c>
      <c r="F27" s="51" t="inlineStr">
        <is>
          <t>违背意愿强迫性行为 / 与未满18岁者发生关系</t>
        </is>
      </c>
    </row>
    <row r="28" ht="28" customHeight="1">
      <c r="A28" s="52" t="inlineStr">
        <is>
          <t>四·公德</t>
        </is>
      </c>
      <c r="B28" s="53" t="inlineStr">
        <is>
          <t>传播淫秽色情罪</t>
        </is>
      </c>
      <c r="C28" s="36" t="inlineStr">
        <is>
          <t>轻罪</t>
        </is>
      </c>
      <c r="D28" s="52" t="n">
        <v>12</v>
      </c>
      <c r="E28" s="54" t="n">
        <v>8000</v>
      </c>
      <c r="F28" s="55" t="inlineStr">
        <is>
          <t>制作/传播/贩卖淫秽色情内容</t>
        </is>
      </c>
    </row>
    <row r="29" ht="28" customHeight="1">
      <c r="A29" s="48" t="inlineStr">
        <is>
          <t>四·公德</t>
        </is>
      </c>
      <c r="B29" s="49" t="inlineStr">
        <is>
          <t>歧视罪</t>
        </is>
      </c>
      <c r="C29" s="36" t="inlineStr">
        <is>
          <t>轻罪</t>
        </is>
      </c>
      <c r="D29" s="48" t="n">
        <v>36</v>
      </c>
      <c r="E29" s="50" t="n">
        <v>30000</v>
      </c>
      <c r="F29" s="51" t="inlineStr">
        <is>
          <t>因受保护特征贬低/辱骂/歧视他人</t>
        </is>
      </c>
    </row>
    <row r="30" ht="28" customHeight="1">
      <c r="A30" s="52" t="inlineStr">
        <is>
          <t>四·公德</t>
        </is>
      </c>
      <c r="B30" s="53" t="inlineStr">
        <is>
          <t>诽谤罪</t>
        </is>
      </c>
      <c r="C30" s="36" t="inlineStr">
        <is>
          <t>轻罪</t>
        </is>
      </c>
      <c r="D30" s="52" t="n">
        <v>24</v>
      </c>
      <c r="E30" s="54" t="n">
        <v>15000</v>
      </c>
      <c r="F30" s="55" t="inlineStr">
        <is>
          <t>捏造/传播虚假信息损害名誉</t>
        </is>
      </c>
    </row>
    <row r="31" ht="28" customHeight="1">
      <c r="A31" s="48" t="inlineStr">
        <is>
          <t>五·司法</t>
        </is>
      </c>
      <c r="B31" s="49" t="inlineStr">
        <is>
          <t>行贿罪</t>
        </is>
      </c>
      <c r="C31" s="40" t="inlineStr">
        <is>
          <t>重罪</t>
        </is>
      </c>
      <c r="D31" s="48" t="n">
        <v>24</v>
      </c>
      <c r="E31" s="50" t="n">
        <v>20000</v>
      </c>
      <c r="F31" s="51" t="inlineStr">
        <is>
          <t>向政府雇员提供财物/利益以影响其职责</t>
        </is>
      </c>
    </row>
    <row r="32" ht="28" customHeight="1">
      <c r="A32" s="52" t="inlineStr">
        <is>
          <t>五·司法</t>
        </is>
      </c>
      <c r="B32" s="53" t="inlineStr">
        <is>
          <t>妨碍司法罪</t>
        </is>
      </c>
      <c r="C32" s="40" t="inlineStr">
        <is>
          <t>重罪</t>
        </is>
      </c>
      <c r="D32" s="52" t="n">
        <v>36</v>
      </c>
      <c r="E32" s="54" t="n">
        <v>15000</v>
      </c>
      <c r="F32" s="55" t="inlineStr">
        <is>
          <t>阻碍法律文书签署/分发/执行</t>
        </is>
      </c>
    </row>
    <row r="33" ht="28" customHeight="1">
      <c r="A33" s="48" t="inlineStr">
        <is>
          <t>五·司法</t>
        </is>
      </c>
      <c r="B33" s="49" t="inlineStr">
        <is>
          <t>拒绝听从执法人员命令与检查罪</t>
        </is>
      </c>
      <c r="C33" s="36" t="inlineStr">
        <is>
          <t>轻罪</t>
        </is>
      </c>
      <c r="D33" s="48" t="n">
        <v>36</v>
      </c>
      <c r="E33" s="50" t="n">
        <v>15000</v>
      </c>
      <c r="F33" s="51" t="inlineStr">
        <is>
          <t>拒绝执法人员合法命令/检查</t>
        </is>
      </c>
    </row>
    <row r="34" ht="28" customHeight="1">
      <c r="A34" s="52" t="inlineStr">
        <is>
          <t>五·司法</t>
        </is>
      </c>
      <c r="B34" s="53" t="inlineStr">
        <is>
          <t>拒绝提供身份罪</t>
        </is>
      </c>
      <c r="C34" s="36" t="inlineStr">
        <is>
          <t>轻罪</t>
        </is>
      </c>
      <c r="D34" s="52" t="n">
        <v>12</v>
      </c>
      <c r="E34" s="54" t="n">
        <v>10000</v>
      </c>
      <c r="F34" s="55" t="inlineStr">
        <is>
          <t>被扣留/逮捕后拒绝提供身份信息</t>
        </is>
      </c>
    </row>
    <row r="35" ht="28" customHeight="1">
      <c r="A35" s="48" t="inlineStr">
        <is>
          <t>五·司法</t>
        </is>
      </c>
      <c r="B35" s="49" t="inlineStr">
        <is>
          <t>破坏证据罪</t>
        </is>
      </c>
      <c r="C35" s="36" t="inlineStr">
        <is>
          <t>轻罪</t>
        </is>
      </c>
      <c r="D35" s="48" t="n">
        <v>36</v>
      </c>
      <c r="E35" s="50" t="n">
        <v>20000</v>
      </c>
      <c r="F35" s="51" t="inlineStr">
        <is>
          <t>隐瞒/销毁/篡改/伪造证据</t>
        </is>
      </c>
    </row>
    <row r="36" ht="28" customHeight="1">
      <c r="A36" s="52" t="inlineStr">
        <is>
          <t>五·司法</t>
        </is>
      </c>
      <c r="B36" s="53" t="inlineStr">
        <is>
          <t>冒充政府雇员罪</t>
        </is>
      </c>
      <c r="C36" s="40" t="inlineStr">
        <is>
          <t>重罪</t>
        </is>
      </c>
      <c r="D36" s="52" t="n">
        <v>24</v>
      </c>
      <c r="E36" s="54" t="n">
        <v>15000</v>
      </c>
      <c r="F36" s="55" t="inlineStr">
        <is>
          <t>假冒政府雇员身份(穿制服/佩戴徽章等)</t>
        </is>
      </c>
    </row>
    <row r="37" ht="28" customHeight="1">
      <c r="A37" s="48" t="inlineStr">
        <is>
          <t>五·司法</t>
        </is>
      </c>
      <c r="B37" s="49" t="inlineStr">
        <is>
          <t>虚假逮捕罪</t>
        </is>
      </c>
      <c r="C37" s="40" t="inlineStr">
        <is>
          <t>重罪</t>
        </is>
      </c>
      <c r="D37" s="48" t="n">
        <v>48</v>
      </c>
      <c r="E37" s="50" t="n">
        <v>20000</v>
      </c>
      <c r="F37" s="51" t="inlineStr">
        <is>
          <t>无法律依据以执法名义扣留/逮捕/没收(仅主管可起诉)</t>
        </is>
      </c>
    </row>
    <row r="38" ht="28" customHeight="1">
      <c r="A38" s="52" t="inlineStr">
        <is>
          <t>五·司法</t>
        </is>
      </c>
      <c r="B38" s="53" t="inlineStr">
        <is>
          <t>伪证罪</t>
        </is>
      </c>
      <c r="C38" s="40" t="inlineStr">
        <is>
          <t>重罪</t>
        </is>
      </c>
      <c r="D38" s="52" t="n">
        <v>48</v>
      </c>
      <c r="E38" s="54" t="n">
        <v>25000</v>
      </c>
      <c r="F38" s="55" t="inlineStr">
        <is>
          <t>司法程序中提供虚假证言/信息</t>
        </is>
      </c>
    </row>
    <row r="39" ht="28" customHeight="1">
      <c r="A39" s="48" t="inlineStr">
        <is>
          <t>五·司法</t>
        </is>
      </c>
      <c r="B39" s="49" t="inlineStr">
        <is>
          <t>冒充律师罪</t>
        </is>
      </c>
      <c r="C39" s="36" t="inlineStr">
        <is>
          <t>轻罪</t>
        </is>
      </c>
      <c r="D39" s="48" t="n">
        <v>36</v>
      </c>
      <c r="E39" s="50" t="n">
        <v>15000</v>
      </c>
      <c r="F39" s="51" t="inlineStr">
        <is>
          <t>未经认证从事律师业务/假扮律师</t>
        </is>
      </c>
    </row>
    <row r="40" ht="28" customHeight="1">
      <c r="A40" s="52" t="inlineStr">
        <is>
          <t>五·司法</t>
        </is>
      </c>
      <c r="B40" s="53" t="inlineStr">
        <is>
          <t>妨碍政府雇员执行公务罪</t>
        </is>
      </c>
      <c r="C40" s="40" t="inlineStr">
        <is>
          <t>重罪</t>
        </is>
      </c>
      <c r="D40" s="52" t="n">
        <v>36</v>
      </c>
      <c r="E40" s="54" t="n">
        <v>15000</v>
      </c>
      <c r="F40" s="55" t="inlineStr">
        <is>
          <t>抵抗/延误/阻碍执法/消防/急救/司法人员执行职责</t>
        </is>
      </c>
    </row>
    <row r="41" ht="28" customHeight="1">
      <c r="A41" s="48" t="inlineStr">
        <is>
          <t>五·司法</t>
        </is>
      </c>
      <c r="B41" s="49" t="inlineStr">
        <is>
          <t>拒捕罪</t>
        </is>
      </c>
      <c r="C41" s="40" t="inlineStr">
        <is>
          <t>重罪</t>
        </is>
      </c>
      <c r="D41" s="48" t="n">
        <v>36</v>
      </c>
      <c r="E41" s="50" t="n">
        <v>15000</v>
      </c>
      <c r="F41" s="51" t="inlineStr">
        <is>
          <t>逮捕时以任何方式拒绝/抗拒/逃避逮捕</t>
        </is>
      </c>
    </row>
    <row r="42" ht="28" customHeight="1">
      <c r="A42" s="52" t="inlineStr">
        <is>
          <t>五·司法</t>
        </is>
      </c>
      <c r="B42" s="53" t="inlineStr">
        <is>
          <t>逃避羁押罪</t>
        </is>
      </c>
      <c r="C42" s="40" t="inlineStr">
        <is>
          <t>重罪</t>
        </is>
      </c>
      <c r="D42" s="52" t="n">
        <v>36</v>
      </c>
      <c r="E42" s="54" t="n">
        <v>10000</v>
      </c>
      <c r="F42" s="55" t="inlineStr">
        <is>
          <t>被合法扣留/逮捕后逃脱监护</t>
        </is>
      </c>
    </row>
    <row r="43" ht="28" customHeight="1">
      <c r="A43" s="48" t="inlineStr">
        <is>
          <t>五·司法</t>
        </is>
      </c>
      <c r="B43" s="49" t="inlineStr">
        <is>
          <t>藐视法庭罪</t>
        </is>
      </c>
      <c r="C43" s="40" t="inlineStr">
        <is>
          <t>重罪</t>
        </is>
      </c>
      <c r="D43" s="48" t="n">
        <v>48</v>
      </c>
      <c r="E43" s="50" t="n">
        <v>25000</v>
      </c>
      <c r="F43" s="51" t="inlineStr">
        <is>
          <t>扰乱法庭秩序/无视法庭命令(须法官当庭宣布)</t>
        </is>
      </c>
    </row>
    <row r="44" ht="28" customHeight="1">
      <c r="A44" s="52" t="inlineStr">
        <is>
          <t>五·司法</t>
        </is>
      </c>
      <c r="B44" s="53" t="inlineStr">
        <is>
          <t>恶意占用公共资源罪</t>
        </is>
      </c>
      <c r="C44" s="36" t="inlineStr">
        <is>
          <t>轻罪</t>
        </is>
      </c>
      <c r="D44" s="52" t="n">
        <v>12</v>
      </c>
      <c r="E44" s="54" t="n">
        <v>5000</v>
      </c>
      <c r="F44" s="55" t="inlineStr">
        <is>
          <t>非紧急/恶意占用政府紧急热线</t>
        </is>
      </c>
    </row>
    <row r="45" ht="28" customHeight="1">
      <c r="A45" s="48" t="inlineStr">
        <is>
          <t>五·司法</t>
        </is>
      </c>
      <c r="B45" s="49" t="inlineStr">
        <is>
          <t>未经许可进入封闭紧急区域罪</t>
        </is>
      </c>
      <c r="C45" s="36" t="inlineStr">
        <is>
          <t>轻罪</t>
        </is>
      </c>
      <c r="D45" s="48" t="n">
        <v>12</v>
      </c>
      <c r="E45" s="50" t="n">
        <v>15000</v>
      </c>
      <c r="F45" s="51" t="inlineStr">
        <is>
          <t>未经授权进入被警戒线封闭的紧急区域</t>
        </is>
      </c>
    </row>
    <row r="46" ht="28" customHeight="1">
      <c r="A46" s="52" t="inlineStr">
        <is>
          <t>五·司法</t>
        </is>
      </c>
      <c r="B46" s="53" t="inlineStr">
        <is>
          <t>袭警罪</t>
        </is>
      </c>
      <c r="C46" s="40" t="inlineStr">
        <is>
          <t>重罪</t>
        </is>
      </c>
      <c r="D46" s="52" t="n">
        <v>48</v>
      </c>
      <c r="E46" s="54" t="n">
        <v>25000</v>
      </c>
      <c r="F46" s="55" t="inlineStr">
        <is>
          <t>袭击/伤害警务人员/警车/警犬</t>
        </is>
      </c>
    </row>
    <row r="47" ht="28" customHeight="1">
      <c r="A47" s="48" t="inlineStr">
        <is>
          <t>六·秩序</t>
        </is>
      </c>
      <c r="B47" s="49" t="inlineStr">
        <is>
          <t>扰乱治安罪</t>
        </is>
      </c>
      <c r="C47" s="36" t="inlineStr">
        <is>
          <t>轻罪</t>
        </is>
      </c>
      <c r="D47" s="48" t="n">
        <v>12</v>
      </c>
      <c r="E47" s="50" t="n">
        <v>5000</v>
      </c>
      <c r="F47" s="51" t="inlineStr">
        <is>
          <t>公共场所挑衅/扰乱/冒犯性言语</t>
        </is>
      </c>
    </row>
    <row r="48" ht="28" customHeight="1">
      <c r="A48" s="52" t="inlineStr">
        <is>
          <t>六·秩序</t>
        </is>
      </c>
      <c r="B48" s="53" t="inlineStr">
        <is>
          <t>非法集会罪</t>
        </is>
      </c>
      <c r="C48" s="36" t="inlineStr">
        <is>
          <t>轻罪</t>
        </is>
      </c>
      <c r="D48" s="52" t="n">
        <v>12</v>
      </c>
      <c r="E48" s="54" t="n">
        <v>20000</v>
      </c>
      <c r="F48" s="55" t="inlineStr">
        <is>
          <t>两人以上聚集引发骚乱/非法行动</t>
        </is>
      </c>
    </row>
    <row r="49" ht="28" customHeight="1">
      <c r="A49" s="48" t="inlineStr">
        <is>
          <t>六·秩序</t>
        </is>
      </c>
      <c r="B49" s="49" t="inlineStr">
        <is>
          <t>煽动暴乱罪</t>
        </is>
      </c>
      <c r="C49" s="40" t="inlineStr">
        <is>
          <t>重罪</t>
        </is>
      </c>
      <c r="D49" s="48" t="n">
        <v>48</v>
      </c>
      <c r="E49" s="50" t="n">
        <v>0</v>
      </c>
      <c r="F49" s="51" t="inlineStr">
        <is>
          <t>意图引起暴乱/鼓励他人暴力破坏(仅监禁)</t>
        </is>
      </c>
    </row>
    <row r="50" ht="28" customHeight="1">
      <c r="A50" s="52" t="inlineStr">
        <is>
          <t>六·秩序</t>
        </is>
      </c>
      <c r="B50" s="53" t="inlineStr">
        <is>
          <t>遮挡面部罪</t>
        </is>
      </c>
      <c r="C50" s="36" t="inlineStr">
        <is>
          <t>轻罪</t>
        </is>
      </c>
      <c r="D50" s="52" t="n">
        <v>24</v>
      </c>
      <c r="E50" s="54" t="n">
        <v>5000</v>
      </c>
      <c r="F50" s="55" t="inlineStr">
        <is>
          <t>遮面拒揭 / 犯罪过程中遮面(节庆等除外)</t>
        </is>
      </c>
    </row>
    <row r="51" ht="28" customHeight="1">
      <c r="A51" s="48" t="inlineStr">
        <is>
          <t>七·热武器</t>
        </is>
      </c>
      <c r="B51" s="49" t="inlineStr">
        <is>
          <t>非法持有热武器罪</t>
        </is>
      </c>
      <c r="C51" s="40" t="inlineStr">
        <is>
          <t>重罪</t>
        </is>
      </c>
      <c r="D51" s="48" t="n">
        <v>24</v>
      </c>
      <c r="E51" s="50" t="n">
        <v>15000</v>
      </c>
      <c r="F51" s="51" t="inlineStr">
        <is>
          <t>无证/非法持有枪支/爆炸物(执法公务除外)</t>
        </is>
      </c>
    </row>
    <row r="52" ht="28" customHeight="1">
      <c r="A52" s="52" t="inlineStr">
        <is>
          <t>七·热武器</t>
        </is>
      </c>
      <c r="B52" s="53" t="inlineStr">
        <is>
          <t>非法展示热武器罪</t>
        </is>
      </c>
      <c r="C52" s="36" t="inlineStr">
        <is>
          <t>轻罪</t>
        </is>
      </c>
      <c r="D52" s="52" t="n">
        <v>12</v>
      </c>
      <c r="E52" s="54" t="n">
        <v>8000</v>
      </c>
      <c r="F52" s="55" t="inlineStr">
        <is>
          <t>公共场所公开携带/挥舞展示武器</t>
        </is>
      </c>
    </row>
    <row r="53" ht="28" customHeight="1">
      <c r="A53" s="48" t="inlineStr">
        <is>
          <t>七·热武器</t>
        </is>
      </c>
      <c r="B53" s="49" t="inlineStr">
        <is>
          <t>非法使用热武器罪</t>
        </is>
      </c>
      <c r="C53" s="40" t="inlineStr">
        <is>
          <t>重罪</t>
        </is>
      </c>
      <c r="D53" s="48" t="n">
        <v>24</v>
      </c>
      <c r="E53" s="50" t="n">
        <v>15000</v>
      </c>
      <c r="F53" s="51" t="inlineStr">
        <is>
          <t>鲁莽/蓄意/威胁公共安全方式开枪</t>
        </is>
      </c>
    </row>
    <row r="54" ht="28" customHeight="1">
      <c r="A54" s="52" t="inlineStr">
        <is>
          <t>七·热武器</t>
        </is>
      </c>
      <c r="B54" s="53" t="inlineStr">
        <is>
          <t>非法贩卖武器罪</t>
        </is>
      </c>
      <c r="C54" s="40" t="inlineStr">
        <is>
          <t>重罪</t>
        </is>
      </c>
      <c r="D54" s="52" t="n">
        <v>48</v>
      </c>
      <c r="E54" s="54" t="n">
        <v>25000</v>
      </c>
      <c r="F54" s="55" t="inlineStr">
        <is>
          <t>贩卖/转让/出售非法或未认证武器</t>
        </is>
      </c>
    </row>
    <row r="55" ht="28" customHeight="1">
      <c r="A55" s="48" t="inlineStr">
        <is>
          <t>七·热武器</t>
        </is>
      </c>
      <c r="B55" s="49" t="inlineStr">
        <is>
          <t>走私罪</t>
        </is>
      </c>
      <c r="C55" s="40" t="inlineStr">
        <is>
          <t>重罪</t>
        </is>
      </c>
      <c r="D55" s="48" t="n">
        <v>48</v>
      </c>
      <c r="E55" s="50" t="n">
        <v>30000</v>
      </c>
      <c r="F55" s="51" t="inlineStr">
        <is>
          <t>非法运输/转让武器爆炸物 / 参与军火走私</t>
        </is>
      </c>
    </row>
    <row r="56" ht="28" customHeight="1">
      <c r="A56" s="52" t="inlineStr">
        <is>
          <t>十·公共安全</t>
        </is>
      </c>
      <c r="B56" s="53" t="inlineStr">
        <is>
          <t>非法持有管制物品罪</t>
        </is>
      </c>
      <c r="C56" s="40" t="inlineStr">
        <is>
          <t>重罪</t>
        </is>
      </c>
      <c r="D56" s="52" t="n">
        <v>48</v>
      </c>
      <c r="E56" s="54" t="n">
        <v>30000</v>
      </c>
      <c r="F56" s="55" t="inlineStr">
        <is>
          <t>默认毒品/非法枪支(重罪4年$30000); 工具/8cm刀具=轻罪1年$15000</t>
        </is>
      </c>
    </row>
    <row r="57" ht="28" customHeight="1">
      <c r="A57" s="48" t="inlineStr">
        <is>
          <t>十·公共安全</t>
        </is>
      </c>
      <c r="B57" s="49" t="inlineStr">
        <is>
          <t>非法持有大量管制物品罪</t>
        </is>
      </c>
      <c r="C57" s="40" t="inlineStr">
        <is>
          <t>重罪</t>
        </is>
      </c>
      <c r="D57" s="48" t="n">
        <v>36</v>
      </c>
      <c r="E57" s="50" t="n">
        <v>6000</v>
      </c>
      <c r="F57" s="51" t="inlineStr">
        <is>
          <t>按量: 10-50个=3年$6000; 51-200=2-4年$10000; 201-500=4-6年$15000; 501-999=6-10年$30000(可超5年)</t>
        </is>
      </c>
    </row>
    <row r="58" ht="28" customHeight="1">
      <c r="A58" s="52" t="inlineStr">
        <is>
          <t>十·公共安全</t>
        </is>
      </c>
      <c r="B58" s="53" t="inlineStr">
        <is>
          <t>非法经营和分发管制物品罪</t>
        </is>
      </c>
      <c r="C58" s="40" t="inlineStr">
        <is>
          <t>重罪</t>
        </is>
      </c>
      <c r="D58" s="52" t="n">
        <v>12</v>
      </c>
      <c r="E58" s="54" t="n">
        <v>5000</v>
      </c>
      <c r="F58" s="55" t="inlineStr">
        <is>
          <t>以出售/分发/储存为目的经营管制物品</t>
        </is>
      </c>
    </row>
    <row r="59" ht="28" customHeight="1">
      <c r="A59" s="48" t="inlineStr">
        <is>
          <t>十·公共安全</t>
        </is>
      </c>
      <c r="B59" s="49" t="inlineStr">
        <is>
          <t>非法制造管制物品罪</t>
        </is>
      </c>
      <c r="C59" s="40" t="inlineStr">
        <is>
          <t>重罪</t>
        </is>
      </c>
      <c r="D59" s="48" t="n">
        <v>24</v>
      </c>
      <c r="E59" s="50" t="n">
        <v>8000</v>
      </c>
      <c r="F59" s="51" t="inlineStr">
        <is>
          <t>生产/制造处方药/大麻等管制物品</t>
        </is>
      </c>
    </row>
    <row r="60" ht="28" customHeight="1">
      <c r="A60" s="52" t="inlineStr">
        <is>
          <t>十·公共安全</t>
        </is>
      </c>
      <c r="B60" s="53" t="inlineStr">
        <is>
          <t>非法贩卖管制物品罪</t>
        </is>
      </c>
      <c r="C60" s="40" t="inlineStr">
        <is>
          <t>重罪</t>
        </is>
      </c>
      <c r="D60" s="52" t="n">
        <v>36</v>
      </c>
      <c r="E60" s="54" t="n">
        <v>10000</v>
      </c>
      <c r="F60" s="55" t="inlineStr">
        <is>
          <t>非法出售/赠送/运输管制物品给他人</t>
        </is>
      </c>
    </row>
    <row r="61" ht="28" customHeight="1">
      <c r="A61" s="48" t="inlineStr">
        <is>
          <t>十一·其他</t>
        </is>
      </c>
      <c r="B61" s="49" t="inlineStr">
        <is>
          <t>有组织犯罪</t>
        </is>
      </c>
      <c r="C61" s="40" t="inlineStr">
        <is>
          <t>重罪</t>
        </is>
      </c>
      <c r="D61" s="48" t="n">
        <v>24</v>
      </c>
      <c r="E61" s="50" t="n">
        <v>10000</v>
      </c>
      <c r="F61" s="51" t="inlineStr">
        <is>
          <t>团体以牟利为目的实施违法犯罪(逮捕须先取逮捕令)</t>
        </is>
      </c>
    </row>
    <row r="62" ht="28" customHeight="1">
      <c r="A62" s="52" t="inlineStr">
        <is>
          <t>十一·其他</t>
        </is>
      </c>
      <c r="B62" s="53" t="inlineStr">
        <is>
          <t>洗钱罪</t>
        </is>
      </c>
      <c r="C62" s="40" t="inlineStr">
        <is>
          <t>重罪</t>
        </is>
      </c>
      <c r="D62" s="52" t="n">
        <v>48</v>
      </c>
      <c r="E62" s="54" t="n">
        <v>30000</v>
      </c>
      <c r="F62" s="55" t="inlineStr">
        <is>
          <t>持有/隐藏/转移违法所得 / 协助洗钱</t>
        </is>
      </c>
    </row>
    <row r="63" ht="28" customHeight="1">
      <c r="A63" s="48" t="inlineStr">
        <is>
          <t>十一·其他</t>
        </is>
      </c>
      <c r="B63" s="49" t="inlineStr">
        <is>
          <t>身份盗用罪</t>
        </is>
      </c>
      <c r="C63" s="36" t="inlineStr">
        <is>
          <t>轻罪</t>
        </is>
      </c>
      <c r="D63" s="48" t="n">
        <v>12</v>
      </c>
      <c r="E63" s="50" t="n">
        <v>8000</v>
      </c>
      <c r="F63" s="51" t="inlineStr">
        <is>
          <t>未经许可盗取/使用他人个人信息, 另需赔偿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2026-06-26T22:04:52Z</dcterms:created>
  <dcterms:modified xsi:type="dcterms:W3CDTF">2026-06-26T22:04:52Z</dcterms:modified>
  <cp:lastModifiedBy>袁尘</cp:lastModifiedBy>
  <cp:keywords>袁尘 原创</cp:keywords>
</cp:coreProperties>
</file>